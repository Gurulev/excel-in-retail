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1380" yWindow="330" windowWidth="11070" windowHeight="8775" tabRatio="861" activeTab="2"/>
  </bookViews>
  <sheets>
    <sheet name="Общий" sheetId="1" r:id="rId1"/>
    <sheet name="Накл" sheetId="3" r:id="rId2"/>
    <sheet name="Сравнение" sheetId="4" r:id="rId3"/>
  </sheets>
  <calcPr calcId="124519" calcMode="manual" refMode="R1C1"/>
</workbook>
</file>

<file path=xl/calcChain.xml><?xml version="1.0" encoding="utf-8"?>
<calcChain xmlns="http://schemas.openxmlformats.org/spreadsheetml/2006/main">
  <c r="C3" i="4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2"/>
  <c r="A2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B543" s="1"/>
  <c r="A10" i="3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9"/>
  <c r="B3" i="4" l="1"/>
  <c r="B20"/>
  <c r="B4"/>
  <c r="B92"/>
  <c r="B90"/>
  <c r="B88"/>
  <c r="B86"/>
  <c r="B84"/>
  <c r="B82"/>
  <c r="B80"/>
  <c r="B78"/>
  <c r="B76"/>
  <c r="B74"/>
  <c r="B72"/>
  <c r="B70"/>
  <c r="B68"/>
  <c r="B66"/>
  <c r="B64"/>
  <c r="B62"/>
  <c r="B60"/>
  <c r="B58"/>
  <c r="B56"/>
  <c r="B54"/>
  <c r="B52"/>
  <c r="B50"/>
  <c r="B48"/>
  <c r="B46"/>
  <c r="B44"/>
  <c r="B42"/>
  <c r="B40"/>
  <c r="B38"/>
  <c r="B36"/>
  <c r="B34"/>
  <c r="B32"/>
  <c r="B30"/>
  <c r="B28"/>
  <c r="B26"/>
  <c r="B24"/>
  <c r="B22"/>
  <c r="B19"/>
  <c r="B17"/>
  <c r="B15"/>
  <c r="B13"/>
  <c r="B11"/>
  <c r="B9"/>
  <c r="B7"/>
  <c r="B5"/>
  <c r="B2"/>
  <c r="B93"/>
  <c r="B91"/>
  <c r="B89"/>
  <c r="B87"/>
  <c r="B85"/>
  <c r="B83"/>
  <c r="B81"/>
  <c r="B79"/>
  <c r="B77"/>
  <c r="B75"/>
  <c r="B73"/>
  <c r="B71"/>
  <c r="B69"/>
  <c r="B67"/>
  <c r="B65"/>
  <c r="B63"/>
  <c r="B61"/>
  <c r="B59"/>
  <c r="B57"/>
  <c r="B55"/>
  <c r="B53"/>
  <c r="B51"/>
  <c r="B49"/>
  <c r="B47"/>
  <c r="B45"/>
  <c r="B43"/>
  <c r="B41"/>
  <c r="B39"/>
  <c r="B37"/>
  <c r="B35"/>
  <c r="B33"/>
  <c r="B31"/>
  <c r="B29"/>
  <c r="B27"/>
  <c r="B25"/>
  <c r="B23"/>
  <c r="B21"/>
  <c r="B18"/>
  <c r="B16"/>
  <c r="B14"/>
  <c r="B12"/>
  <c r="B10"/>
  <c r="B8"/>
  <c r="B6"/>
  <c r="B154"/>
  <c r="B152"/>
  <c r="B150"/>
  <c r="B148"/>
  <c r="B146"/>
  <c r="B144"/>
  <c r="B142"/>
  <c r="B140"/>
  <c r="B138"/>
  <c r="B136"/>
  <c r="B134"/>
  <c r="B132"/>
  <c r="B130"/>
  <c r="B128"/>
  <c r="B126"/>
  <c r="B124"/>
  <c r="B122"/>
  <c r="B120"/>
  <c r="B118"/>
  <c r="B116"/>
  <c r="B114"/>
  <c r="B112"/>
  <c r="B110"/>
  <c r="B108"/>
  <c r="B106"/>
  <c r="B104"/>
  <c r="B102"/>
  <c r="B100"/>
  <c r="B98"/>
  <c r="B96"/>
  <c r="B94"/>
  <c r="B541"/>
  <c r="B539"/>
  <c r="B537"/>
  <c r="B535"/>
  <c r="B533"/>
  <c r="B531"/>
  <c r="B529"/>
  <c r="B527"/>
  <c r="B525"/>
  <c r="B523"/>
  <c r="B521"/>
  <c r="B519"/>
  <c r="B517"/>
  <c r="B515"/>
  <c r="B513"/>
  <c r="B511"/>
  <c r="B509"/>
  <c r="B507"/>
  <c r="B505"/>
  <c r="B503"/>
  <c r="B501"/>
  <c r="B499"/>
  <c r="B497"/>
  <c r="B495"/>
  <c r="B493"/>
  <c r="B491"/>
  <c r="B489"/>
  <c r="B487"/>
  <c r="B485"/>
  <c r="B483"/>
  <c r="B481"/>
  <c r="B479"/>
  <c r="B477"/>
  <c r="B475"/>
  <c r="B473"/>
  <c r="B471"/>
  <c r="B469"/>
  <c r="B467"/>
  <c r="B465"/>
  <c r="B463"/>
  <c r="B461"/>
  <c r="B459"/>
  <c r="B457"/>
  <c r="B455"/>
  <c r="B453"/>
  <c r="B451"/>
  <c r="B449"/>
  <c r="B447"/>
  <c r="B445"/>
  <c r="B443"/>
  <c r="B441"/>
  <c r="B439"/>
  <c r="B437"/>
  <c r="B435"/>
  <c r="B433"/>
  <c r="B431"/>
  <c r="B429"/>
  <c r="B427"/>
  <c r="B425"/>
  <c r="B423"/>
  <c r="B421"/>
  <c r="B419"/>
  <c r="B417"/>
  <c r="B415"/>
  <c r="B413"/>
  <c r="B411"/>
  <c r="B409"/>
  <c r="B407"/>
  <c r="B405"/>
  <c r="B403"/>
  <c r="B401"/>
  <c r="B399"/>
  <c r="B397"/>
  <c r="B395"/>
  <c r="B393"/>
  <c r="B391"/>
  <c r="B389"/>
  <c r="B387"/>
  <c r="B385"/>
  <c r="B383"/>
  <c r="B381"/>
  <c r="B379"/>
  <c r="B377"/>
  <c r="B375"/>
  <c r="B373"/>
  <c r="B371"/>
  <c r="B369"/>
  <c r="B367"/>
  <c r="B365"/>
  <c r="B363"/>
  <c r="B361"/>
  <c r="B359"/>
  <c r="B357"/>
  <c r="B355"/>
  <c r="B353"/>
  <c r="B351"/>
  <c r="B349"/>
  <c r="B347"/>
  <c r="B345"/>
  <c r="B343"/>
  <c r="B341"/>
  <c r="B339"/>
  <c r="B337"/>
  <c r="B335"/>
  <c r="B333"/>
  <c r="B331"/>
  <c r="B329"/>
  <c r="B327"/>
  <c r="B325"/>
  <c r="B323"/>
  <c r="B321"/>
  <c r="B319"/>
  <c r="B317"/>
  <c r="B315"/>
  <c r="B313"/>
  <c r="B311"/>
  <c r="B309"/>
  <c r="B307"/>
  <c r="B305"/>
  <c r="B303"/>
  <c r="B301"/>
  <c r="B299"/>
  <c r="B297"/>
  <c r="B295"/>
  <c r="B293"/>
  <c r="B291"/>
  <c r="B289"/>
  <c r="B287"/>
  <c r="B285"/>
  <c r="B283"/>
  <c r="B281"/>
  <c r="B279"/>
  <c r="B277"/>
  <c r="B275"/>
  <c r="B273"/>
  <c r="B271"/>
  <c r="B269"/>
  <c r="B267"/>
  <c r="B265"/>
  <c r="B263"/>
  <c r="B261"/>
  <c r="B259"/>
  <c r="B257"/>
  <c r="B255"/>
  <c r="B253"/>
  <c r="B251"/>
  <c r="B249"/>
  <c r="B247"/>
  <c r="B245"/>
  <c r="B243"/>
  <c r="B241"/>
  <c r="B239"/>
  <c r="B237"/>
  <c r="B235"/>
  <c r="B233"/>
  <c r="B231"/>
  <c r="B229"/>
  <c r="B227"/>
  <c r="B225"/>
  <c r="B223"/>
  <c r="B221"/>
  <c r="B219"/>
  <c r="B217"/>
  <c r="B215"/>
  <c r="B213"/>
  <c r="B211"/>
  <c r="B209"/>
  <c r="B207"/>
  <c r="B205"/>
  <c r="B203"/>
  <c r="B201"/>
  <c r="B199"/>
  <c r="B197"/>
  <c r="B195"/>
  <c r="B193"/>
  <c r="B191"/>
  <c r="B189"/>
  <c r="B187"/>
  <c r="B185"/>
  <c r="B183"/>
  <c r="B181"/>
  <c r="B179"/>
  <c r="B177"/>
  <c r="B175"/>
  <c r="B173"/>
  <c r="B171"/>
  <c r="B169"/>
  <c r="B167"/>
  <c r="B165"/>
  <c r="B163"/>
  <c r="B161"/>
  <c r="B159"/>
  <c r="B157"/>
  <c r="B155"/>
  <c r="B151"/>
  <c r="B147"/>
  <c r="B143"/>
  <c r="B139"/>
  <c r="B135"/>
  <c r="B131"/>
  <c r="B127"/>
  <c r="B123"/>
  <c r="B119"/>
  <c r="B115"/>
  <c r="B111"/>
  <c r="B107"/>
  <c r="B103"/>
  <c r="B99"/>
  <c r="B95"/>
  <c r="B542"/>
  <c r="B540"/>
  <c r="B538"/>
  <c r="B536"/>
  <c r="B534"/>
  <c r="B532"/>
  <c r="B530"/>
  <c r="B528"/>
  <c r="B526"/>
  <c r="B524"/>
  <c r="B522"/>
  <c r="B520"/>
  <c r="B518"/>
  <c r="B516"/>
  <c r="B514"/>
  <c r="B512"/>
  <c r="B510"/>
  <c r="B508"/>
  <c r="B506"/>
  <c r="B504"/>
  <c r="B502"/>
  <c r="B500"/>
  <c r="B498"/>
  <c r="B496"/>
  <c r="B494"/>
  <c r="B492"/>
  <c r="B490"/>
  <c r="B488"/>
  <c r="B486"/>
  <c r="B484"/>
  <c r="B482"/>
  <c r="B480"/>
  <c r="B478"/>
  <c r="B476"/>
  <c r="B474"/>
  <c r="B472"/>
  <c r="B470"/>
  <c r="B468"/>
  <c r="B466"/>
  <c r="B464"/>
  <c r="B462"/>
  <c r="B460"/>
  <c r="B458"/>
  <c r="B456"/>
  <c r="B454"/>
  <c r="B452"/>
  <c r="B450"/>
  <c r="B448"/>
  <c r="B446"/>
  <c r="B444"/>
  <c r="B442"/>
  <c r="B440"/>
  <c r="B438"/>
  <c r="B436"/>
  <c r="B434"/>
  <c r="B432"/>
  <c r="B430"/>
  <c r="B428"/>
  <c r="B426"/>
  <c r="B424"/>
  <c r="B422"/>
  <c r="B420"/>
  <c r="B418"/>
  <c r="B416"/>
  <c r="B414"/>
  <c r="B412"/>
  <c r="B410"/>
  <c r="B408"/>
  <c r="B406"/>
  <c r="B404"/>
  <c r="B402"/>
  <c r="B400"/>
  <c r="B398"/>
  <c r="B396"/>
  <c r="B394"/>
  <c r="B392"/>
  <c r="B390"/>
  <c r="B388"/>
  <c r="B386"/>
  <c r="B384"/>
  <c r="B382"/>
  <c r="B380"/>
  <c r="B378"/>
  <c r="B376"/>
  <c r="B374"/>
  <c r="B372"/>
  <c r="B370"/>
  <c r="B368"/>
  <c r="B366"/>
  <c r="B364"/>
  <c r="B362"/>
  <c r="B360"/>
  <c r="B358"/>
  <c r="B356"/>
  <c r="B354"/>
  <c r="B352"/>
  <c r="B350"/>
  <c r="B348"/>
  <c r="B346"/>
  <c r="B344"/>
  <c r="B342"/>
  <c r="B340"/>
  <c r="B338"/>
  <c r="B336"/>
  <c r="B334"/>
  <c r="B332"/>
  <c r="B330"/>
  <c r="B328"/>
  <c r="B326"/>
  <c r="B324"/>
  <c r="B322"/>
  <c r="B320"/>
  <c r="B318"/>
  <c r="B316"/>
  <c r="B314"/>
  <c r="B312"/>
  <c r="B310"/>
  <c r="B308"/>
  <c r="B306"/>
  <c r="B304"/>
  <c r="B302"/>
  <c r="B300"/>
  <c r="B298"/>
  <c r="B296"/>
  <c r="B294"/>
  <c r="B292"/>
  <c r="B290"/>
  <c r="B288"/>
  <c r="B286"/>
  <c r="B284"/>
  <c r="B282"/>
  <c r="B280"/>
  <c r="B278"/>
  <c r="B276"/>
  <c r="B274"/>
  <c r="B272"/>
  <c r="B270"/>
  <c r="B268"/>
  <c r="B266"/>
  <c r="B264"/>
  <c r="B262"/>
  <c r="B260"/>
  <c r="B258"/>
  <c r="B256"/>
  <c r="B254"/>
  <c r="B252"/>
  <c r="B250"/>
  <c r="B248"/>
  <c r="B246"/>
  <c r="B244"/>
  <c r="B242"/>
  <c r="B240"/>
  <c r="B238"/>
  <c r="B236"/>
  <c r="B234"/>
  <c r="B232"/>
  <c r="B230"/>
  <c r="B228"/>
  <c r="B226"/>
  <c r="B224"/>
  <c r="B222"/>
  <c r="B220"/>
  <c r="B218"/>
  <c r="B216"/>
  <c r="B214"/>
  <c r="B212"/>
  <c r="B210"/>
  <c r="B208"/>
  <c r="B206"/>
  <c r="B204"/>
  <c r="B202"/>
  <c r="B200"/>
  <c r="B198"/>
  <c r="B196"/>
  <c r="B194"/>
  <c r="B192"/>
  <c r="B190"/>
  <c r="B188"/>
  <c r="B186"/>
  <c r="B184"/>
  <c r="B182"/>
  <c r="B180"/>
  <c r="B178"/>
  <c r="B176"/>
  <c r="B174"/>
  <c r="B172"/>
  <c r="B170"/>
  <c r="B168"/>
  <c r="B166"/>
  <c r="B164"/>
  <c r="B162"/>
  <c r="B160"/>
  <c r="B158"/>
  <c r="B156"/>
  <c r="B153"/>
  <c r="B149"/>
  <c r="B145"/>
  <c r="B141"/>
  <c r="B137"/>
  <c r="B133"/>
  <c r="B129"/>
  <c r="B125"/>
  <c r="B121"/>
  <c r="B117"/>
  <c r="B113"/>
  <c r="B109"/>
  <c r="B105"/>
  <c r="B101"/>
  <c r="B97"/>
  <c r="B10" i="3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B461"/>
  <c r="B462"/>
  <c r="B463"/>
  <c r="B464"/>
  <c r="B465"/>
  <c r="B466"/>
  <c r="B467"/>
  <c r="B468"/>
  <c r="B469"/>
  <c r="B470"/>
  <c r="B471"/>
  <c r="B472"/>
  <c r="B473"/>
  <c r="B474"/>
  <c r="B475"/>
  <c r="B476"/>
  <c r="B477"/>
  <c r="B478"/>
  <c r="B479"/>
  <c r="B480"/>
  <c r="B481"/>
  <c r="B482"/>
  <c r="B483"/>
  <c r="B484"/>
  <c r="B485"/>
  <c r="B486"/>
  <c r="B487"/>
  <c r="B488"/>
  <c r="B489"/>
  <c r="B490"/>
  <c r="B491"/>
  <c r="B492"/>
  <c r="B493"/>
  <c r="B494"/>
  <c r="B495"/>
  <c r="B496"/>
  <c r="B497"/>
  <c r="B498"/>
  <c r="B499"/>
  <c r="B500"/>
  <c r="B501"/>
  <c r="B502"/>
  <c r="B503"/>
  <c r="B504"/>
  <c r="B505"/>
  <c r="B506"/>
  <c r="B507"/>
  <c r="B508"/>
  <c r="B509"/>
  <c r="B510"/>
  <c r="B511"/>
  <c r="B512"/>
  <c r="B513"/>
  <c r="B514"/>
  <c r="B515"/>
  <c r="B516"/>
  <c r="B517"/>
  <c r="B518"/>
  <c r="B519"/>
  <c r="B520"/>
  <c r="B521"/>
  <c r="B522"/>
  <c r="B523"/>
  <c r="B524"/>
  <c r="B525"/>
  <c r="B526"/>
  <c r="B527"/>
  <c r="B528"/>
  <c r="B529"/>
  <c r="B530"/>
  <c r="B531"/>
  <c r="B532"/>
  <c r="B533"/>
  <c r="B534"/>
  <c r="B535"/>
  <c r="B536"/>
  <c r="B537"/>
  <c r="B538"/>
  <c r="B539"/>
  <c r="B540"/>
  <c r="B541"/>
  <c r="B542"/>
  <c r="B543"/>
  <c r="B544"/>
  <c r="B545"/>
  <c r="B546"/>
  <c r="B547"/>
  <c r="B548"/>
  <c r="B549"/>
  <c r="B550"/>
  <c r="B9"/>
  <c r="D134" i="4" s="1" a="1"/>
  <c r="D134" s="1"/>
  <c r="E134" s="1" a="1"/>
  <c r="E134" s="1"/>
  <c r="D541" l="1" a="1"/>
  <c r="D541" s="1"/>
  <c r="E541" s="1" a="1"/>
  <c r="E541" s="1"/>
  <c r="D142" a="1"/>
  <c r="D142" s="1"/>
  <c r="E142" s="1" a="1"/>
  <c r="E142" s="1"/>
  <c r="D94" a="1"/>
  <c r="D94" s="1"/>
  <c r="E94" s="1" a="1"/>
  <c r="E94" s="1"/>
  <c r="D96" a="1"/>
  <c r="D96" s="1"/>
  <c r="E96" s="1" a="1"/>
  <c r="E96" s="1"/>
  <c r="D98" a="1"/>
  <c r="D98" s="1"/>
  <c r="E98" s="1" a="1"/>
  <c r="E98" s="1"/>
  <c r="D100" a="1"/>
  <c r="D100" s="1"/>
  <c r="E100" s="1" a="1"/>
  <c r="E100" s="1"/>
  <c r="D102" a="1"/>
  <c r="D102" s="1"/>
  <c r="E102" s="1" a="1"/>
  <c r="E102" s="1"/>
  <c r="D104" a="1"/>
  <c r="D104" s="1"/>
  <c r="E104" s="1" a="1"/>
  <c r="E104" s="1"/>
  <c r="D106" a="1"/>
  <c r="D106" s="1"/>
  <c r="E106" s="1" a="1"/>
  <c r="E106" s="1"/>
  <c r="D108" a="1"/>
  <c r="D108" s="1"/>
  <c r="E108" s="1" a="1"/>
  <c r="E108" s="1"/>
  <c r="D110" a="1"/>
  <c r="D110" s="1"/>
  <c r="E110" s="1" a="1"/>
  <c r="E110" s="1"/>
  <c r="D112" a="1"/>
  <c r="D112" s="1"/>
  <c r="E112" s="1" a="1"/>
  <c r="E112" s="1"/>
  <c r="D114" a="1"/>
  <c r="D114" s="1"/>
  <c r="E114" s="1" a="1"/>
  <c r="E114" s="1"/>
  <c r="D116" a="1"/>
  <c r="D116" s="1"/>
  <c r="E116" s="1" a="1"/>
  <c r="E116" s="1"/>
  <c r="D118" a="1"/>
  <c r="D118" s="1"/>
  <c r="E118" s="1" a="1"/>
  <c r="E118" s="1"/>
  <c r="D120" a="1"/>
  <c r="D120" s="1"/>
  <c r="E120" s="1" a="1"/>
  <c r="E120" s="1"/>
  <c r="D122" a="1"/>
  <c r="D122" s="1"/>
  <c r="E122" s="1" a="1"/>
  <c r="E122" s="1"/>
  <c r="D124" a="1"/>
  <c r="D124" s="1"/>
  <c r="E124" s="1" a="1"/>
  <c r="E124" s="1"/>
  <c r="D126" a="1"/>
  <c r="D126" s="1"/>
  <c r="E126" s="1" a="1"/>
  <c r="E126" s="1"/>
  <c r="D128" a="1"/>
  <c r="D128" s="1"/>
  <c r="E128" s="1" a="1"/>
  <c r="E128" s="1"/>
  <c r="D130" a="1"/>
  <c r="D130" s="1"/>
  <c r="E130" s="1" a="1"/>
  <c r="E130" s="1"/>
  <c r="D132" a="1"/>
  <c r="D132" s="1"/>
  <c r="E132" s="1" a="1"/>
  <c r="E132" s="1"/>
  <c r="D136" a="1"/>
  <c r="D136" s="1"/>
  <c r="E136" s="1" a="1"/>
  <c r="E136" s="1"/>
  <c r="D138" a="1"/>
  <c r="D138" s="1"/>
  <c r="E138" s="1" a="1"/>
  <c r="E138" s="1"/>
  <c r="D140" a="1"/>
  <c r="D140" s="1"/>
  <c r="E140" s="1" a="1"/>
  <c r="E140" s="1"/>
  <c r="D144" a="1"/>
  <c r="D144" s="1"/>
  <c r="E144" s="1" a="1"/>
  <c r="E144" s="1"/>
  <c r="D146" a="1"/>
  <c r="D146" s="1"/>
  <c r="E146" s="1" a="1"/>
  <c r="E146" s="1"/>
  <c r="D148" a="1"/>
  <c r="D148" s="1"/>
  <c r="E148" s="1" a="1"/>
  <c r="E148" s="1"/>
  <c r="D150" a="1"/>
  <c r="D150" s="1"/>
  <c r="E150" s="1" a="1"/>
  <c r="E150" s="1"/>
  <c r="D152" a="1"/>
  <c r="D152" s="1"/>
  <c r="E152" s="1" a="1"/>
  <c r="E152" s="1"/>
  <c r="D154" a="1"/>
  <c r="D154" s="1"/>
  <c r="E154" s="1" a="1"/>
  <c r="E154" s="1"/>
  <c r="D95" a="1"/>
  <c r="D95" s="1"/>
  <c r="E95" s="1" a="1"/>
  <c r="E95" s="1"/>
  <c r="D99" a="1"/>
  <c r="D99" s="1"/>
  <c r="E99" s="1" a="1"/>
  <c r="E99" s="1"/>
  <c r="D103" a="1"/>
  <c r="D103" s="1"/>
  <c r="E103" s="1" a="1"/>
  <c r="E103" s="1"/>
  <c r="D107" a="1"/>
  <c r="D107" s="1"/>
  <c r="E107" s="1" a="1"/>
  <c r="E107" s="1"/>
  <c r="D111" a="1"/>
  <c r="D111" s="1"/>
  <c r="E111" s="1" a="1"/>
  <c r="E111" s="1"/>
  <c r="D115" a="1"/>
  <c r="D115" s="1"/>
  <c r="E115" s="1" a="1"/>
  <c r="E115" s="1"/>
  <c r="D119" a="1"/>
  <c r="D119" s="1"/>
  <c r="E119" s="1" a="1"/>
  <c r="E119" s="1"/>
  <c r="D123" a="1"/>
  <c r="D123" s="1"/>
  <c r="E123" s="1" a="1"/>
  <c r="E123" s="1"/>
  <c r="D127" a="1"/>
  <c r="D127" s="1"/>
  <c r="E127" s="1" a="1"/>
  <c r="E127" s="1"/>
  <c r="D131" a="1"/>
  <c r="D131" s="1"/>
  <c r="E131" s="1" a="1"/>
  <c r="E131" s="1"/>
  <c r="D135" a="1"/>
  <c r="D135" s="1"/>
  <c r="E135" s="1" a="1"/>
  <c r="E135" s="1"/>
  <c r="D139" a="1"/>
  <c r="D139" s="1"/>
  <c r="E139" s="1" a="1"/>
  <c r="E139" s="1"/>
  <c r="D143" a="1"/>
  <c r="D143" s="1"/>
  <c r="E143" s="1" a="1"/>
  <c r="E143" s="1"/>
  <c r="D147" a="1"/>
  <c r="D147" s="1"/>
  <c r="E147" s="1" a="1"/>
  <c r="E147" s="1"/>
  <c r="D151" a="1"/>
  <c r="D151" s="1"/>
  <c r="E151" s="1" a="1"/>
  <c r="E151" s="1"/>
  <c r="D155" a="1"/>
  <c r="D155" s="1"/>
  <c r="E155" s="1" a="1"/>
  <c r="E155" s="1"/>
  <c r="D159" a="1"/>
  <c r="D159" s="1"/>
  <c r="E159" s="1" a="1"/>
  <c r="E159" s="1"/>
  <c r="D163" a="1"/>
  <c r="D163" s="1"/>
  <c r="E163" s="1" a="1"/>
  <c r="E163" s="1"/>
  <c r="D167" a="1"/>
  <c r="D167" s="1"/>
  <c r="E167" s="1" a="1"/>
  <c r="E167" s="1"/>
  <c r="D171" a="1"/>
  <c r="D171" s="1"/>
  <c r="E171" s="1" a="1"/>
  <c r="E171" s="1"/>
  <c r="D175" a="1"/>
  <c r="D175" s="1"/>
  <c r="E175" s="1" a="1"/>
  <c r="E175" s="1"/>
  <c r="D179" a="1"/>
  <c r="D179" s="1"/>
  <c r="E179" s="1" a="1"/>
  <c r="E179" s="1"/>
  <c r="D183" a="1"/>
  <c r="D183" s="1"/>
  <c r="E183" s="1" a="1"/>
  <c r="E183" s="1"/>
  <c r="D187" a="1"/>
  <c r="D187" s="1"/>
  <c r="E187" s="1" a="1"/>
  <c r="E187" s="1"/>
  <c r="D191" a="1"/>
  <c r="D191" s="1"/>
  <c r="E191" s="1" a="1"/>
  <c r="E191" s="1"/>
  <c r="D195" a="1"/>
  <c r="D195" s="1"/>
  <c r="E195" s="1" a="1"/>
  <c r="E195" s="1"/>
  <c r="D199" a="1"/>
  <c r="D199" s="1"/>
  <c r="E199" s="1" a="1"/>
  <c r="E199" s="1"/>
  <c r="D203" a="1"/>
  <c r="D203" s="1"/>
  <c r="E203" s="1" a="1"/>
  <c r="E203" s="1"/>
  <c r="D207" a="1"/>
  <c r="D207" s="1"/>
  <c r="E207" s="1" a="1"/>
  <c r="E207" s="1"/>
  <c r="D211" a="1"/>
  <c r="D211" s="1"/>
  <c r="E211" s="1" a="1"/>
  <c r="E211" s="1"/>
  <c r="D215" a="1"/>
  <c r="D215" s="1"/>
  <c r="E215" s="1" a="1"/>
  <c r="E215" s="1"/>
  <c r="D219" a="1"/>
  <c r="D219" s="1"/>
  <c r="E219" s="1" a="1"/>
  <c r="E219" s="1"/>
  <c r="D223" a="1"/>
  <c r="D223" s="1"/>
  <c r="E223" s="1" a="1"/>
  <c r="E223" s="1"/>
  <c r="D227" a="1"/>
  <c r="D227" s="1"/>
  <c r="E227" s="1" a="1"/>
  <c r="E227" s="1"/>
  <c r="D231" a="1"/>
  <c r="D231" s="1"/>
  <c r="E231" s="1" a="1"/>
  <c r="E231" s="1"/>
  <c r="D235" a="1"/>
  <c r="D235" s="1"/>
  <c r="E235" s="1" a="1"/>
  <c r="E235" s="1"/>
  <c r="D239" a="1"/>
  <c r="D239" s="1"/>
  <c r="E239" s="1" a="1"/>
  <c r="E239" s="1"/>
  <c r="D243" a="1"/>
  <c r="D243" s="1"/>
  <c r="E243" s="1" a="1"/>
  <c r="E243" s="1"/>
  <c r="D247" a="1"/>
  <c r="D247" s="1"/>
  <c r="E247" s="1" a="1"/>
  <c r="E247" s="1"/>
  <c r="D251" a="1"/>
  <c r="D251" s="1"/>
  <c r="E251" s="1" a="1"/>
  <c r="E251" s="1"/>
  <c r="D255" a="1"/>
  <c r="D255" s="1"/>
  <c r="E255" s="1" a="1"/>
  <c r="E255" s="1"/>
  <c r="D259" a="1"/>
  <c r="D259" s="1"/>
  <c r="E259" s="1" a="1"/>
  <c r="E259" s="1"/>
  <c r="D263" a="1"/>
  <c r="D263" s="1"/>
  <c r="E263" s="1" a="1"/>
  <c r="E263" s="1"/>
  <c r="D267" a="1"/>
  <c r="D267" s="1"/>
  <c r="E267" s="1" a="1"/>
  <c r="E267" s="1"/>
  <c r="D271" a="1"/>
  <c r="D271" s="1"/>
  <c r="E271" s="1" a="1"/>
  <c r="E271" s="1"/>
  <c r="D275" a="1"/>
  <c r="D275" s="1"/>
  <c r="E275" s="1" a="1"/>
  <c r="E275" s="1"/>
  <c r="D279" a="1"/>
  <c r="D279" s="1"/>
  <c r="E279" s="1" a="1"/>
  <c r="E279" s="1"/>
  <c r="D283" a="1"/>
  <c r="D283" s="1"/>
  <c r="E283" s="1" a="1"/>
  <c r="E283" s="1"/>
  <c r="D287" a="1"/>
  <c r="D287" s="1"/>
  <c r="E287" s="1" a="1"/>
  <c r="E287" s="1"/>
  <c r="D291" a="1"/>
  <c r="D291" s="1"/>
  <c r="E291" s="1" a="1"/>
  <c r="E291" s="1"/>
  <c r="D295" a="1"/>
  <c r="D295" s="1"/>
  <c r="E295" s="1" a="1"/>
  <c r="E295" s="1"/>
  <c r="D299" a="1"/>
  <c r="D299" s="1"/>
  <c r="E299" s="1" a="1"/>
  <c r="E299" s="1"/>
  <c r="D303" a="1"/>
  <c r="D303" s="1"/>
  <c r="E303" s="1" a="1"/>
  <c r="E303" s="1"/>
  <c r="D307" a="1"/>
  <c r="D307" s="1"/>
  <c r="E307" s="1" a="1"/>
  <c r="E307" s="1"/>
  <c r="D311" a="1"/>
  <c r="D311" s="1"/>
  <c r="E311" s="1" a="1"/>
  <c r="E311" s="1"/>
  <c r="D315" a="1"/>
  <c r="D315" s="1"/>
  <c r="E315" s="1" a="1"/>
  <c r="E315" s="1"/>
  <c r="D319" a="1"/>
  <c r="D319" s="1"/>
  <c r="E319" s="1" a="1"/>
  <c r="E319" s="1"/>
  <c r="D323" a="1"/>
  <c r="D323" s="1"/>
  <c r="E323" s="1" a="1"/>
  <c r="E323" s="1"/>
  <c r="D327" a="1"/>
  <c r="D327" s="1"/>
  <c r="E327" s="1" a="1"/>
  <c r="E327" s="1"/>
  <c r="D331" a="1"/>
  <c r="D331" s="1"/>
  <c r="E331" s="1" a="1"/>
  <c r="E331" s="1"/>
  <c r="D335" a="1"/>
  <c r="D335" s="1"/>
  <c r="E335" s="1" a="1"/>
  <c r="E335" s="1"/>
  <c r="D339" a="1"/>
  <c r="D339" s="1"/>
  <c r="E339" s="1" a="1"/>
  <c r="E339" s="1"/>
  <c r="D343" a="1"/>
  <c r="D343" s="1"/>
  <c r="E343" s="1" a="1"/>
  <c r="E343" s="1"/>
  <c r="D347" a="1"/>
  <c r="D347" s="1"/>
  <c r="E347" s="1" a="1"/>
  <c r="E347" s="1"/>
  <c r="D351" a="1"/>
  <c r="D351" s="1"/>
  <c r="E351" s="1" a="1"/>
  <c r="E351" s="1"/>
  <c r="D355" a="1"/>
  <c r="D355" s="1"/>
  <c r="E355" s="1" a="1"/>
  <c r="E355" s="1"/>
  <c r="D359" a="1"/>
  <c r="D359" s="1"/>
  <c r="E359" s="1" a="1"/>
  <c r="E359" s="1"/>
  <c r="D363" a="1"/>
  <c r="D363" s="1"/>
  <c r="E363" s="1" a="1"/>
  <c r="E363" s="1"/>
  <c r="D367" a="1"/>
  <c r="D367" s="1"/>
  <c r="E367" s="1" a="1"/>
  <c r="E367" s="1"/>
  <c r="D371" a="1"/>
  <c r="D371" s="1"/>
  <c r="E371" s="1" a="1"/>
  <c r="E371" s="1"/>
  <c r="D375" a="1"/>
  <c r="D375" s="1"/>
  <c r="E375" s="1" a="1"/>
  <c r="E375" s="1"/>
  <c r="D379" a="1"/>
  <c r="D379" s="1"/>
  <c r="E379" s="1" a="1"/>
  <c r="E379" s="1"/>
  <c r="D383" a="1"/>
  <c r="D383" s="1"/>
  <c r="E383" s="1" a="1"/>
  <c r="E383" s="1"/>
  <c r="D387" a="1"/>
  <c r="D387" s="1"/>
  <c r="E387" s="1" a="1"/>
  <c r="E387" s="1"/>
  <c r="D391" a="1"/>
  <c r="D391" s="1"/>
  <c r="E391" s="1" a="1"/>
  <c r="E391" s="1"/>
  <c r="D395" a="1"/>
  <c r="D395" s="1"/>
  <c r="E395" s="1" a="1"/>
  <c r="E395" s="1"/>
  <c r="D399" a="1"/>
  <c r="D399" s="1"/>
  <c r="E399" s="1" a="1"/>
  <c r="E399" s="1"/>
  <c r="D403" a="1"/>
  <c r="D403" s="1"/>
  <c r="E403" s="1" a="1"/>
  <c r="E403" s="1"/>
  <c r="D407" a="1"/>
  <c r="D407" s="1"/>
  <c r="E407" s="1" a="1"/>
  <c r="E407" s="1"/>
  <c r="D411" a="1"/>
  <c r="D411" s="1"/>
  <c r="E411" s="1" a="1"/>
  <c r="E411" s="1"/>
  <c r="D415" a="1"/>
  <c r="D415" s="1"/>
  <c r="E415" s="1" a="1"/>
  <c r="E415" s="1"/>
  <c r="D419" a="1"/>
  <c r="D419" s="1"/>
  <c r="E419" s="1" a="1"/>
  <c r="E419" s="1"/>
  <c r="D423" a="1"/>
  <c r="D423" s="1"/>
  <c r="E423" s="1" a="1"/>
  <c r="E423" s="1"/>
  <c r="D427" a="1"/>
  <c r="D427" s="1"/>
  <c r="E427" s="1" a="1"/>
  <c r="E427" s="1"/>
  <c r="D431" a="1"/>
  <c r="D431" s="1"/>
  <c r="E431" s="1" a="1"/>
  <c r="E431" s="1"/>
  <c r="D435" a="1"/>
  <c r="D435" s="1"/>
  <c r="E435" s="1" a="1"/>
  <c r="E435" s="1"/>
  <c r="D439" a="1"/>
  <c r="D439" s="1"/>
  <c r="E439" s="1" a="1"/>
  <c r="E439" s="1"/>
  <c r="D443" a="1"/>
  <c r="D443" s="1"/>
  <c r="E443" s="1" a="1"/>
  <c r="E443" s="1"/>
  <c r="D447" a="1"/>
  <c r="D447" s="1"/>
  <c r="E447" s="1" a="1"/>
  <c r="E447" s="1"/>
  <c r="D451" a="1"/>
  <c r="D451" s="1"/>
  <c r="E451" s="1" a="1"/>
  <c r="E451" s="1"/>
  <c r="D455" a="1"/>
  <c r="D455" s="1"/>
  <c r="E455" s="1" a="1"/>
  <c r="E455" s="1"/>
  <c r="D459" a="1"/>
  <c r="D459" s="1"/>
  <c r="E459" s="1" a="1"/>
  <c r="E459" s="1"/>
  <c r="D463" a="1"/>
  <c r="D463" s="1"/>
  <c r="E463" s="1" a="1"/>
  <c r="E463" s="1"/>
  <c r="D467" a="1"/>
  <c r="D467" s="1"/>
  <c r="E467" s="1" a="1"/>
  <c r="E467" s="1"/>
  <c r="D471" a="1"/>
  <c r="D471" s="1"/>
  <c r="E471" s="1" a="1"/>
  <c r="E471" s="1"/>
  <c r="D475" a="1"/>
  <c r="D475" s="1"/>
  <c r="E475" s="1" a="1"/>
  <c r="E475" s="1"/>
  <c r="D479" a="1"/>
  <c r="D479" s="1"/>
  <c r="E479" s="1" a="1"/>
  <c r="E479" s="1"/>
  <c r="D483" a="1"/>
  <c r="D483" s="1"/>
  <c r="E483" s="1" a="1"/>
  <c r="E483" s="1"/>
  <c r="D487" a="1"/>
  <c r="D487" s="1"/>
  <c r="E487" s="1" a="1"/>
  <c r="E487" s="1"/>
  <c r="D495" a="1"/>
  <c r="D495" s="1"/>
  <c r="E495" s="1" a="1"/>
  <c r="E495" s="1"/>
  <c r="D503" a="1"/>
  <c r="D503" s="1"/>
  <c r="E503" s="1" a="1"/>
  <c r="E503" s="1"/>
  <c r="D511" a="1"/>
  <c r="D511" s="1"/>
  <c r="E511" s="1" a="1"/>
  <c r="E511" s="1"/>
  <c r="D519" a="1"/>
  <c r="D519" s="1"/>
  <c r="E519" s="1" a="1"/>
  <c r="E519" s="1"/>
  <c r="D527" a="1"/>
  <c r="D527" s="1"/>
  <c r="E527" s="1" a="1"/>
  <c r="E527" s="1"/>
  <c r="D535" a="1"/>
  <c r="D535" s="1"/>
  <c r="E535" s="1" a="1"/>
  <c r="E535" s="1"/>
  <c r="D156" a="1"/>
  <c r="D156" s="1"/>
  <c r="E156" s="1" a="1"/>
  <c r="E156" s="1"/>
  <c r="D160" a="1"/>
  <c r="D160" s="1"/>
  <c r="E160" s="1" a="1"/>
  <c r="E160" s="1"/>
  <c r="D164" a="1"/>
  <c r="D164" s="1"/>
  <c r="E164" s="1" a="1"/>
  <c r="E164" s="1"/>
  <c r="D168" a="1"/>
  <c r="D168" s="1"/>
  <c r="E168" s="1" a="1"/>
  <c r="E168" s="1"/>
  <c r="D172" a="1"/>
  <c r="D172" s="1"/>
  <c r="E172" s="1" a="1"/>
  <c r="E172" s="1"/>
  <c r="D176" a="1"/>
  <c r="D176" s="1"/>
  <c r="E176" s="1" a="1"/>
  <c r="E176" s="1"/>
  <c r="D180" a="1"/>
  <c r="D180" s="1"/>
  <c r="E180" s="1" a="1"/>
  <c r="E180" s="1"/>
  <c r="D184" a="1"/>
  <c r="D184" s="1"/>
  <c r="E184" s="1" a="1"/>
  <c r="E184" s="1"/>
  <c r="D188" a="1"/>
  <c r="D188" s="1"/>
  <c r="E188" s="1" a="1"/>
  <c r="E188" s="1"/>
  <c r="D192" a="1"/>
  <c r="D192" s="1"/>
  <c r="E192" s="1" a="1"/>
  <c r="E192" s="1"/>
  <c r="D196" a="1"/>
  <c r="D196" s="1"/>
  <c r="E196" s="1" a="1"/>
  <c r="E196" s="1"/>
  <c r="D200" a="1"/>
  <c r="D200" s="1"/>
  <c r="E200" s="1" a="1"/>
  <c r="E200" s="1"/>
  <c r="D204" a="1"/>
  <c r="D204" s="1"/>
  <c r="E204" s="1" a="1"/>
  <c r="E204" s="1"/>
  <c r="D208" a="1"/>
  <c r="D208" s="1"/>
  <c r="E208" s="1" a="1"/>
  <c r="E208" s="1"/>
  <c r="D212" a="1"/>
  <c r="D212" s="1"/>
  <c r="E212" s="1" a="1"/>
  <c r="E212" s="1"/>
  <c r="D216" a="1"/>
  <c r="D216" s="1"/>
  <c r="E216" s="1" a="1"/>
  <c r="E216" s="1"/>
  <c r="D220" a="1"/>
  <c r="D220" s="1"/>
  <c r="E220" s="1" a="1"/>
  <c r="E220" s="1"/>
  <c r="D224" a="1"/>
  <c r="D224" s="1"/>
  <c r="E224" s="1" a="1"/>
  <c r="E224" s="1"/>
  <c r="D228" a="1"/>
  <c r="D228" s="1"/>
  <c r="E228" s="1" a="1"/>
  <c r="E228" s="1"/>
  <c r="D232" a="1"/>
  <c r="D232" s="1"/>
  <c r="E232" s="1" a="1"/>
  <c r="E232" s="1"/>
  <c r="D236" a="1"/>
  <c r="D236" s="1"/>
  <c r="E236" s="1" a="1"/>
  <c r="E236" s="1"/>
  <c r="D240" a="1"/>
  <c r="D240" s="1"/>
  <c r="E240" s="1" a="1"/>
  <c r="E240" s="1"/>
  <c r="D244" a="1"/>
  <c r="D244" s="1"/>
  <c r="E244" s="1" a="1"/>
  <c r="E244" s="1"/>
  <c r="D248" a="1"/>
  <c r="D248" s="1"/>
  <c r="E248" s="1" a="1"/>
  <c r="E248" s="1"/>
  <c r="D252" a="1"/>
  <c r="D252" s="1"/>
  <c r="E252" s="1" a="1"/>
  <c r="E252" s="1"/>
  <c r="D256" a="1"/>
  <c r="D256" s="1"/>
  <c r="E256" s="1" a="1"/>
  <c r="E256" s="1"/>
  <c r="D260" a="1"/>
  <c r="D260" s="1"/>
  <c r="E260" s="1" a="1"/>
  <c r="E260" s="1"/>
  <c r="D264" a="1"/>
  <c r="D264" s="1"/>
  <c r="E264" s="1" a="1"/>
  <c r="E264" s="1"/>
  <c r="D268" a="1"/>
  <c r="D268" s="1"/>
  <c r="E268" s="1" a="1"/>
  <c r="E268" s="1"/>
  <c r="D272" a="1"/>
  <c r="D272" s="1"/>
  <c r="E272" s="1" a="1"/>
  <c r="E272" s="1"/>
  <c r="D276" a="1"/>
  <c r="D276" s="1"/>
  <c r="E276" s="1" a="1"/>
  <c r="E276" s="1"/>
  <c r="D280" a="1"/>
  <c r="D280" s="1"/>
  <c r="E280" s="1" a="1"/>
  <c r="E280" s="1"/>
  <c r="D284" a="1"/>
  <c r="D284" s="1"/>
  <c r="E284" s="1" a="1"/>
  <c r="E284" s="1"/>
  <c r="D288" a="1"/>
  <c r="D288" s="1"/>
  <c r="E288" s="1" a="1"/>
  <c r="E288" s="1"/>
  <c r="D292" a="1"/>
  <c r="D292" s="1"/>
  <c r="E292" s="1" a="1"/>
  <c r="E292" s="1"/>
  <c r="D296" a="1"/>
  <c r="D296" s="1"/>
  <c r="E296" s="1" a="1"/>
  <c r="E296" s="1"/>
  <c r="D300" a="1"/>
  <c r="D300" s="1"/>
  <c r="E300" s="1" a="1"/>
  <c r="E300" s="1"/>
  <c r="D304" a="1"/>
  <c r="D304" s="1"/>
  <c r="E304" s="1" a="1"/>
  <c r="E304" s="1"/>
  <c r="D308" a="1"/>
  <c r="D308" s="1"/>
  <c r="E308" s="1" a="1"/>
  <c r="E308" s="1"/>
  <c r="D312" a="1"/>
  <c r="D312" s="1"/>
  <c r="E312" s="1" a="1"/>
  <c r="E312" s="1"/>
  <c r="D316" a="1"/>
  <c r="D316" s="1"/>
  <c r="E316" s="1" a="1"/>
  <c r="E316" s="1"/>
  <c r="D320" a="1"/>
  <c r="D320" s="1"/>
  <c r="E320" s="1" a="1"/>
  <c r="E320" s="1"/>
  <c r="D324" a="1"/>
  <c r="D324" s="1"/>
  <c r="E324" s="1" a="1"/>
  <c r="E324" s="1"/>
  <c r="D328" a="1"/>
  <c r="D328" s="1"/>
  <c r="E328" s="1" a="1"/>
  <c r="E328" s="1"/>
  <c r="D332" a="1"/>
  <c r="D332" s="1"/>
  <c r="E332" s="1" a="1"/>
  <c r="E332" s="1"/>
  <c r="D336" a="1"/>
  <c r="D336" s="1"/>
  <c r="E336" s="1" a="1"/>
  <c r="E336" s="1"/>
  <c r="D340" a="1"/>
  <c r="D340" s="1"/>
  <c r="E340" s="1" a="1"/>
  <c r="E340" s="1"/>
  <c r="D344" a="1"/>
  <c r="D344" s="1"/>
  <c r="E344" s="1" a="1"/>
  <c r="E344" s="1"/>
  <c r="D348" a="1"/>
  <c r="D348" s="1"/>
  <c r="E348" s="1" a="1"/>
  <c r="E348" s="1"/>
  <c r="D352" a="1"/>
  <c r="D352" s="1"/>
  <c r="E352" s="1" a="1"/>
  <c r="E352" s="1"/>
  <c r="D356" a="1"/>
  <c r="D356" s="1"/>
  <c r="E356" s="1" a="1"/>
  <c r="E356" s="1"/>
  <c r="D360" a="1"/>
  <c r="D360" s="1"/>
  <c r="E360" s="1" a="1"/>
  <c r="E360" s="1"/>
  <c r="D364" a="1"/>
  <c r="D364" s="1"/>
  <c r="E364" s="1" a="1"/>
  <c r="E364" s="1"/>
  <c r="D368" a="1"/>
  <c r="D368" s="1"/>
  <c r="E368" s="1" a="1"/>
  <c r="E368" s="1"/>
  <c r="D372" a="1"/>
  <c r="D372" s="1"/>
  <c r="E372" s="1" a="1"/>
  <c r="E372" s="1"/>
  <c r="D376" a="1"/>
  <c r="D376" s="1"/>
  <c r="E376" s="1" a="1"/>
  <c r="E376" s="1"/>
  <c r="D380" a="1"/>
  <c r="D380" s="1"/>
  <c r="E380" s="1" a="1"/>
  <c r="E380" s="1"/>
  <c r="D384" a="1"/>
  <c r="D384" s="1"/>
  <c r="E384" s="1" a="1"/>
  <c r="E384" s="1"/>
  <c r="D388" a="1"/>
  <c r="D388" s="1"/>
  <c r="E388" s="1" a="1"/>
  <c r="E388" s="1"/>
  <c r="D392" a="1"/>
  <c r="D392" s="1"/>
  <c r="E392" s="1" a="1"/>
  <c r="E392" s="1"/>
  <c r="D396" a="1"/>
  <c r="D396" s="1"/>
  <c r="E396" s="1" a="1"/>
  <c r="E396" s="1"/>
  <c r="D400" a="1"/>
  <c r="D400" s="1"/>
  <c r="E400" s="1" a="1"/>
  <c r="E400" s="1"/>
  <c r="D404" a="1"/>
  <c r="D404" s="1"/>
  <c r="E404" s="1" a="1"/>
  <c r="E404" s="1"/>
  <c r="D408" a="1"/>
  <c r="D408" s="1"/>
  <c r="E408" s="1" a="1"/>
  <c r="E408" s="1"/>
  <c r="D412" a="1"/>
  <c r="D412" s="1"/>
  <c r="E412" s="1" a="1"/>
  <c r="E412" s="1"/>
  <c r="D416" a="1"/>
  <c r="D416" s="1"/>
  <c r="E416" s="1" a="1"/>
  <c r="E416" s="1"/>
  <c r="D420" a="1"/>
  <c r="D420" s="1"/>
  <c r="E420" s="1" a="1"/>
  <c r="E420" s="1"/>
  <c r="D424" a="1"/>
  <c r="D424" s="1"/>
  <c r="E424" s="1" a="1"/>
  <c r="E424" s="1"/>
  <c r="D428" a="1"/>
  <c r="D428" s="1"/>
  <c r="E428" s="1" a="1"/>
  <c r="E428" s="1"/>
  <c r="D432" a="1"/>
  <c r="D432" s="1"/>
  <c r="E432" s="1" a="1"/>
  <c r="E432" s="1"/>
  <c r="D436" a="1"/>
  <c r="D436" s="1"/>
  <c r="E436" s="1" a="1"/>
  <c r="E436" s="1"/>
  <c r="D440" a="1"/>
  <c r="D440" s="1"/>
  <c r="E440" s="1" a="1"/>
  <c r="E440" s="1"/>
  <c r="D444" a="1"/>
  <c r="D444" s="1"/>
  <c r="E444" s="1" a="1"/>
  <c r="E444" s="1"/>
  <c r="D448" a="1"/>
  <c r="D448" s="1"/>
  <c r="E448" s="1" a="1"/>
  <c r="E448" s="1"/>
  <c r="D452" a="1"/>
  <c r="D452" s="1"/>
  <c r="E452" s="1" a="1"/>
  <c r="E452" s="1"/>
  <c r="D456" a="1"/>
  <c r="D456" s="1"/>
  <c r="E456" s="1" a="1"/>
  <c r="E456" s="1"/>
  <c r="D460" a="1"/>
  <c r="D460" s="1"/>
  <c r="E460" s="1" a="1"/>
  <c r="E460" s="1"/>
  <c r="D464" a="1"/>
  <c r="D464" s="1"/>
  <c r="E464" s="1" a="1"/>
  <c r="E464" s="1"/>
  <c r="D468" a="1"/>
  <c r="D468" s="1"/>
  <c r="E468" s="1" a="1"/>
  <c r="E468" s="1"/>
  <c r="D472" a="1"/>
  <c r="D472" s="1"/>
  <c r="E472" s="1" a="1"/>
  <c r="E472" s="1"/>
  <c r="D476" a="1"/>
  <c r="D476" s="1"/>
  <c r="E476" s="1" a="1"/>
  <c r="E476" s="1"/>
  <c r="D480" a="1"/>
  <c r="D480" s="1"/>
  <c r="E480" s="1" a="1"/>
  <c r="E480" s="1"/>
  <c r="D484" a="1"/>
  <c r="D484" s="1"/>
  <c r="E484" s="1" a="1"/>
  <c r="E484" s="1"/>
  <c r="D488" a="1"/>
  <c r="D488" s="1"/>
  <c r="E488" s="1" a="1"/>
  <c r="E488" s="1"/>
  <c r="D492" a="1"/>
  <c r="D492" s="1"/>
  <c r="E492" s="1" a="1"/>
  <c r="E492" s="1"/>
  <c r="D496" a="1"/>
  <c r="D496" s="1"/>
  <c r="E496" s="1" a="1"/>
  <c r="E496" s="1"/>
  <c r="D500" a="1"/>
  <c r="D500" s="1"/>
  <c r="E500" s="1" a="1"/>
  <c r="E500" s="1"/>
  <c r="D504" a="1"/>
  <c r="D504" s="1"/>
  <c r="E504" s="1" a="1"/>
  <c r="E504" s="1"/>
  <c r="D508" a="1"/>
  <c r="D508" s="1"/>
  <c r="E508" s="1" a="1"/>
  <c r="E508" s="1"/>
  <c r="D512" a="1"/>
  <c r="D512" s="1"/>
  <c r="E512" s="1" a="1"/>
  <c r="E512" s="1"/>
  <c r="D516" a="1"/>
  <c r="D516" s="1"/>
  <c r="E516" s="1" a="1"/>
  <c r="E516" s="1"/>
  <c r="D520" a="1"/>
  <c r="D520" s="1"/>
  <c r="E520" s="1" a="1"/>
  <c r="E520" s="1"/>
  <c r="D524" a="1"/>
  <c r="D524" s="1"/>
  <c r="E524" s="1" a="1"/>
  <c r="E524" s="1"/>
  <c r="D528" a="1"/>
  <c r="D528" s="1"/>
  <c r="E528" s="1" a="1"/>
  <c r="E528" s="1"/>
  <c r="D532" a="1"/>
  <c r="D532" s="1"/>
  <c r="E532" s="1" a="1"/>
  <c r="E532" s="1"/>
  <c r="D536" a="1"/>
  <c r="D536" s="1"/>
  <c r="E536" s="1" a="1"/>
  <c r="E536" s="1"/>
  <c r="D540" a="1"/>
  <c r="D540" s="1"/>
  <c r="E540" s="1" a="1"/>
  <c r="E540" s="1"/>
  <c r="D543" a="1"/>
  <c r="D543" s="1"/>
  <c r="E543" s="1" a="1"/>
  <c r="E543" s="1"/>
  <c r="D493" a="1"/>
  <c r="D493" s="1"/>
  <c r="E493" s="1" a="1"/>
  <c r="E493" s="1"/>
  <c r="D501" a="1"/>
  <c r="D501" s="1"/>
  <c r="E501" s="1" a="1"/>
  <c r="E501" s="1"/>
  <c r="D509" a="1"/>
  <c r="D509" s="1"/>
  <c r="E509" s="1" a="1"/>
  <c r="E509" s="1"/>
  <c r="D517" a="1"/>
  <c r="D517" s="1"/>
  <c r="E517" s="1" a="1"/>
  <c r="E517" s="1"/>
  <c r="D525" a="1"/>
  <c r="D525" s="1"/>
  <c r="E525" s="1" a="1"/>
  <c r="E525" s="1"/>
  <c r="D533" a="1"/>
  <c r="D533" s="1"/>
  <c r="E533" s="1" a="1"/>
  <c r="E533" s="1"/>
  <c r="D38" a="1"/>
  <c r="D38" s="1"/>
  <c r="E38" s="1" a="1"/>
  <c r="E38" s="1"/>
  <c r="D40" a="1"/>
  <c r="D40" s="1"/>
  <c r="E40" s="1" a="1"/>
  <c r="E40" s="1"/>
  <c r="D42" a="1"/>
  <c r="D42" s="1"/>
  <c r="E42" s="1" a="1"/>
  <c r="E42" s="1"/>
  <c r="D44" a="1"/>
  <c r="D44" s="1"/>
  <c r="E44" s="1" a="1"/>
  <c r="E44" s="1"/>
  <c r="D46" a="1"/>
  <c r="D46" s="1"/>
  <c r="E46" s="1" a="1"/>
  <c r="E46" s="1"/>
  <c r="D48" a="1"/>
  <c r="D48" s="1"/>
  <c r="E48" s="1" a="1"/>
  <c r="E48" s="1"/>
  <c r="D50" a="1"/>
  <c r="D50" s="1"/>
  <c r="E50" s="1" a="1"/>
  <c r="E50" s="1"/>
  <c r="D52" a="1"/>
  <c r="D52" s="1"/>
  <c r="E52" s="1" a="1"/>
  <c r="E52" s="1"/>
  <c r="D54" a="1"/>
  <c r="D54" s="1"/>
  <c r="E54" s="1" a="1"/>
  <c r="E54" s="1"/>
  <c r="D56" a="1"/>
  <c r="D56" s="1"/>
  <c r="E56" s="1" a="1"/>
  <c r="E56" s="1"/>
  <c r="D58" a="1"/>
  <c r="D58" s="1"/>
  <c r="E58" s="1" a="1"/>
  <c r="E58" s="1"/>
  <c r="D60" a="1"/>
  <c r="D60" s="1"/>
  <c r="E60" s="1" a="1"/>
  <c r="E60" s="1"/>
  <c r="D62" a="1"/>
  <c r="D62" s="1"/>
  <c r="E62" s="1" a="1"/>
  <c r="E62" s="1"/>
  <c r="D64" a="1"/>
  <c r="D64" s="1"/>
  <c r="E64" s="1" a="1"/>
  <c r="E64" s="1"/>
  <c r="D66" a="1"/>
  <c r="D66" s="1"/>
  <c r="E66" s="1" a="1"/>
  <c r="E66" s="1"/>
  <c r="D68" a="1"/>
  <c r="D68" s="1"/>
  <c r="E68" s="1" a="1"/>
  <c r="E68" s="1"/>
  <c r="D70" a="1"/>
  <c r="D70" s="1"/>
  <c r="E70" s="1" a="1"/>
  <c r="E70" s="1"/>
  <c r="D72" a="1"/>
  <c r="D72" s="1"/>
  <c r="E72" s="1" a="1"/>
  <c r="E72" s="1"/>
  <c r="D74" a="1"/>
  <c r="D74" s="1"/>
  <c r="E74" s="1" a="1"/>
  <c r="E74" s="1"/>
  <c r="D76" a="1"/>
  <c r="D76" s="1"/>
  <c r="E76" s="1" a="1"/>
  <c r="E76" s="1"/>
  <c r="D78" a="1"/>
  <c r="D78" s="1"/>
  <c r="E78" s="1" a="1"/>
  <c r="E78" s="1"/>
  <c r="D80" a="1"/>
  <c r="D80" s="1"/>
  <c r="E80" s="1" a="1"/>
  <c r="E80" s="1"/>
  <c r="D82" a="1"/>
  <c r="D82" s="1"/>
  <c r="E82" s="1" a="1"/>
  <c r="E82" s="1"/>
  <c r="D84" a="1"/>
  <c r="D84" s="1"/>
  <c r="E84" s="1" a="1"/>
  <c r="E84" s="1"/>
  <c r="D86" a="1"/>
  <c r="D86" s="1"/>
  <c r="E86" s="1" a="1"/>
  <c r="E86" s="1"/>
  <c r="D88" a="1"/>
  <c r="D88" s="1"/>
  <c r="E88" s="1" a="1"/>
  <c r="E88" s="1"/>
  <c r="D90" a="1"/>
  <c r="D90" s="1"/>
  <c r="E90" s="1" a="1"/>
  <c r="E90" s="1"/>
  <c r="D92" a="1"/>
  <c r="D92" s="1"/>
  <c r="E92" s="1" a="1"/>
  <c r="E92" s="1"/>
  <c r="D19" a="1"/>
  <c r="D19" s="1"/>
  <c r="E19" s="1" a="1"/>
  <c r="E19" s="1"/>
  <c r="D21" a="1"/>
  <c r="D21" s="1"/>
  <c r="E21" s="1" a="1"/>
  <c r="E21" s="1"/>
  <c r="D23" a="1"/>
  <c r="D23" s="1"/>
  <c r="E23" s="1" a="1"/>
  <c r="E23" s="1"/>
  <c r="D25" a="1"/>
  <c r="D25" s="1"/>
  <c r="E25" s="1" a="1"/>
  <c r="E25" s="1"/>
  <c r="D27" a="1"/>
  <c r="D27" s="1"/>
  <c r="E27" s="1" a="1"/>
  <c r="E27" s="1"/>
  <c r="D29" a="1"/>
  <c r="D29" s="1"/>
  <c r="E29" s="1" a="1"/>
  <c r="E29" s="1"/>
  <c r="D31" a="1"/>
  <c r="D31" s="1"/>
  <c r="E31" s="1" a="1"/>
  <c r="E31" s="1"/>
  <c r="D33" a="1"/>
  <c r="D33" s="1"/>
  <c r="E33" s="1" a="1"/>
  <c r="E33" s="1"/>
  <c r="D35" a="1"/>
  <c r="D35" s="1"/>
  <c r="E35" s="1" a="1"/>
  <c r="E35" s="1"/>
  <c r="D9" a="1"/>
  <c r="D9" s="1"/>
  <c r="E9" s="1" a="1"/>
  <c r="E9" s="1"/>
  <c r="D11" a="1"/>
  <c r="D11" s="1"/>
  <c r="E11" s="1" a="1"/>
  <c r="E11" s="1"/>
  <c r="D13" a="1"/>
  <c r="D13" s="1"/>
  <c r="E13" s="1" a="1"/>
  <c r="E13" s="1"/>
  <c r="D15" a="1"/>
  <c r="D15" s="1"/>
  <c r="E15" s="1" a="1"/>
  <c r="E15" s="1"/>
  <c r="D17" a="1"/>
  <c r="D17" s="1"/>
  <c r="E17" s="1" a="1"/>
  <c r="E17" s="1"/>
  <c r="D3" a="1"/>
  <c r="D3" s="1"/>
  <c r="E3" s="1" a="1"/>
  <c r="E3" s="1"/>
  <c r="D5" a="1"/>
  <c r="D5" s="1"/>
  <c r="E5" s="1" a="1"/>
  <c r="E5" s="1"/>
  <c r="D7" a="1"/>
  <c r="D7" s="1"/>
  <c r="E7" s="1" a="1"/>
  <c r="E7" s="1"/>
  <c r="D2" a="1"/>
  <c r="D2" s="1"/>
  <c r="E2" s="1" a="1"/>
  <c r="E2" s="1"/>
  <c r="D37" a="1"/>
  <c r="D37" s="1"/>
  <c r="E37" s="1" a="1"/>
  <c r="E37" s="1"/>
  <c r="D39" a="1"/>
  <c r="D39" s="1"/>
  <c r="E39" s="1" a="1"/>
  <c r="E39" s="1"/>
  <c r="D41" a="1"/>
  <c r="D41" s="1"/>
  <c r="E41" s="1" a="1"/>
  <c r="E41" s="1"/>
  <c r="D43" a="1"/>
  <c r="D43" s="1"/>
  <c r="E43" s="1" a="1"/>
  <c r="E43" s="1"/>
  <c r="D45" a="1"/>
  <c r="D45" s="1"/>
  <c r="E45" s="1" a="1"/>
  <c r="E45" s="1"/>
  <c r="D47" a="1"/>
  <c r="D47" s="1"/>
  <c r="E47" s="1" a="1"/>
  <c r="E47" s="1"/>
  <c r="D49" a="1"/>
  <c r="D49" s="1"/>
  <c r="E49" s="1" a="1"/>
  <c r="E49" s="1"/>
  <c r="D51" a="1"/>
  <c r="D51" s="1"/>
  <c r="E51" s="1" a="1"/>
  <c r="E51" s="1"/>
  <c r="D53" a="1"/>
  <c r="D53" s="1"/>
  <c r="E53" s="1" a="1"/>
  <c r="E53" s="1"/>
  <c r="D55" a="1"/>
  <c r="D55" s="1"/>
  <c r="E55" s="1" a="1"/>
  <c r="E55" s="1"/>
  <c r="D57" a="1"/>
  <c r="D57" s="1"/>
  <c r="E57" s="1" a="1"/>
  <c r="E57" s="1"/>
  <c r="D59" a="1"/>
  <c r="D59" s="1"/>
  <c r="E59" s="1" a="1"/>
  <c r="E59" s="1"/>
  <c r="D61" a="1"/>
  <c r="D61" s="1"/>
  <c r="E61" s="1" a="1"/>
  <c r="E61" s="1"/>
  <c r="D63" a="1"/>
  <c r="D63" s="1"/>
  <c r="E63" s="1" a="1"/>
  <c r="E63" s="1"/>
  <c r="D65" a="1"/>
  <c r="D65" s="1"/>
  <c r="E65" s="1" a="1"/>
  <c r="E65" s="1"/>
  <c r="D67" a="1"/>
  <c r="D67" s="1"/>
  <c r="E67" s="1" a="1"/>
  <c r="E67" s="1"/>
  <c r="D69" a="1"/>
  <c r="D69" s="1"/>
  <c r="E69" s="1" a="1"/>
  <c r="E69" s="1"/>
  <c r="D71" a="1"/>
  <c r="D71" s="1"/>
  <c r="E71" s="1" a="1"/>
  <c r="E71" s="1"/>
  <c r="D73" a="1"/>
  <c r="D73" s="1"/>
  <c r="E73" s="1" a="1"/>
  <c r="E73" s="1"/>
  <c r="D75" a="1"/>
  <c r="D75" s="1"/>
  <c r="E75" s="1" a="1"/>
  <c r="E75" s="1"/>
  <c r="D77" a="1"/>
  <c r="D77" s="1"/>
  <c r="E77" s="1" a="1"/>
  <c r="E77" s="1"/>
  <c r="D79" a="1"/>
  <c r="D79" s="1"/>
  <c r="E79" s="1" a="1"/>
  <c r="E79" s="1"/>
  <c r="D81" a="1"/>
  <c r="D81" s="1"/>
  <c r="E81" s="1" a="1"/>
  <c r="E81" s="1"/>
  <c r="D83" a="1"/>
  <c r="D83" s="1"/>
  <c r="E83" s="1" a="1"/>
  <c r="E83" s="1"/>
  <c r="D85" a="1"/>
  <c r="D85" s="1"/>
  <c r="E85" s="1" a="1"/>
  <c r="E85" s="1"/>
  <c r="D87" a="1"/>
  <c r="D87" s="1"/>
  <c r="E87" s="1" a="1"/>
  <c r="E87" s="1"/>
  <c r="D89" a="1"/>
  <c r="D89" s="1"/>
  <c r="E89" s="1" a="1"/>
  <c r="E89" s="1"/>
  <c r="D91" a="1"/>
  <c r="D91" s="1"/>
  <c r="E91" s="1" a="1"/>
  <c r="E91" s="1"/>
  <c r="D93" a="1"/>
  <c r="D93" s="1"/>
  <c r="E93" s="1" a="1"/>
  <c r="E93" s="1"/>
  <c r="D20" a="1"/>
  <c r="D20" s="1"/>
  <c r="E20" s="1" a="1"/>
  <c r="E20" s="1"/>
  <c r="D22" a="1"/>
  <c r="D22" s="1"/>
  <c r="E22" s="1" a="1"/>
  <c r="E22" s="1"/>
  <c r="D24" a="1"/>
  <c r="D24" s="1"/>
  <c r="E24" s="1" a="1"/>
  <c r="E24" s="1"/>
  <c r="D26" a="1"/>
  <c r="D26" s="1"/>
  <c r="E26" s="1" a="1"/>
  <c r="E26" s="1"/>
  <c r="D28" a="1"/>
  <c r="D28" s="1"/>
  <c r="E28" s="1" a="1"/>
  <c r="E28" s="1"/>
  <c r="D30" a="1"/>
  <c r="D30" s="1"/>
  <c r="E30" s="1" a="1"/>
  <c r="E30" s="1"/>
  <c r="D32" a="1"/>
  <c r="D32" s="1"/>
  <c r="E32" s="1" a="1"/>
  <c r="E32" s="1"/>
  <c r="D34" a="1"/>
  <c r="D34" s="1"/>
  <c r="E34" s="1" a="1"/>
  <c r="E34" s="1"/>
  <c r="D36" a="1"/>
  <c r="D36" s="1"/>
  <c r="E36" s="1" a="1"/>
  <c r="E36" s="1"/>
  <c r="D10" a="1"/>
  <c r="D10" s="1"/>
  <c r="E10" s="1" a="1"/>
  <c r="E10" s="1"/>
  <c r="D12" a="1"/>
  <c r="D12" s="1"/>
  <c r="E12" s="1" a="1"/>
  <c r="E12" s="1"/>
  <c r="D14" a="1"/>
  <c r="D14" s="1"/>
  <c r="E14" s="1" a="1"/>
  <c r="E14" s="1"/>
  <c r="D16" a="1"/>
  <c r="D16" s="1"/>
  <c r="E16" s="1" a="1"/>
  <c r="E16" s="1"/>
  <c r="D18" a="1"/>
  <c r="D18" s="1"/>
  <c r="E18" s="1" a="1"/>
  <c r="E18" s="1"/>
  <c r="D4" a="1"/>
  <c r="D4" s="1"/>
  <c r="E4" s="1" a="1"/>
  <c r="E4" s="1"/>
  <c r="D6" a="1"/>
  <c r="D6" s="1"/>
  <c r="E6" s="1" a="1"/>
  <c r="E6" s="1"/>
  <c r="D8" a="1"/>
  <c r="D8" s="1"/>
  <c r="E8" s="1" a="1"/>
  <c r="E8" s="1"/>
  <c r="D97" a="1"/>
  <c r="D97" s="1"/>
  <c r="E97" s="1" a="1"/>
  <c r="E97" s="1"/>
  <c r="D101" a="1"/>
  <c r="D101" s="1"/>
  <c r="E101" s="1" a="1"/>
  <c r="E101" s="1"/>
  <c r="D105" a="1"/>
  <c r="D105" s="1"/>
  <c r="E105" s="1" a="1"/>
  <c r="E105" s="1"/>
  <c r="D109" a="1"/>
  <c r="D109" s="1"/>
  <c r="E109" s="1" a="1"/>
  <c r="E109" s="1"/>
  <c r="D113" a="1"/>
  <c r="D113" s="1"/>
  <c r="E113" s="1" a="1"/>
  <c r="E113" s="1"/>
  <c r="D117" a="1"/>
  <c r="D117" s="1"/>
  <c r="E117" s="1" a="1"/>
  <c r="E117" s="1"/>
  <c r="D121" a="1"/>
  <c r="D121" s="1"/>
  <c r="E121" s="1" a="1"/>
  <c r="E121" s="1"/>
  <c r="D125" a="1"/>
  <c r="D125" s="1"/>
  <c r="E125" s="1" a="1"/>
  <c r="E125" s="1"/>
  <c r="D129" a="1"/>
  <c r="D129" s="1"/>
  <c r="E129" s="1" a="1"/>
  <c r="E129" s="1"/>
  <c r="D133" a="1"/>
  <c r="D133" s="1"/>
  <c r="E133" s="1" a="1"/>
  <c r="E133" s="1"/>
  <c r="D137" a="1"/>
  <c r="D137" s="1"/>
  <c r="E137" s="1" a="1"/>
  <c r="E137" s="1"/>
  <c r="D141" a="1"/>
  <c r="D141" s="1"/>
  <c r="E141" s="1" a="1"/>
  <c r="E141" s="1"/>
  <c r="D145" a="1"/>
  <c r="D145" s="1"/>
  <c r="E145" s="1" a="1"/>
  <c r="E145" s="1"/>
  <c r="D149" a="1"/>
  <c r="D149" s="1"/>
  <c r="E149" s="1" a="1"/>
  <c r="E149" s="1"/>
  <c r="D153" a="1"/>
  <c r="D153" s="1"/>
  <c r="E153" s="1" a="1"/>
  <c r="E153" s="1"/>
  <c r="D157" a="1"/>
  <c r="D157" s="1"/>
  <c r="E157" s="1" a="1"/>
  <c r="E157" s="1"/>
  <c r="D161" a="1"/>
  <c r="D161" s="1"/>
  <c r="E161" s="1" a="1"/>
  <c r="E161" s="1"/>
  <c r="D165" a="1"/>
  <c r="D165" s="1"/>
  <c r="E165" s="1" a="1"/>
  <c r="E165" s="1"/>
  <c r="D169" a="1"/>
  <c r="D169" s="1"/>
  <c r="E169" s="1" a="1"/>
  <c r="E169" s="1"/>
  <c r="D173" a="1"/>
  <c r="D173" s="1"/>
  <c r="E173" s="1" a="1"/>
  <c r="E173" s="1"/>
  <c r="D177" a="1"/>
  <c r="D177" s="1"/>
  <c r="E177" s="1" a="1"/>
  <c r="E177" s="1"/>
  <c r="D181" a="1"/>
  <c r="D181" s="1"/>
  <c r="E181" s="1" a="1"/>
  <c r="E181" s="1"/>
  <c r="D185" a="1"/>
  <c r="D185" s="1"/>
  <c r="E185" s="1" a="1"/>
  <c r="E185" s="1"/>
  <c r="D189" a="1"/>
  <c r="D189" s="1"/>
  <c r="E189" s="1" a="1"/>
  <c r="E189" s="1"/>
  <c r="D193" a="1"/>
  <c r="D193" s="1"/>
  <c r="E193" s="1" a="1"/>
  <c r="E193" s="1"/>
  <c r="D197" a="1"/>
  <c r="D197" s="1"/>
  <c r="E197" s="1" a="1"/>
  <c r="E197" s="1"/>
  <c r="D201" a="1"/>
  <c r="D201" s="1"/>
  <c r="E201" s="1" a="1"/>
  <c r="E201" s="1"/>
  <c r="D205" a="1"/>
  <c r="D205" s="1"/>
  <c r="E205" s="1" a="1"/>
  <c r="E205" s="1"/>
  <c r="D209" a="1"/>
  <c r="D209" s="1"/>
  <c r="E209" s="1" a="1"/>
  <c r="E209" s="1"/>
  <c r="D213" a="1"/>
  <c r="D213" s="1"/>
  <c r="E213" s="1" a="1"/>
  <c r="E213" s="1"/>
  <c r="D217" a="1"/>
  <c r="D217" s="1"/>
  <c r="E217" s="1" a="1"/>
  <c r="E217" s="1"/>
  <c r="D221" a="1"/>
  <c r="D221" s="1"/>
  <c r="E221" s="1" a="1"/>
  <c r="E221" s="1"/>
  <c r="D225" a="1"/>
  <c r="D225" s="1"/>
  <c r="E225" s="1" a="1"/>
  <c r="E225" s="1"/>
  <c r="D229" a="1"/>
  <c r="D229" s="1"/>
  <c r="E229" s="1" a="1"/>
  <c r="E229" s="1"/>
  <c r="D233" a="1"/>
  <c r="D233" s="1"/>
  <c r="E233" s="1" a="1"/>
  <c r="E233" s="1"/>
  <c r="D237" a="1"/>
  <c r="D237" s="1"/>
  <c r="E237" s="1" a="1"/>
  <c r="E237" s="1"/>
  <c r="D241" a="1"/>
  <c r="D241" s="1"/>
  <c r="E241" s="1" a="1"/>
  <c r="E241" s="1"/>
  <c r="D245" a="1"/>
  <c r="D245" s="1"/>
  <c r="E245" s="1" a="1"/>
  <c r="E245" s="1"/>
  <c r="D249" a="1"/>
  <c r="D249" s="1"/>
  <c r="E249" s="1" a="1"/>
  <c r="E249" s="1"/>
  <c r="D253" a="1"/>
  <c r="D253" s="1"/>
  <c r="E253" s="1" a="1"/>
  <c r="E253" s="1"/>
  <c r="D257" a="1"/>
  <c r="D257" s="1"/>
  <c r="E257" s="1" a="1"/>
  <c r="E257" s="1"/>
  <c r="D261" a="1"/>
  <c r="D261" s="1"/>
  <c r="E261" s="1" a="1"/>
  <c r="E261" s="1"/>
  <c r="D265" a="1"/>
  <c r="D265" s="1"/>
  <c r="E265" s="1" a="1"/>
  <c r="E265" s="1"/>
  <c r="D269" a="1"/>
  <c r="D269" s="1"/>
  <c r="E269" s="1" a="1"/>
  <c r="E269" s="1"/>
  <c r="D273" a="1"/>
  <c r="D273" s="1"/>
  <c r="E273" s="1" a="1"/>
  <c r="E273" s="1"/>
  <c r="D277" a="1"/>
  <c r="D277" s="1"/>
  <c r="E277" s="1" a="1"/>
  <c r="E277" s="1"/>
  <c r="D281" a="1"/>
  <c r="D281" s="1"/>
  <c r="E281" s="1" a="1"/>
  <c r="E281" s="1"/>
  <c r="D285" a="1"/>
  <c r="D285" s="1"/>
  <c r="E285" s="1" a="1"/>
  <c r="E285" s="1"/>
  <c r="D289" a="1"/>
  <c r="D289" s="1"/>
  <c r="E289" s="1" a="1"/>
  <c r="E289" s="1"/>
  <c r="D293" a="1"/>
  <c r="D293" s="1"/>
  <c r="E293" s="1" a="1"/>
  <c r="E293" s="1"/>
  <c r="D297" a="1"/>
  <c r="D297" s="1"/>
  <c r="E297" s="1" a="1"/>
  <c r="E297" s="1"/>
  <c r="D301" a="1"/>
  <c r="D301" s="1"/>
  <c r="E301" s="1" a="1"/>
  <c r="E301" s="1"/>
  <c r="D305" a="1"/>
  <c r="D305" s="1"/>
  <c r="E305" s="1" a="1"/>
  <c r="E305" s="1"/>
  <c r="D309" a="1"/>
  <c r="D309" s="1"/>
  <c r="E309" s="1" a="1"/>
  <c r="E309" s="1"/>
  <c r="D313" a="1"/>
  <c r="D313" s="1"/>
  <c r="E313" s="1" a="1"/>
  <c r="E313" s="1"/>
  <c r="D317" a="1"/>
  <c r="D317" s="1"/>
  <c r="E317" s="1" a="1"/>
  <c r="E317" s="1"/>
  <c r="D321" a="1"/>
  <c r="D321" s="1"/>
  <c r="E321" s="1" a="1"/>
  <c r="E321" s="1"/>
  <c r="D325" a="1"/>
  <c r="D325" s="1"/>
  <c r="E325" s="1" a="1"/>
  <c r="E325" s="1"/>
  <c r="D329" a="1"/>
  <c r="D329" s="1"/>
  <c r="E329" s="1" a="1"/>
  <c r="E329" s="1"/>
  <c r="D333" a="1"/>
  <c r="D333" s="1"/>
  <c r="E333" s="1" a="1"/>
  <c r="E333" s="1"/>
  <c r="D337" a="1"/>
  <c r="D337" s="1"/>
  <c r="E337" s="1" a="1"/>
  <c r="E337" s="1"/>
  <c r="D341" a="1"/>
  <c r="D341" s="1"/>
  <c r="E341" s="1" a="1"/>
  <c r="E341" s="1"/>
  <c r="D345" a="1"/>
  <c r="D345" s="1"/>
  <c r="E345" s="1" a="1"/>
  <c r="E345" s="1"/>
  <c r="D349" a="1"/>
  <c r="D349" s="1"/>
  <c r="E349" s="1" a="1"/>
  <c r="E349" s="1"/>
  <c r="D353" a="1"/>
  <c r="D353" s="1"/>
  <c r="E353" s="1" a="1"/>
  <c r="E353" s="1"/>
  <c r="D357" a="1"/>
  <c r="D357" s="1"/>
  <c r="E357" s="1" a="1"/>
  <c r="E357" s="1"/>
  <c r="D361" a="1"/>
  <c r="D361" s="1"/>
  <c r="E361" s="1" a="1"/>
  <c r="E361" s="1"/>
  <c r="D365" a="1"/>
  <c r="D365" s="1"/>
  <c r="E365" s="1" a="1"/>
  <c r="E365" s="1"/>
  <c r="D369" a="1"/>
  <c r="D369" s="1"/>
  <c r="E369" s="1" a="1"/>
  <c r="E369" s="1"/>
  <c r="D373" a="1"/>
  <c r="D373" s="1"/>
  <c r="E373" s="1" a="1"/>
  <c r="E373" s="1"/>
  <c r="D377" a="1"/>
  <c r="D377" s="1"/>
  <c r="E377" s="1" a="1"/>
  <c r="E377" s="1"/>
  <c r="D381" a="1"/>
  <c r="D381" s="1"/>
  <c r="E381" s="1" a="1"/>
  <c r="E381" s="1"/>
  <c r="D385" a="1"/>
  <c r="D385" s="1"/>
  <c r="E385" s="1" a="1"/>
  <c r="E385" s="1"/>
  <c r="D389" a="1"/>
  <c r="D389" s="1"/>
  <c r="E389" s="1" a="1"/>
  <c r="E389" s="1"/>
  <c r="D393" a="1"/>
  <c r="D393" s="1"/>
  <c r="E393" s="1" a="1"/>
  <c r="E393" s="1"/>
  <c r="D397" a="1"/>
  <c r="D397" s="1"/>
  <c r="E397" s="1" a="1"/>
  <c r="E397" s="1"/>
  <c r="D401" a="1"/>
  <c r="D401" s="1"/>
  <c r="E401" s="1" a="1"/>
  <c r="E401" s="1"/>
  <c r="D405" a="1"/>
  <c r="D405" s="1"/>
  <c r="E405" s="1" a="1"/>
  <c r="E405" s="1"/>
  <c r="D409" a="1"/>
  <c r="D409" s="1"/>
  <c r="E409" s="1" a="1"/>
  <c r="E409" s="1"/>
  <c r="D413" a="1"/>
  <c r="D413" s="1"/>
  <c r="E413" s="1" a="1"/>
  <c r="E413" s="1"/>
  <c r="D417" a="1"/>
  <c r="D417" s="1"/>
  <c r="E417" s="1" a="1"/>
  <c r="E417" s="1"/>
  <c r="D421" a="1"/>
  <c r="D421" s="1"/>
  <c r="E421" s="1" a="1"/>
  <c r="E421" s="1"/>
  <c r="D425" a="1"/>
  <c r="D425" s="1"/>
  <c r="E425" s="1" a="1"/>
  <c r="E425" s="1"/>
  <c r="D429" a="1"/>
  <c r="D429" s="1"/>
  <c r="E429" s="1" a="1"/>
  <c r="E429" s="1"/>
  <c r="D433" a="1"/>
  <c r="D433" s="1"/>
  <c r="E433" s="1" a="1"/>
  <c r="E433" s="1"/>
  <c r="D437" a="1"/>
  <c r="D437" s="1"/>
  <c r="E437" s="1" a="1"/>
  <c r="E437" s="1"/>
  <c r="D441" a="1"/>
  <c r="D441" s="1"/>
  <c r="E441" s="1" a="1"/>
  <c r="E441" s="1"/>
  <c r="D445" a="1"/>
  <c r="D445" s="1"/>
  <c r="E445" s="1" a="1"/>
  <c r="E445" s="1"/>
  <c r="D449" a="1"/>
  <c r="D449" s="1"/>
  <c r="E449" s="1" a="1"/>
  <c r="E449" s="1"/>
  <c r="D453" a="1"/>
  <c r="D453" s="1"/>
  <c r="E453" s="1" a="1"/>
  <c r="E453" s="1"/>
  <c r="D457" a="1"/>
  <c r="D457" s="1"/>
  <c r="E457" s="1" a="1"/>
  <c r="E457" s="1"/>
  <c r="D461" a="1"/>
  <c r="D461" s="1"/>
  <c r="E461" s="1" a="1"/>
  <c r="E461" s="1"/>
  <c r="D465" a="1"/>
  <c r="D465" s="1"/>
  <c r="E465" s="1" a="1"/>
  <c r="E465" s="1"/>
  <c r="D469" a="1"/>
  <c r="D469" s="1"/>
  <c r="E469" s="1" a="1"/>
  <c r="E469" s="1"/>
  <c r="D473" a="1"/>
  <c r="D473" s="1"/>
  <c r="E473" s="1" a="1"/>
  <c r="E473" s="1"/>
  <c r="D477" a="1"/>
  <c r="D477" s="1"/>
  <c r="E477" s="1" a="1"/>
  <c r="E477" s="1"/>
  <c r="D481" a="1"/>
  <c r="D481" s="1"/>
  <c r="E481" s="1" a="1"/>
  <c r="E481" s="1"/>
  <c r="D485" a="1"/>
  <c r="D485" s="1"/>
  <c r="E485" s="1" a="1"/>
  <c r="E485" s="1"/>
  <c r="D491" a="1"/>
  <c r="D491" s="1"/>
  <c r="E491" s="1" a="1"/>
  <c r="E491" s="1"/>
  <c r="D499" a="1"/>
  <c r="D499" s="1"/>
  <c r="E499" s="1" a="1"/>
  <c r="E499" s="1"/>
  <c r="D507" a="1"/>
  <c r="D507" s="1"/>
  <c r="E507" s="1" a="1"/>
  <c r="E507" s="1"/>
  <c r="D515" a="1"/>
  <c r="D515" s="1"/>
  <c r="E515" s="1" a="1"/>
  <c r="E515" s="1"/>
  <c r="D523" a="1"/>
  <c r="D523" s="1"/>
  <c r="E523" s="1" a="1"/>
  <c r="E523" s="1"/>
  <c r="D531" a="1"/>
  <c r="D531" s="1"/>
  <c r="E531" s="1" a="1"/>
  <c r="E531" s="1"/>
  <c r="D539" a="1"/>
  <c r="D539" s="1"/>
  <c r="E539" s="1" a="1"/>
  <c r="E539" s="1"/>
  <c r="D158" a="1"/>
  <c r="D158" s="1"/>
  <c r="E158" s="1" a="1"/>
  <c r="E158" s="1"/>
  <c r="D162" a="1"/>
  <c r="D162" s="1"/>
  <c r="E162" s="1" a="1"/>
  <c r="E162" s="1"/>
  <c r="D166" a="1"/>
  <c r="D166" s="1"/>
  <c r="E166" s="1" a="1"/>
  <c r="E166" s="1"/>
  <c r="D170" a="1"/>
  <c r="D170" s="1"/>
  <c r="E170" s="1" a="1"/>
  <c r="E170" s="1"/>
  <c r="D174" a="1"/>
  <c r="D174" s="1"/>
  <c r="E174" s="1" a="1"/>
  <c r="E174" s="1"/>
  <c r="D178" a="1"/>
  <c r="D178" s="1"/>
  <c r="E178" s="1" a="1"/>
  <c r="E178" s="1"/>
  <c r="D182" a="1"/>
  <c r="D182" s="1"/>
  <c r="E182" s="1" a="1"/>
  <c r="E182" s="1"/>
  <c r="D186" a="1"/>
  <c r="D186" s="1"/>
  <c r="E186" s="1" a="1"/>
  <c r="E186" s="1"/>
  <c r="D190" a="1"/>
  <c r="D190" s="1"/>
  <c r="E190" s="1" a="1"/>
  <c r="E190" s="1"/>
  <c r="D194" a="1"/>
  <c r="D194" s="1"/>
  <c r="E194" s="1" a="1"/>
  <c r="E194" s="1"/>
  <c r="D198" a="1"/>
  <c r="D198" s="1"/>
  <c r="E198" s="1" a="1"/>
  <c r="E198" s="1"/>
  <c r="D202" a="1"/>
  <c r="D202" s="1"/>
  <c r="E202" s="1" a="1"/>
  <c r="E202" s="1"/>
  <c r="D206" a="1"/>
  <c r="D206" s="1"/>
  <c r="E206" s="1" a="1"/>
  <c r="E206" s="1"/>
  <c r="D210" a="1"/>
  <c r="D210" s="1"/>
  <c r="E210" s="1" a="1"/>
  <c r="E210" s="1"/>
  <c r="D214" a="1"/>
  <c r="D214" s="1"/>
  <c r="E214" s="1" a="1"/>
  <c r="E214" s="1"/>
  <c r="D218" a="1"/>
  <c r="D218" s="1"/>
  <c r="E218" s="1" a="1"/>
  <c r="E218" s="1"/>
  <c r="D222" a="1"/>
  <c r="D222" s="1"/>
  <c r="E222" s="1" a="1"/>
  <c r="E222" s="1"/>
  <c r="D226" a="1"/>
  <c r="D226" s="1"/>
  <c r="E226" s="1" a="1"/>
  <c r="E226" s="1"/>
  <c r="D230" a="1"/>
  <c r="D230" s="1"/>
  <c r="E230" s="1" a="1"/>
  <c r="E230" s="1"/>
  <c r="D234" a="1"/>
  <c r="D234" s="1"/>
  <c r="E234" s="1" a="1"/>
  <c r="E234" s="1"/>
  <c r="D238" a="1"/>
  <c r="D238" s="1"/>
  <c r="E238" s="1" a="1"/>
  <c r="E238" s="1"/>
  <c r="D242" a="1"/>
  <c r="D242" s="1"/>
  <c r="E242" s="1" a="1"/>
  <c r="E242" s="1"/>
  <c r="D246" a="1"/>
  <c r="D246" s="1"/>
  <c r="E246" s="1" a="1"/>
  <c r="E246" s="1"/>
  <c r="D250" a="1"/>
  <c r="D250" s="1"/>
  <c r="E250" s="1" a="1"/>
  <c r="E250" s="1"/>
  <c r="D254" a="1"/>
  <c r="D254" s="1"/>
  <c r="E254" s="1" a="1"/>
  <c r="E254" s="1"/>
  <c r="D258" a="1"/>
  <c r="D258" s="1"/>
  <c r="E258" s="1" a="1"/>
  <c r="E258" s="1"/>
  <c r="D262" a="1"/>
  <c r="D262" s="1"/>
  <c r="E262" s="1" a="1"/>
  <c r="E262" s="1"/>
  <c r="D266" a="1"/>
  <c r="D266" s="1"/>
  <c r="E266" s="1" a="1"/>
  <c r="E266" s="1"/>
  <c r="D270" a="1"/>
  <c r="D270" s="1"/>
  <c r="E270" s="1" a="1"/>
  <c r="E270" s="1"/>
  <c r="D274" a="1"/>
  <c r="D274" s="1"/>
  <c r="E274" s="1" a="1"/>
  <c r="E274" s="1"/>
  <c r="D278" a="1"/>
  <c r="D278" s="1"/>
  <c r="E278" s="1" a="1"/>
  <c r="E278" s="1"/>
  <c r="D282" a="1"/>
  <c r="D282" s="1"/>
  <c r="E282" s="1" a="1"/>
  <c r="E282" s="1"/>
  <c r="D286" a="1"/>
  <c r="D286" s="1"/>
  <c r="E286" s="1" a="1"/>
  <c r="E286" s="1"/>
  <c r="D290" a="1"/>
  <c r="D290" s="1"/>
  <c r="E290" s="1" a="1"/>
  <c r="E290" s="1"/>
  <c r="D294" a="1"/>
  <c r="D294" s="1"/>
  <c r="E294" s="1" a="1"/>
  <c r="E294" s="1"/>
  <c r="D298" a="1"/>
  <c r="D298" s="1"/>
  <c r="E298" s="1" a="1"/>
  <c r="E298" s="1"/>
  <c r="D302" a="1"/>
  <c r="D302" s="1"/>
  <c r="E302" s="1" a="1"/>
  <c r="E302" s="1"/>
  <c r="D306" a="1"/>
  <c r="D306" s="1"/>
  <c r="E306" s="1" a="1"/>
  <c r="E306" s="1"/>
  <c r="D310" a="1"/>
  <c r="D310" s="1"/>
  <c r="E310" s="1" a="1"/>
  <c r="E310" s="1"/>
  <c r="D314" a="1"/>
  <c r="D314" s="1"/>
  <c r="E314" s="1" a="1"/>
  <c r="E314" s="1"/>
  <c r="D318" a="1"/>
  <c r="D318" s="1"/>
  <c r="E318" s="1" a="1"/>
  <c r="E318" s="1"/>
  <c r="D322" a="1"/>
  <c r="D322" s="1"/>
  <c r="E322" s="1" a="1"/>
  <c r="E322" s="1"/>
  <c r="D326" a="1"/>
  <c r="D326" s="1"/>
  <c r="E326" s="1" a="1"/>
  <c r="E326" s="1"/>
  <c r="D330" a="1"/>
  <c r="D330" s="1"/>
  <c r="E330" s="1" a="1"/>
  <c r="E330" s="1"/>
  <c r="D334" a="1"/>
  <c r="D334" s="1"/>
  <c r="E334" s="1" a="1"/>
  <c r="E334" s="1"/>
  <c r="D338" a="1"/>
  <c r="D338" s="1"/>
  <c r="E338" s="1" a="1"/>
  <c r="E338" s="1"/>
  <c r="D342" a="1"/>
  <c r="D342" s="1"/>
  <c r="E342" s="1" a="1"/>
  <c r="E342" s="1"/>
  <c r="D346" a="1"/>
  <c r="D346" s="1"/>
  <c r="E346" s="1" a="1"/>
  <c r="E346" s="1"/>
  <c r="D350" a="1"/>
  <c r="D350" s="1"/>
  <c r="E350" s="1" a="1"/>
  <c r="E350" s="1"/>
  <c r="D354" a="1"/>
  <c r="D354" s="1"/>
  <c r="E354" s="1" a="1"/>
  <c r="E354" s="1"/>
  <c r="D358" a="1"/>
  <c r="D358" s="1"/>
  <c r="E358" s="1" a="1"/>
  <c r="E358" s="1"/>
  <c r="D362" a="1"/>
  <c r="D362" s="1"/>
  <c r="E362" s="1" a="1"/>
  <c r="E362" s="1"/>
  <c r="D366" a="1"/>
  <c r="D366" s="1"/>
  <c r="E366" s="1" a="1"/>
  <c r="E366" s="1"/>
  <c r="D370" a="1"/>
  <c r="D370" s="1"/>
  <c r="E370" s="1" a="1"/>
  <c r="E370" s="1"/>
  <c r="D374" a="1"/>
  <c r="D374" s="1"/>
  <c r="E374" s="1" a="1"/>
  <c r="E374" s="1"/>
  <c r="D378" a="1"/>
  <c r="D378" s="1"/>
  <c r="E378" s="1" a="1"/>
  <c r="E378" s="1"/>
  <c r="D382" a="1"/>
  <c r="D382" s="1"/>
  <c r="E382" s="1" a="1"/>
  <c r="E382" s="1"/>
  <c r="D386" a="1"/>
  <c r="D386" s="1"/>
  <c r="E386" s="1" a="1"/>
  <c r="E386" s="1"/>
  <c r="D390" a="1"/>
  <c r="D390" s="1"/>
  <c r="E390" s="1" a="1"/>
  <c r="E390" s="1"/>
  <c r="D394" a="1"/>
  <c r="D394" s="1"/>
  <c r="E394" s="1" a="1"/>
  <c r="E394" s="1"/>
  <c r="D398" a="1"/>
  <c r="D398" s="1"/>
  <c r="E398" s="1" a="1"/>
  <c r="E398" s="1"/>
  <c r="D402" a="1"/>
  <c r="D402" s="1"/>
  <c r="E402" s="1" a="1"/>
  <c r="E402" s="1"/>
  <c r="D406" a="1"/>
  <c r="D406" s="1"/>
  <c r="E406" s="1" a="1"/>
  <c r="E406" s="1"/>
  <c r="D410" a="1"/>
  <c r="D410" s="1"/>
  <c r="E410" s="1" a="1"/>
  <c r="E410" s="1"/>
  <c r="D414" a="1"/>
  <c r="D414" s="1"/>
  <c r="E414" s="1" a="1"/>
  <c r="E414" s="1"/>
  <c r="D418" a="1"/>
  <c r="D418" s="1"/>
  <c r="E418" s="1" a="1"/>
  <c r="E418" s="1"/>
  <c r="D422" a="1"/>
  <c r="D422" s="1"/>
  <c r="E422" s="1" a="1"/>
  <c r="E422" s="1"/>
  <c r="D426" a="1"/>
  <c r="D426" s="1"/>
  <c r="E426" s="1" a="1"/>
  <c r="E426" s="1"/>
  <c r="D430" a="1"/>
  <c r="D430" s="1"/>
  <c r="E430" s="1" a="1"/>
  <c r="E430" s="1"/>
  <c r="D434" a="1"/>
  <c r="D434" s="1"/>
  <c r="E434" s="1" a="1"/>
  <c r="E434" s="1"/>
  <c r="D438" a="1"/>
  <c r="D438" s="1"/>
  <c r="E438" s="1" a="1"/>
  <c r="E438" s="1"/>
  <c r="D442" a="1"/>
  <c r="D442" s="1"/>
  <c r="E442" s="1" a="1"/>
  <c r="E442" s="1"/>
  <c r="D446" a="1"/>
  <c r="D446" s="1"/>
  <c r="E446" s="1" a="1"/>
  <c r="E446" s="1"/>
  <c r="D450" a="1"/>
  <c r="D450" s="1"/>
  <c r="E450" s="1" a="1"/>
  <c r="E450" s="1"/>
  <c r="D454" a="1"/>
  <c r="D454" s="1"/>
  <c r="E454" s="1" a="1"/>
  <c r="E454" s="1"/>
  <c r="D458" a="1"/>
  <c r="D458" s="1"/>
  <c r="E458" s="1" a="1"/>
  <c r="E458" s="1"/>
  <c r="D462" a="1"/>
  <c r="D462" s="1"/>
  <c r="E462" s="1" a="1"/>
  <c r="E462" s="1"/>
  <c r="D466" a="1"/>
  <c r="D466" s="1"/>
  <c r="E466" s="1" a="1"/>
  <c r="E466" s="1"/>
  <c r="D470" a="1"/>
  <c r="D470" s="1"/>
  <c r="E470" s="1" a="1"/>
  <c r="E470" s="1"/>
  <c r="D474" a="1"/>
  <c r="D474" s="1"/>
  <c r="E474" s="1" a="1"/>
  <c r="E474" s="1"/>
  <c r="D478" a="1"/>
  <c r="D478" s="1"/>
  <c r="E478" s="1" a="1"/>
  <c r="E478" s="1"/>
  <c r="D482" a="1"/>
  <c r="D482" s="1"/>
  <c r="E482" s="1" a="1"/>
  <c r="E482" s="1"/>
  <c r="D486" a="1"/>
  <c r="D486" s="1"/>
  <c r="E486" s="1" a="1"/>
  <c r="E486" s="1"/>
  <c r="D490" a="1"/>
  <c r="D490" s="1"/>
  <c r="E490" s="1" a="1"/>
  <c r="E490" s="1"/>
  <c r="D494" a="1"/>
  <c r="D494" s="1"/>
  <c r="E494" s="1" a="1"/>
  <c r="E494" s="1"/>
  <c r="D498" a="1"/>
  <c r="D498" s="1"/>
  <c r="E498" s="1" a="1"/>
  <c r="E498" s="1"/>
  <c r="D502" a="1"/>
  <c r="D502" s="1"/>
  <c r="E502" s="1" a="1"/>
  <c r="E502" s="1"/>
  <c r="D506" a="1"/>
  <c r="D506" s="1"/>
  <c r="E506" s="1" a="1"/>
  <c r="E506" s="1"/>
  <c r="D510" a="1"/>
  <c r="D510" s="1"/>
  <c r="E510" s="1" a="1"/>
  <c r="E510" s="1"/>
  <c r="D514" a="1"/>
  <c r="D514" s="1"/>
  <c r="E514" s="1" a="1"/>
  <c r="E514" s="1"/>
  <c r="D518" a="1"/>
  <c r="D518" s="1"/>
  <c r="E518" s="1" a="1"/>
  <c r="E518" s="1"/>
  <c r="D522" a="1"/>
  <c r="D522" s="1"/>
  <c r="E522" s="1" a="1"/>
  <c r="E522" s="1"/>
  <c r="D526" a="1"/>
  <c r="D526" s="1"/>
  <c r="E526" s="1" a="1"/>
  <c r="E526" s="1"/>
  <c r="D530" a="1"/>
  <c r="D530" s="1"/>
  <c r="E530" s="1" a="1"/>
  <c r="E530" s="1"/>
  <c r="D534" a="1"/>
  <c r="D534" s="1"/>
  <c r="E534" s="1" a="1"/>
  <c r="E534" s="1"/>
  <c r="D538" a="1"/>
  <c r="D538" s="1"/>
  <c r="E538" s="1" a="1"/>
  <c r="E538" s="1"/>
  <c r="D542" a="1"/>
  <c r="D542" s="1"/>
  <c r="E542" s="1" a="1"/>
  <c r="E542" s="1"/>
  <c r="D489" a="1"/>
  <c r="D489" s="1"/>
  <c r="E489" s="1" a="1"/>
  <c r="E489" s="1"/>
  <c r="D497" a="1"/>
  <c r="D497" s="1"/>
  <c r="E497" s="1" a="1"/>
  <c r="E497" s="1"/>
  <c r="D505" a="1"/>
  <c r="D505" s="1"/>
  <c r="E505" s="1" a="1"/>
  <c r="E505" s="1"/>
  <c r="D513" a="1"/>
  <c r="D513" s="1"/>
  <c r="E513" s="1" a="1"/>
  <c r="E513" s="1"/>
  <c r="D521" a="1"/>
  <c r="D521" s="1"/>
  <c r="E521" s="1" a="1"/>
  <c r="E521" s="1"/>
  <c r="D529" a="1"/>
  <c r="D529" s="1"/>
  <c r="E529" s="1" a="1"/>
  <c r="E529" s="1"/>
  <c r="D537" a="1"/>
  <c r="D537" s="1"/>
  <c r="E537" s="1" a="1"/>
  <c r="E537" s="1"/>
</calcChain>
</file>

<file path=xl/sharedStrings.xml><?xml version="1.0" encoding="utf-8"?>
<sst xmlns="http://schemas.openxmlformats.org/spreadsheetml/2006/main" count="863" uniqueCount="806">
  <si>
    <t>Приходная накладная № ООО-000002 от 31.07.23</t>
  </si>
  <si>
    <t>Получатель: ООО "Виктория-К", Склад Корнеев В.А.</t>
  </si>
  <si>
    <t>Валюта:</t>
  </si>
  <si>
    <t>Основание: остаток</t>
  </si>
  <si>
    <t>Дата курса:</t>
  </si>
  <si>
    <t>Курс USD:</t>
  </si>
  <si>
    <t>60</t>
  </si>
  <si>
    <t>№</t>
  </si>
  <si>
    <t>Наименование товара</t>
  </si>
  <si>
    <t>Кол-во</t>
  </si>
  <si>
    <t>Ед.</t>
  </si>
  <si>
    <t>1</t>
  </si>
  <si>
    <t>2</t>
  </si>
  <si>
    <t>Набор колеса всасывающей планки Karcher 4.037-161 код : 006233</t>
  </si>
  <si>
    <t>3</t>
  </si>
  <si>
    <t>Прокладка Karcher 5.363-613 код : 030195</t>
  </si>
  <si>
    <t>4</t>
  </si>
  <si>
    <t>Уплотнение вала Karcher 6.367-051 код : 005821</t>
  </si>
  <si>
    <t>5</t>
  </si>
  <si>
    <t xml:space="preserve"> код :</t>
  </si>
  <si>
    <t>6</t>
  </si>
  <si>
    <t>63654933 *Сальник ВД Karcher код : 005316</t>
  </si>
  <si>
    <t>7</t>
  </si>
  <si>
    <t>6366043 Уплотнительный профиль Karcher код : 030786</t>
  </si>
  <si>
    <t>8</t>
  </si>
  <si>
    <t>9</t>
  </si>
  <si>
    <t>Фильтр плоский для WD4-6 Karcher 2.863-005 код : 001373</t>
  </si>
  <si>
    <t>10</t>
  </si>
  <si>
    <t>11</t>
  </si>
  <si>
    <t>12</t>
  </si>
  <si>
    <t>13</t>
  </si>
  <si>
    <t>14</t>
  </si>
  <si>
    <t>4039362 Набор всасывающих губок 118см Linatex Karcher код : 030523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</si>
  <si>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</si>
  <si>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</si>
  <si>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</si>
  <si>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</si>
  <si>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</si>
  <si>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</si>
  <si>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</si>
  <si>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</si>
  <si>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</si>
  <si>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45801393 Пусковой клапан на замену Karcher (OLD 45800763) *3* код : 005067</t>
  </si>
  <si>
    <t>24</t>
  </si>
  <si>
    <t>25</t>
  </si>
  <si>
    <t>26</t>
  </si>
  <si>
    <t>Комплект для чистки труб 20м для АВД проф без сопла Karcher 6.390-028 код : 001255</t>
  </si>
  <si>
    <t>27</t>
  </si>
  <si>
    <t>28</t>
  </si>
  <si>
    <t>29</t>
  </si>
  <si>
    <t>Фильтр отработанного воздуха VC5 Karcher 2.863-240 код : 001432</t>
  </si>
  <si>
    <t>30</t>
  </si>
  <si>
    <t>31</t>
  </si>
  <si>
    <t>Фильтр плоский защиты электродвигателя (серия DS) Karcher 6.414-631 код : 001463</t>
  </si>
  <si>
    <t>32</t>
  </si>
  <si>
    <t>9080503 Кольцо 113 х 5 Karcher код : 005108</t>
  </si>
  <si>
    <t>33</t>
  </si>
  <si>
    <t>9080504 Уплотнительное кольцо 124x3 EPDM 70 Karcher код : 005109</t>
  </si>
  <si>
    <t>34</t>
  </si>
  <si>
    <t>9080505 Уплотнительное кольцо 142.2x3 EPDM 70 Karcher код : 005110</t>
  </si>
  <si>
    <t>35</t>
  </si>
  <si>
    <t>Входной воздушный фильтр VC 4,6,7 Karcher 2.863-319 код : 000606</t>
  </si>
  <si>
    <t>36</t>
  </si>
  <si>
    <t>37</t>
  </si>
  <si>
    <t>Тыльное ограждение Karcher 5.394-834 код : 006092</t>
  </si>
  <si>
    <t>38</t>
  </si>
  <si>
    <t>39</t>
  </si>
  <si>
    <t>40</t>
  </si>
  <si>
    <t>41</t>
  </si>
  <si>
    <t>Выключатель Karcher 6.631-549 код : 030022</t>
  </si>
  <si>
    <t>42</t>
  </si>
  <si>
    <t>43</t>
  </si>
  <si>
    <t>5115521 Шайба Karcher * * код : 030823</t>
  </si>
  <si>
    <t>44</t>
  </si>
  <si>
    <t>Круглый ремень Karcher 6.348-409 код : 030030</t>
  </si>
  <si>
    <t>45</t>
  </si>
  <si>
    <t>46</t>
  </si>
  <si>
    <t>Фланцевый подшипник Karcher 6.401-242 код : 030031</t>
  </si>
  <si>
    <t>47</t>
  </si>
  <si>
    <t>Всасывающий шланг D35 для серий WD и NT Classic Karcher 9.755-263 код : 000666</t>
  </si>
  <si>
    <t>48</t>
  </si>
  <si>
    <t>49</t>
  </si>
  <si>
    <t>50</t>
  </si>
  <si>
    <t>Струйная трубка VP180 (серия К7) Karcher  2.642-726 код : 000644</t>
  </si>
  <si>
    <t>51</t>
  </si>
  <si>
    <t>52</t>
  </si>
  <si>
    <t>Фильтр патронный  для WD2-3 Karcher 2.863-303 код : 001453</t>
  </si>
  <si>
    <t>53</t>
  </si>
  <si>
    <t>54</t>
  </si>
  <si>
    <t>55</t>
  </si>
  <si>
    <t>5115537 Шайба  Karcher ** код : 005194</t>
  </si>
  <si>
    <t>56</t>
  </si>
  <si>
    <t>6363633 З/ч Karcher *6* код : 005325</t>
  </si>
  <si>
    <t>57</t>
  </si>
  <si>
    <t>6414976 Фильтр только для замены Karcher код : 030500</t>
  </si>
  <si>
    <t>58</t>
  </si>
  <si>
    <t>69610793 Минипереключатель К7.200 Karcher *1* код : 005342</t>
  </si>
  <si>
    <t>59</t>
  </si>
  <si>
    <t>61</t>
  </si>
  <si>
    <t>62</t>
  </si>
  <si>
    <t>Патронный фильтр VC 5 Karcher 2.863-239 код : 000684</t>
  </si>
  <si>
    <t>63</t>
  </si>
  <si>
    <t>64</t>
  </si>
  <si>
    <t>65</t>
  </si>
  <si>
    <t>66</t>
  </si>
  <si>
    <t>Фильтр патронный PES для NT22/1 Karcher 2.889-219 код : 001387</t>
  </si>
  <si>
    <t>67</t>
  </si>
  <si>
    <t>68</t>
  </si>
  <si>
    <t>Струйная трубка для проф АВД вход 22х1,5 1050 мм Karcher 4.760-660 код : 001038</t>
  </si>
  <si>
    <t>69</t>
  </si>
  <si>
    <t>70</t>
  </si>
  <si>
    <t>Фильтр плоский для NT 25/1, 35/1 Karcher 6.904-367 код : 001767</t>
  </si>
  <si>
    <t>71</t>
  </si>
  <si>
    <t>9002412 Переходник-адаптер в минимойке Karcher *1* код : 005199</t>
  </si>
  <si>
    <t>72</t>
  </si>
  <si>
    <t>73</t>
  </si>
  <si>
    <t>74</t>
  </si>
  <si>
    <t>S 4 Twin Подметальная машина Karcher 1.766-360 код : 000181</t>
  </si>
  <si>
    <t>75</t>
  </si>
  <si>
    <t>2885054 Монтажная плата Karcher код : 005101</t>
  </si>
  <si>
    <t>76</t>
  </si>
  <si>
    <t>Сопло для HG при 400 - 700 л/ч 068 Karcher 2.885-133 код : 030066</t>
  </si>
  <si>
    <t>77</t>
  </si>
  <si>
    <t>4473032 Топливный насос только для замены Karcher *0* код : 005347</t>
  </si>
  <si>
    <t>78</t>
  </si>
  <si>
    <t>Защита картриджа от недостачи воды Karcher 4.551-058 код : 005931</t>
  </si>
  <si>
    <t>79</t>
  </si>
  <si>
    <t>80</t>
  </si>
  <si>
    <t>Микровыключатель Karcher 4.744-224 код : 030078</t>
  </si>
  <si>
    <t>81</t>
  </si>
  <si>
    <t>82</t>
  </si>
  <si>
    <t>Подшипник на мотор (задний) Karcher 6.401-427.3 код : 005608</t>
  </si>
  <si>
    <t>83</t>
  </si>
  <si>
    <t>84</t>
  </si>
  <si>
    <t>9085013 Конденсатор 25мф 73мм HD5/11  220В *1* код : 005089</t>
  </si>
  <si>
    <t>85</t>
  </si>
  <si>
    <t>86</t>
  </si>
  <si>
    <t>87</t>
  </si>
  <si>
    <t>Тележка для шланга HT80M Karcher 2.645-042 код : 020063</t>
  </si>
  <si>
    <t>88</t>
  </si>
  <si>
    <t>89</t>
  </si>
  <si>
    <t>HR 4.525 Настенная катушка для шланга Karcher 2.645-281 код : 020116</t>
  </si>
  <si>
    <t>90</t>
  </si>
  <si>
    <t>91</t>
  </si>
  <si>
    <t>92</t>
  </si>
  <si>
    <t>6365394 Сальник к К520М Karcher вода *30* код : 005021</t>
  </si>
  <si>
    <t>93</t>
  </si>
  <si>
    <t>6366039 Уплотнительный шнур Karcher код : 005208</t>
  </si>
  <si>
    <t>94</t>
  </si>
  <si>
    <t>95</t>
  </si>
  <si>
    <t>96</t>
  </si>
  <si>
    <t>97</t>
  </si>
  <si>
    <t>9001782 КЗЧ всасывающей стороны Karcher *1* код : 005309</t>
  </si>
  <si>
    <t>98</t>
  </si>
  <si>
    <t>99</t>
  </si>
  <si>
    <t>100</t>
  </si>
  <si>
    <t>Battery Power 18/50 DW Аккум батарея Karcher 2.445-035 код : 030040</t>
  </si>
  <si>
    <t>101</t>
  </si>
  <si>
    <t>102</t>
  </si>
  <si>
    <t>103</t>
  </si>
  <si>
    <t>104</t>
  </si>
  <si>
    <t>Шарикоподшипник 6305-2Z Karcher 6.401-253 код : 006176</t>
  </si>
  <si>
    <t>105</t>
  </si>
  <si>
    <t>106</t>
  </si>
  <si>
    <t>Картридж бумажного фильтра NT 70/X Karcher 6.907-038 код : 030044</t>
  </si>
  <si>
    <t>107</t>
  </si>
  <si>
    <t>108</t>
  </si>
  <si>
    <t>RM 511 Порошок для удаления накипи Karcher 6.295-987 код : 000918</t>
  </si>
  <si>
    <t>109</t>
  </si>
  <si>
    <t>Шланг запасной ВД в комплекте HK7,5 (серия К) Karcher 2.643-910 код : 000692</t>
  </si>
  <si>
    <t>110</t>
  </si>
  <si>
    <t>111</t>
  </si>
  <si>
    <t>Шланг "PrimoFlex" 1/2" бухта 20м  Karcher 2.645-138 код : 020101</t>
  </si>
  <si>
    <t>112</t>
  </si>
  <si>
    <t>Винтовая пружина Karcher 5.332-444 код : 006065</t>
  </si>
  <si>
    <t>113</t>
  </si>
  <si>
    <t>114</t>
  </si>
  <si>
    <t>115</t>
  </si>
  <si>
    <t>Боковая щетка для влажных отходов S4 Karcher 2.644-032 код : 030045</t>
  </si>
  <si>
    <t>116</t>
  </si>
  <si>
    <t>Вращающийся разбрызгиватель RS 130/3 Karcher 2.645-019 код : 020071</t>
  </si>
  <si>
    <t>117</t>
  </si>
  <si>
    <t>118</t>
  </si>
  <si>
    <t>Импульсный разбрызгиватель (30-360) PS 300 Karcher 2.645-023 код : 020075</t>
  </si>
  <si>
    <t>119</t>
  </si>
  <si>
    <t>120</t>
  </si>
  <si>
    <t>Шланг "PrimoFlex" 5/8" Karcher 2.645-141  1м код : 020110</t>
  </si>
  <si>
    <t>121</t>
  </si>
  <si>
    <t>56000603 Крыльчатка Karcher *1* код : 005195</t>
  </si>
  <si>
    <t>122</t>
  </si>
  <si>
    <t>123</t>
  </si>
  <si>
    <t>6610026 Набор угольных щеток Karcher код : 030733</t>
  </si>
  <si>
    <t>124</t>
  </si>
  <si>
    <t>125</t>
  </si>
  <si>
    <t>Струйная трубка VP 145 (серия К4 - К5) Karcher 2.642-725 код : 000643</t>
  </si>
  <si>
    <t>126</t>
  </si>
  <si>
    <t>Грязевая фреза DB145 Full Controll (серия К4 - К5) Karcher 2.642-728 код : 000625</t>
  </si>
  <si>
    <t>127</t>
  </si>
  <si>
    <t>128</t>
  </si>
  <si>
    <t>129</t>
  </si>
  <si>
    <t>Металл. распылитель Premium Karcher 2.645-270 код : 020062</t>
  </si>
  <si>
    <t>130</t>
  </si>
  <si>
    <t>131</t>
  </si>
  <si>
    <t>Насадка для мойки окон для пароочистителей SC, кроме паропылесосов Karcher 2.863-025 код : 001499</t>
  </si>
  <si>
    <t>132</t>
  </si>
  <si>
    <t>133</t>
  </si>
  <si>
    <t>134</t>
  </si>
  <si>
    <t>135</t>
  </si>
  <si>
    <t>136</t>
  </si>
  <si>
    <t>137</t>
  </si>
  <si>
    <t>Силовая электроника КМ85/50R Karcher 4.683-128 код : 030048</t>
  </si>
  <si>
    <t>138</t>
  </si>
  <si>
    <t>4744168 Выключатель HD5/12.6/13.7/18      *5* код : 005151</t>
  </si>
  <si>
    <t>139</t>
  </si>
  <si>
    <t>6365056 Сальник Karcher код : 005197</t>
  </si>
  <si>
    <t>140</t>
  </si>
  <si>
    <t>6392474 Всасывающий шланг маслостойкий DN 38 Karcher *1* код : 030829</t>
  </si>
  <si>
    <t>141</t>
  </si>
  <si>
    <t>6631946 Микровыкл Karcher К5,20   *2* код : 005019</t>
  </si>
  <si>
    <t>142</t>
  </si>
  <si>
    <t>6661129 Конденсатор HD 5/11.6/13    *1* код : 005096</t>
  </si>
  <si>
    <t>143</t>
  </si>
  <si>
    <t>144</t>
  </si>
  <si>
    <t>9002010 Запчасть Karcher *3* код : 005251</t>
  </si>
  <si>
    <t>145</t>
  </si>
  <si>
    <t>9002011 Управляющий корпус Karcher *10* код : 005328</t>
  </si>
  <si>
    <t>146</t>
  </si>
  <si>
    <t>147</t>
  </si>
  <si>
    <t>Фильтр-мешки нетканые для WD4-6 5 шт K-Parts Karcher 8.440-101 код : 001385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</si>
  <si>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</si>
  <si>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</si>
  <si>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</si>
  <si>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</si>
  <si>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</si>
  <si>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</si>
  <si>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</si>
  <si>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</si>
  <si>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</si>
  <si>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BLV 18-200 Battery*INT Воздуходувка Karcher 1.444-100 код : 000266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</si>
  <si>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</si>
  <si>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</si>
  <si>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</si>
  <si>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</si>
  <si>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</si>
  <si>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</si>
  <si>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</si>
  <si>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</si>
  <si>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</si>
  <si>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</si>
  <si>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</si>
  <si>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</si>
  <si>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</si>
  <si>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Штуцер резьбовой G1 с переходной муфтой G3/4 без упаковки Karcher 2.645-066 код : 020021</t>
  </si>
  <si>
    <t>170</t>
  </si>
  <si>
    <t>171</t>
  </si>
  <si>
    <t>Универсальный коннектор Plus Karcher 2.645-193 код : 020004</t>
  </si>
  <si>
    <t>172</t>
  </si>
  <si>
    <t>173</t>
  </si>
  <si>
    <t>174</t>
  </si>
  <si>
    <t>175</t>
  </si>
  <si>
    <t>176</t>
  </si>
  <si>
    <t>2885129 Сливной клапан Karcher * * код : 030830</t>
  </si>
  <si>
    <t>177</t>
  </si>
  <si>
    <t>Фильтр-мешки флисовые для NT22 (5шт) Karcher 2.889-217 код : 000681</t>
  </si>
  <si>
    <t>178</t>
  </si>
  <si>
    <t>179</t>
  </si>
  <si>
    <t>180</t>
  </si>
  <si>
    <t>Струйная трубка для проф АВД вход 22х1,5 840мм Karcher 4.760-663 код : 001030</t>
  </si>
  <si>
    <t>181</t>
  </si>
  <si>
    <t>182</t>
  </si>
  <si>
    <t>Трехпозиционное  сопло Karcher размер 34 для АВД проф  4.767-147 код : 001059</t>
  </si>
  <si>
    <t>183</t>
  </si>
  <si>
    <t>Грязевая фреза для АВД проф Karcher d=35мм 4.767-230 код : 001183</t>
  </si>
  <si>
    <t>184</t>
  </si>
  <si>
    <t>185</t>
  </si>
  <si>
    <t>186</t>
  </si>
  <si>
    <t>Винтовая пружина Karcher 5.332-187 код : 006198</t>
  </si>
  <si>
    <t>187</t>
  </si>
  <si>
    <t>RM 760 Моющее средство 800г порошок Karcher 6.290-175 код : 000944</t>
  </si>
  <si>
    <t>188</t>
  </si>
  <si>
    <t>Конический роликоподшипник 41 Karcher 6.401-225.3 код : 006062</t>
  </si>
  <si>
    <t>189</t>
  </si>
  <si>
    <t>190</t>
  </si>
  <si>
    <t>Фильтр НЕРА 13 (DS5500/ 5600 mediclean) Karcher 6.414-963 код : 001731</t>
  </si>
  <si>
    <t>191</t>
  </si>
  <si>
    <t>192</t>
  </si>
  <si>
    <t>193</t>
  </si>
  <si>
    <t>194</t>
  </si>
  <si>
    <t>195</t>
  </si>
  <si>
    <t>Радиальное уплотнение вала Karcher 7.367-009 код : 006152</t>
  </si>
  <si>
    <t>196</t>
  </si>
  <si>
    <t>197</t>
  </si>
  <si>
    <t>198</t>
  </si>
  <si>
    <t>199</t>
  </si>
  <si>
    <t>200</t>
  </si>
  <si>
    <t>201</t>
  </si>
  <si>
    <t>WD 6 P S V-30/6/22/T (YSY)*EU Хозяйственный пылесос Karcher 1.628-360 код : 000149</t>
  </si>
  <si>
    <t>202</t>
  </si>
  <si>
    <t>К 7 Premium Power Аппарат высокого давления Karcher 1.317-170 код : 000077</t>
  </si>
  <si>
    <t>203</t>
  </si>
  <si>
    <t>204</t>
  </si>
  <si>
    <t>205</t>
  </si>
  <si>
    <t>206</t>
  </si>
  <si>
    <t>207</t>
  </si>
  <si>
    <t>Накладная Керхер</t>
  </si>
  <si>
    <t>208</t>
  </si>
  <si>
    <t>Если присутствует наименование товара, то он есть в накладной КЦ, но в другом количестве.</t>
  </si>
  <si>
    <t>Заказ КЦ (вспомогательная таблица)</t>
  </si>
  <si>
    <t>Артикул</t>
  </si>
  <si>
    <t>Из накладной Керхер копируем столбик с артикулами, а потом с количеством. Вспомогательную таблицу не трогаем.</t>
  </si>
  <si>
    <t>№ строки в накладной, макс 10</t>
  </si>
  <si>
    <t>№ строки другое кол-во, макс 3</t>
  </si>
  <si>
    <t>4100836 Набор уплотнений Karcher  *1* код : 005248</t>
  </si>
  <si>
    <t>FC 5 *Premium (white) Аппарат для влажной уборки Karcher 1.055-460 код : 000174</t>
  </si>
  <si>
    <t>SE 4001 Plus Limited Edition Моющий пылесос Karcher 1.081-138 код : 000153</t>
  </si>
  <si>
    <t>SE 6.100 Моющий пылесос Karcher 1.081-220 код : 000155</t>
  </si>
  <si>
    <t>К 6 Special *EU Аппарат высокого давления Karcher 1.168-508 код : 000066</t>
  </si>
  <si>
    <t>VC 3 Premium (white) *EU-I Пылесос Karcher 1.198-135 код : 000107</t>
  </si>
  <si>
    <t>HD 6/15-4 Classic Профи мойка ВД без нагрева Karcher 1.367-306 код : 000316</t>
  </si>
  <si>
    <t>NT 22/1 Ap Te L*EU Промышленный пылесос + мешки Karcher 1.378-982 код : 000512</t>
  </si>
  <si>
    <t>SV 7 (White)*EU Паропылесос Karcher 1.439-420 код : 000235</t>
  </si>
  <si>
    <t>BLV 36-240 Battery*INT Воздуходувка Karcher 1.444-170 код : 000252</t>
  </si>
  <si>
    <t>HGE 18-50 Battery Кусторез Karcher 1.444-240 код : 000256</t>
  </si>
  <si>
    <t>LTR 18-30 Battery* Set Триммер Karcher 1.444-311 код : 000262</t>
  </si>
  <si>
    <t>LTR 18-30 Battery Limited Edition Триммер Karcher 1.444-313 код : 000265</t>
  </si>
  <si>
    <t>SC 3 EasyFix LE *EU Пароочиститель Karcher 1.513-127 код : 000238</t>
  </si>
  <si>
    <t>SC 4 Deluxe EasyFix Premium Iron*EU Пароочиститель Karcher 1.513-281 код : 000237</t>
  </si>
  <si>
    <t>KWD 3 S V-15/4/20 (BSY) LE  *EU-I хозяйственный пылесос Karcher 1.628-446 код : 000130</t>
  </si>
  <si>
    <t>SP 3 Dirt House Set*EU Погружной насос Karcher 1.645-535 код : 000274</t>
  </si>
  <si>
    <t>Комплект Battery Power 36/50 DW *EU Karcher 2.445-065 код : 000255</t>
  </si>
  <si>
    <t>Обтяжки из микрофибры Indoor Karcher 2.633-130 код : 000699</t>
  </si>
  <si>
    <t>Комплект для чистки труб 7,5м (К2-К7) Karcher 2.637-729 код : 000720</t>
  </si>
  <si>
    <t>Угловая струйная трубка (серия К2-К7) Karcher 2.638-817 код : 000639</t>
  </si>
  <si>
    <t>Грязевая фреза DB180  Full Control (серия K7) Karcher 2.642-729 код : 000726</t>
  </si>
  <si>
    <t>Мягкая поперечная щетка (новая) (серия К) Karcher 2.643-233 код : 000655</t>
  </si>
  <si>
    <t>Распылитель на штанге Premium Karcher 2.645-137 код : 020051</t>
  </si>
  <si>
    <t>Комплект насадок-кистей, 2 предмета (WD 2-6, WD7, SE4-5) Karcher 2.863-221 код : 000612</t>
  </si>
  <si>
    <t>Прокладка к HD/HDS Karcher 2.880-168 1шт код : 000600</t>
  </si>
  <si>
    <t>2884869 Ось выключает микрик HD 7/18 4M   9/19   *1* код : 005119</t>
  </si>
  <si>
    <t>2885186 Комплект запасных частей Karcher *1* код : 005305</t>
  </si>
  <si>
    <t>Всасывающая трубка в сборе Karcher 4.025-004 код : 006193</t>
  </si>
  <si>
    <t>Сливной шланг с покрытием из ПУ Karcher 4.035-285 код : 006204</t>
  </si>
  <si>
    <t>Манометр 0-30 МРа для замены Karcher  4.423-027 код : 005772</t>
  </si>
  <si>
    <t>4553197 Поршень микровыключателя HDS Karcher код : 030819</t>
  </si>
  <si>
    <t>45532303 Пистон Karcher код : 005230</t>
  </si>
  <si>
    <t>45805813 Клапан Karcher код : 005223</t>
  </si>
  <si>
    <t>4580594 Клапан обратный на профи HD10/25.....      *4* код : 005006</t>
  </si>
  <si>
    <t>45910383 Байпас HD5/12.6/13  *2* код : 005053</t>
  </si>
  <si>
    <t>Фильтр для воды в сборе Karcher 4.730-168.3 код : 006385</t>
  </si>
  <si>
    <t>4744242 Выключатель Karcher *3* код : 005187</t>
  </si>
  <si>
    <t>Соединительный элемент Karcher 4.745-043 код : 030052</t>
  </si>
  <si>
    <t>4762392 Цилиндрическая щетка в сборе красная BR Karcher код : 030801</t>
  </si>
  <si>
    <t>Корпус форсунки комплектный Karcher 4.764-007 код : 006190</t>
  </si>
  <si>
    <t>Держатель оси Karcher 5.032-286 код : 030046</t>
  </si>
  <si>
    <t>Зажим распылителя Karcher 5.037-333 код : 030167</t>
  </si>
  <si>
    <t>Колпак колеса серый Karcher 5.064-392 код : 030200</t>
  </si>
  <si>
    <t>5116380 Пластиковый уплотнитель на проставки Karcher код : 006455</t>
  </si>
  <si>
    <t>5116381 Поддерживающий диск Karcher *3* код : 005343</t>
  </si>
  <si>
    <t>Соединительная деталь короткая Karcher 5.427-298 код : 006486</t>
  </si>
  <si>
    <t>Фильтровальная вставка (сетка 100) Karcher 5.731-059 код : 006164</t>
  </si>
  <si>
    <t>Шланговое соединение Karcher 6.110-046 код : 030054</t>
  </si>
  <si>
    <t>6273023 Полоски ребр д/V-балки 900мм Karcher код : 030815</t>
  </si>
  <si>
    <t>RM 806 ASF Моющее средство 20л Karcher 6.295-553 код : 000824</t>
  </si>
  <si>
    <t>Стопорная шайба Karcher 6.343-168 код : 030201</t>
  </si>
  <si>
    <t>6362471 Прокладка код : 005115</t>
  </si>
  <si>
    <t>6362498 Кольцо круглого сечения 6,75 х 1,78 NBR Karcher код : 005082</t>
  </si>
  <si>
    <t>6365340 Сальник масло HD7/18 6/15      *15* код : 005128</t>
  </si>
  <si>
    <t>63654953 *Сальник НД Karcher код : 005317</t>
  </si>
  <si>
    <t>6415530 Сопло 60 гр Н Karcher код : 005227</t>
  </si>
  <si>
    <t>6415660 Форсунка 1,25GPH 60гр S-S Karcher код : 005180</t>
  </si>
  <si>
    <t>Колесо D 180 Karcher 6.435-196 код : 030202</t>
  </si>
  <si>
    <t>6631190 Выключатель *1* код : 005004</t>
  </si>
  <si>
    <t>6661158 Конденсатор 40EF HD 5/12 6/13 K720 Karcher *1* (OLD 6.661-298) код : 005225</t>
  </si>
  <si>
    <t>Телескопическая трубка Karcher 6.902-127 код : 030055</t>
  </si>
  <si>
    <t>Бумажные фильтр-мешки 10шт Karcher 6.904-294 код : 030056</t>
  </si>
  <si>
    <t>6964026  Сальник масло(замена 6.365-386) K3.9X M *30* код : 005071</t>
  </si>
  <si>
    <t>Винт 5 х 30 Karcher 7.303-086 код : 030196</t>
  </si>
  <si>
    <t>Подшипник  верхний К 5 Karcher 7.401-010 код : 005702</t>
  </si>
  <si>
    <t>9001745 Соединитель в сборе Karcher *1* код : 005306</t>
  </si>
  <si>
    <t>9002456 Головка насоса Karcher *1* код : 005024</t>
  </si>
  <si>
    <t>Насадка Karcher 9.012-278 код : 030194</t>
  </si>
  <si>
    <t>K PARTS Средство для чистки полов 10л Karcher 9.605-286 код : 000883</t>
  </si>
  <si>
    <t>9751004 *Клапан ВД Karcher код : 005247</t>
  </si>
  <si>
    <t>9751027 Поршень с сборе Karcher код : 005015</t>
  </si>
  <si>
    <t>Крышка для бака чистой воды Karcher 9.763-007 код : 030058</t>
  </si>
  <si>
    <t>9763008 Уплотнение под крышку слива Karcher код : 030799</t>
  </si>
  <si>
    <t>Форсунка для пола Karcher 9.755-549 код : 000688</t>
  </si>
  <si>
    <t>5037140 Фиксатор быт. шланг/пистолет  *2* код : 005105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</si>
  <si>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</si>
  <si>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</si>
  <si>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</si>
  <si>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</si>
  <si>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</si>
  <si>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</si>
  <si>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</si>
  <si>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</si>
  <si>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</si>
  <si>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</si>
  <si>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</si>
  <si>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</si>
  <si>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</si>
  <si>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</si>
  <si>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</si>
  <si>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</si>
  <si>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</si>
  <si>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</si>
  <si>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</si>
  <si>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</si>
  <si>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</si>
  <si>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</si>
  <si>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</si>
  <si>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</si>
  <si>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</si>
  <si>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</si>
  <si>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</si>
  <si>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</si>
  <si>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</si>
  <si>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</si>
  <si>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</si>
  <si>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</si>
  <si>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</si>
  <si>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</si>
  <si>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</si>
  <si>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</si>
  <si>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</si>
  <si>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</si>
  <si>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</si>
  <si>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</si>
  <si>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</si>
  <si>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</si>
  <si>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</si>
  <si>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</si>
  <si>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</si>
  <si>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</si>
  <si>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</si>
  <si>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</si>
  <si>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</si>
  <si>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</si>
  <si>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</si>
  <si>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</si>
  <si>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</si>
  <si>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</si>
  <si>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</si>
  <si>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</si>
  <si>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</si>
  <si>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</si>
  <si>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</si>
  <si>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</si>
  <si>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</si>
  <si>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</si>
  <si>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</si>
  <si>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</si>
  <si>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</si>
  <si>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</si>
  <si>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</si>
  <si>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</si>
  <si>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</si>
  <si>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</si>
  <si>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</si>
  <si>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</si>
  <si>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</si>
  <si>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</si>
  <si>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</si>
  <si>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</si>
  <si>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</si>
  <si>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</si>
  <si>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</si>
  <si>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</si>
  <si>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</si>
  <si>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</si>
  <si>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</si>
  <si>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</si>
  <si>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</si>
  <si>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</si>
  <si>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</si>
  <si>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</si>
  <si>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</si>
  <si>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</si>
  <si>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</si>
  <si>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</si>
  <si>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</si>
  <si>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</si>
  <si>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</si>
  <si>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</si>
  <si>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</si>
  <si>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</si>
  <si>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</si>
  <si>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</si>
  <si>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</si>
  <si>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</si>
  <si>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</si>
  <si>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</si>
  <si>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</si>
  <si>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</si>
  <si>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</si>
  <si>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</si>
  <si>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</si>
  <si>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</si>
  <si>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</si>
  <si>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</si>
  <si>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</si>
  <si>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</si>
  <si>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</si>
  <si>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</si>
  <si>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</si>
  <si>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</si>
  <si>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</si>
  <si>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</si>
  <si>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</si>
  <si>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</si>
  <si>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</si>
  <si>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</si>
  <si>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</si>
  <si>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</si>
  <si>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</si>
  <si>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</si>
  <si>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</si>
  <si>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</si>
  <si>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</si>
  <si>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</si>
  <si>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</si>
  <si>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</si>
  <si>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</si>
  <si>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</si>
  <si>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</si>
  <si>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</si>
  <si>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</si>
  <si>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</si>
  <si>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</si>
  <si>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</si>
  <si>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</si>
  <si>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</si>
  <si>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</si>
  <si>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</si>
  <si>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</si>
  <si>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</si>
  <si>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</si>
  <si>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</si>
  <si>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</si>
  <si>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</si>
  <si>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</si>
  <si>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</si>
  <si>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</si>
  <si>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</si>
  <si>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</si>
  <si>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</si>
  <si>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</si>
  <si>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</si>
  <si>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</si>
  <si>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</si>
  <si>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</si>
  <si>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</si>
  <si>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</si>
  <si>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</si>
  <si>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</si>
  <si>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</si>
  <si>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</si>
  <si>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</si>
  <si>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</si>
  <si>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</si>
  <si>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</si>
  <si>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</si>
  <si>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</si>
  <si>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</si>
  <si>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</si>
  <si>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</si>
  <si>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</si>
  <si>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</si>
  <si>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</si>
  <si>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</si>
  <si>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</si>
  <si>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</si>
  <si>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</si>
  <si>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</si>
  <si>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</si>
  <si>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</si>
  <si>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</si>
  <si>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</si>
  <si>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</si>
  <si>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</si>
  <si>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</si>
  <si>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</si>
  <si>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</si>
  <si>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</si>
  <si>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</si>
  <si>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</si>
  <si>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</si>
  <si>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</si>
  <si>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</si>
  <si>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</si>
  <si>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</si>
  <si>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</si>
  <si>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</si>
  <si>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</si>
  <si>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</si>
  <si>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</si>
  <si>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</si>
  <si>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</si>
  <si>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</si>
  <si>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</si>
  <si>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</si>
  <si>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</si>
  <si>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</si>
  <si>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</si>
  <si>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</si>
  <si>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</si>
  <si>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</si>
  <si>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</si>
  <si>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</si>
  <si>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</si>
  <si>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</si>
  <si>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</si>
  <si>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</si>
  <si>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</si>
  <si>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</si>
  <si>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</si>
  <si>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</si>
  <si>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</si>
  <si>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</si>
  <si>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</si>
  <si>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</si>
  <si>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</si>
  <si>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</si>
  <si>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</si>
  <si>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</si>
  <si>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</si>
  <si>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</si>
  <si>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</si>
  <si>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</si>
  <si>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</si>
  <si>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</si>
  <si>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</si>
  <si>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</si>
  <si>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</si>
  <si>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</si>
  <si>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</si>
  <si>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</si>
  <si>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</si>
  <si>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</si>
  <si>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</si>
  <si>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</si>
  <si>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</si>
  <si>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</si>
  <si>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</si>
  <si>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</si>
  <si>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</si>
  <si>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</si>
  <si>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</si>
  <si>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</si>
  <si>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</si>
  <si>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</si>
  <si>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</si>
  <si>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</si>
  <si>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</si>
  <si>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</si>
  <si>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</si>
  <si>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</si>
  <si>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</si>
  <si>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</si>
  <si>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</si>
  <si>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</si>
  <si>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</si>
  <si>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</si>
  <si>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</si>
  <si>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</si>
  <si>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</si>
  <si>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</si>
  <si>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</si>
  <si>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</si>
  <si>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</si>
  <si>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</si>
  <si>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</si>
  <si>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</si>
  <si>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</si>
  <si>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</si>
  <si>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</si>
  <si>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</si>
  <si>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</si>
  <si>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</si>
  <si>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</si>
  <si>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</si>
  <si>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</si>
  <si>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</si>
  <si>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</si>
  <si>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</si>
  <si>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</si>
  <si>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</si>
  <si>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</si>
  <si>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</si>
  <si>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</si>
  <si>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</si>
  <si>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</si>
  <si>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</si>
  <si>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</si>
  <si>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</si>
  <si>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</si>
  <si>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</si>
  <si>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</si>
  <si>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</si>
  <si>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</si>
  <si>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</si>
  <si>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</si>
  <si>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</si>
  <si>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</si>
  <si>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</si>
  <si>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</si>
  <si>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</si>
  <si>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</si>
  <si>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</si>
  <si>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</si>
  <si>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</si>
  <si>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</si>
  <si>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</si>
  <si>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</si>
  <si>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</si>
  <si>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</si>
  <si>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</si>
  <si>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</si>
  <si>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</si>
  <si>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</si>
  <si>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</si>
  <si>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</si>
  <si>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6.661-158.0
Штрихкод 4002667261400</t>
  </si>
  <si>
    <t>6.296-193.0
Штрихкод 4054278978024</t>
  </si>
  <si>
    <t>9.012-278.0
Штрихкод 4039784398436</t>
  </si>
  <si>
    <t>5.115-521.0
Штрихкод 4002667117073</t>
  </si>
  <si>
    <t>2.645-066.0
Штрихкод 4039784346895</t>
  </si>
  <si>
    <t>2.889-217.0
Штрихкод 4054278445083</t>
  </si>
  <si>
    <t>6.415-660.0
Штрихкод 4002667219432</t>
  </si>
  <si>
    <t>2.645-023.0
Штрихкод 4039784289062</t>
  </si>
  <si>
    <t>6.415-530.0
Штрихкод 4002667218589</t>
  </si>
  <si>
    <t>2.645-141.0
Штрихкод 4039784447615</t>
  </si>
  <si>
    <t>5.332-187.0
Штрихкод 4002667127164</t>
  </si>
  <si>
    <t>4.744-242.0
Штрихкод 4039784461260</t>
  </si>
  <si>
    <t>6.362-471.0
Штрихкод 4002667182798</t>
  </si>
  <si>
    <t>6.295-553.0
Штрихкод 4039784470811</t>
  </si>
  <si>
    <t>2.633-130.0
Штрихкод 4054278238234</t>
  </si>
  <si>
    <t>5.363-613.0
Штрихкод 4002667775563</t>
  </si>
  <si>
    <t>6.365-495.3
Штрихкод 4054278951614</t>
  </si>
  <si>
    <t>7.303-086.0
Штрихкод 4002667661620</t>
  </si>
  <si>
    <t>5.037-140.0
Штрихкод 4002667399332</t>
  </si>
  <si>
    <t>6.365-394.0
Штрихкод 4002667186987</t>
  </si>
  <si>
    <t>6.290-175.0
Штрихкод 4002667014464</t>
  </si>
  <si>
    <t>2.643-233.0
Штрихкод 4039784920712</t>
  </si>
  <si>
    <t>2.863-319.0</t>
  </si>
  <si>
    <t>6.366-039.0
Штрихкод 4002667187137</t>
  </si>
  <si>
    <t>6.343-168.0
Штрихкод 4002667178685</t>
  </si>
  <si>
    <t>2.445-065.0
Штрихкод 4054278650395</t>
  </si>
  <si>
    <t>4.580-139.3
Штрихкод 4054278834375</t>
  </si>
  <si>
    <t>6.366-043.0
Штрихкод 4002667187168</t>
  </si>
  <si>
    <t>9.763-007.0
Штрихкод 4054278186672</t>
  </si>
  <si>
    <t>5.116-381.0
Штрихкод 4039784464551</t>
  </si>
  <si>
    <t>4.762-392.0
Штрихкод 4039784201859</t>
  </si>
  <si>
    <t>9.002-011.0
Штрихкод 4054278013541</t>
  </si>
  <si>
    <t>6.904-367.0
Штрихкод 4039784221345</t>
  </si>
  <si>
    <t>5.427-298.0
Штрихкод 4002667768138</t>
  </si>
  <si>
    <t>7.367-009.0
Штрихкод 4002667325393</t>
  </si>
  <si>
    <t>5.116-380.0
Штрихкод 4039784523388</t>
  </si>
  <si>
    <t>2.863-005.0
Штрихкод 4039784945234</t>
  </si>
  <si>
    <t>2.645-138.0
Штрихкод 4039784447585</t>
  </si>
  <si>
    <t>6.435-196.0
Штрихкод 4002667223804</t>
  </si>
  <si>
    <t>9.755-263.0
Штрихкод 4039784995192</t>
  </si>
  <si>
    <t>9.751-027.0
Штрихкод 4039784871182</t>
  </si>
  <si>
    <t>6.902-127.0
Штрихкод 4002667785388</t>
  </si>
  <si>
    <t>4.553-230.3
Штрихкод 4054278938752</t>
  </si>
  <si>
    <t>2.637-729.0
Штрихкод 4002667004496</t>
  </si>
  <si>
    <t>4.580-594.0
Штрихкод 4002667767773</t>
  </si>
  <si>
    <t>2.445-035.0
Штрихкод 4054278511757</t>
  </si>
  <si>
    <t>6.110-046.0
Штрихкод 4054278227337</t>
  </si>
  <si>
    <t>5.037-333.0
Штрихкод 4039784977181</t>
  </si>
  <si>
    <t>6.904-294.0
Штрихкод 4002667779448</t>
  </si>
  <si>
    <t>2.885-186.0
Штрихкод 4039784523340</t>
  </si>
  <si>
    <t>4.730-168.3
Штрихкод 4054278325477</t>
  </si>
  <si>
    <t>6.362-498.0
Штрихкод 4002667183023</t>
  </si>
  <si>
    <t>6.365-340.0
Штрихкод 4002667186765</t>
  </si>
  <si>
    <t>6.964-026.0
Штрихкод 4002667311518</t>
  </si>
  <si>
    <t>4.035-285.0
Штрихкод 4054278355412</t>
  </si>
  <si>
    <t>2.645-042.0
Штрихкод 4039784289246</t>
  </si>
  <si>
    <t>2.645-137.0
Штрихкод 4039784426368</t>
  </si>
  <si>
    <t>9.605-286.0</t>
  </si>
  <si>
    <t>6.661-129.0
Штрихкод 4002667261219</t>
  </si>
  <si>
    <t>4.553-197.0
Штрихкод 4002667451511</t>
  </si>
  <si>
    <t>2.645-281.0
Штрихкод 4054278060378</t>
  </si>
  <si>
    <t>6.367-051.0
Штрихкод 4002667563313</t>
  </si>
  <si>
    <t>9.002-010.0
Штрихкод 4054278029405</t>
  </si>
  <si>
    <t>4.745-043.0
Штрихкод 4054278199672</t>
  </si>
  <si>
    <t>6.273-023.0
Штрихкод 4054278249087</t>
  </si>
  <si>
    <t>6.363-633.0
Штрихкод 4039784925229</t>
  </si>
  <si>
    <t>1.439-420.0
Штрихкод 4039784998971</t>
  </si>
  <si>
    <t>1.628-360.0
Штрихкод 4054278661810</t>
  </si>
  <si>
    <t>1.444-240.0
Штрихкод 4054278550428</t>
  </si>
  <si>
    <t>1.645-535.0
Штрихкод 4054278923598</t>
  </si>
  <si>
    <t>1.081-138.0
Штрихкод 4054278992075</t>
  </si>
  <si>
    <t>1.378-982.0
Штрихкод 4054278740799</t>
  </si>
  <si>
    <t>1.198-135.0
Штрихкод 4054278206745</t>
  </si>
  <si>
    <t>1.513-127.0
Штрихкод 4054278987668</t>
  </si>
  <si>
    <t>1.444-313.0</t>
  </si>
  <si>
    <t>1.444-311.0
Штрихкод 4054278550244</t>
  </si>
  <si>
    <t>1.168-508.0
Штрихкод 4054278937328</t>
  </si>
  <si>
    <t>1.055-460.0
Штрихкод 4054278516202</t>
  </si>
  <si>
    <t>1.628-446.0
Штрихкод 4054278981031</t>
  </si>
  <si>
    <t>1.317-170.0
Штрихкод 4054278961330</t>
  </si>
  <si>
    <t>1.444-100.0
Штрихкод 4054278548401</t>
  </si>
  <si>
    <t>1.081-220.0
Штрихкод 4039784515093</t>
  </si>
  <si>
    <t>1.367-306.0
Штрихкод 4039784858756</t>
  </si>
  <si>
    <t>1.444-170.0
Штрихкод 4054278549248</t>
  </si>
</sst>
</file>

<file path=xl/styles.xml><?xml version="1.0" encoding="utf-8"?>
<styleSheet xmlns="http://schemas.openxmlformats.org/spreadsheetml/2006/main">
  <numFmts count="1">
    <numFmt numFmtId="164" formatCode="0.000"/>
  </numFmts>
  <fonts count="10">
    <font>
      <sz val="8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u/>
      <sz val="9"/>
      <name val="Arial"/>
      <family val="2"/>
      <charset val="204"/>
    </font>
    <font>
      <u/>
      <sz val="9"/>
      <name val="Arial"/>
      <family val="2"/>
      <charset val="204"/>
    </font>
    <font>
      <sz val="7"/>
      <name val="Arial"/>
      <family val="2"/>
      <charset val="204"/>
    </font>
    <font>
      <b/>
      <sz val="12"/>
      <name val="Arial"/>
      <family val="2"/>
      <charset val="204"/>
    </font>
    <font>
      <b/>
      <sz val="8"/>
      <name val="Arial"/>
      <family val="2"/>
      <charset val="204"/>
    </font>
    <font>
      <sz val="10"/>
      <color theme="1"/>
      <name val="Arial"/>
      <family val="2"/>
      <charset val="204"/>
    </font>
    <font>
      <b/>
      <sz val="14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horizontal="left"/>
    </xf>
  </cellStyleXfs>
  <cellXfs count="61">
    <xf numFmtId="0" fontId="0" fillId="0" borderId="0" xfId="0" applyAlignment="1"/>
    <xf numFmtId="0" fontId="1" fillId="0" borderId="0" xfId="0" applyFont="1" applyAlignment="1">
      <alignment horizontal="centerContinuous" vertical="top"/>
    </xf>
    <xf numFmtId="0" fontId="2" fillId="0" borderId="0" xfId="0" applyFont="1" applyAlignment="1">
      <alignment horizontal="centerContinuous" shrinkToFit="1"/>
    </xf>
    <xf numFmtId="0" fontId="2" fillId="0" borderId="0" xfId="0" applyFont="1" applyAlignment="1">
      <alignment horizontal="centerContinuous"/>
    </xf>
    <xf numFmtId="0" fontId="2" fillId="0" borderId="0" xfId="0" applyFont="1" applyAlignment="1"/>
    <xf numFmtId="0" fontId="2" fillId="0" borderId="0" xfId="0" applyFont="1" applyAlignment="1">
      <alignment shrinkToFit="1"/>
    </xf>
    <xf numFmtId="0" fontId="3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shrinkToFit="1"/>
    </xf>
    <xf numFmtId="0" fontId="0" fillId="0" borderId="0" xfId="0" applyBorder="1" applyAlignment="1"/>
    <xf numFmtId="0" fontId="0" fillId="0" borderId="0" xfId="0" applyAlignment="1">
      <alignment horizontal="left" vertical="center"/>
    </xf>
    <xf numFmtId="0" fontId="1" fillId="0" borderId="0" xfId="0" applyFont="1" applyFill="1" applyAlignment="1">
      <alignment horizontal="centerContinuous" vertical="top"/>
    </xf>
    <xf numFmtId="0" fontId="2" fillId="0" borderId="0" xfId="0" applyFont="1" applyFill="1" applyAlignment="1">
      <alignment horizontal="centerContinuous" shrinkToFit="1"/>
    </xf>
    <xf numFmtId="0" fontId="2" fillId="0" borderId="0" xfId="0" applyFont="1" applyFill="1" applyAlignment="1">
      <alignment horizontal="centerContinuous"/>
    </xf>
    <xf numFmtId="0" fontId="2" fillId="0" borderId="0" xfId="0" applyFont="1" applyFill="1" applyAlignment="1"/>
    <xf numFmtId="0" fontId="2" fillId="0" borderId="0" xfId="0" applyFont="1" applyFill="1" applyAlignment="1">
      <alignment shrinkToFit="1"/>
    </xf>
    <xf numFmtId="0" fontId="3" fillId="0" borderId="0" xfId="0" applyFont="1" applyFill="1" applyAlignment="1">
      <alignment vertical="center"/>
    </xf>
    <xf numFmtId="0" fontId="2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" fontId="2" fillId="0" borderId="0" xfId="0" applyNumberFormat="1" applyFont="1" applyFill="1" applyAlignment="1">
      <alignment horizontal="center" vertical="top"/>
    </xf>
    <xf numFmtId="0" fontId="4" fillId="0" borderId="0" xfId="0" applyFont="1" applyFill="1" applyAlignment="1"/>
    <xf numFmtId="0" fontId="1" fillId="0" borderId="0" xfId="0" applyFont="1" applyFill="1" applyAlignment="1">
      <alignment vertical="top" wrapText="1"/>
    </xf>
    <xf numFmtId="0" fontId="1" fillId="0" borderId="0" xfId="0" applyFont="1" applyFill="1" applyBorder="1" applyAlignment="1">
      <alignment horizontal="center" vertical="center"/>
    </xf>
    <xf numFmtId="0" fontId="2" fillId="2" borderId="2" xfId="0" applyFont="1" applyFill="1" applyBorder="1" applyAlignment="1"/>
    <xf numFmtId="0" fontId="0" fillId="0" borderId="2" xfId="0" applyBorder="1" applyAlignment="1"/>
    <xf numFmtId="1" fontId="2" fillId="0" borderId="2" xfId="0" applyNumberFormat="1" applyFont="1" applyFill="1" applyBorder="1" applyAlignment="1">
      <alignment horizontal="left" vertical="center"/>
    </xf>
    <xf numFmtId="1" fontId="2" fillId="0" borderId="2" xfId="0" applyNumberFormat="1" applyFont="1" applyFill="1" applyBorder="1" applyAlignment="1">
      <alignment horizontal="center" vertical="top"/>
    </xf>
    <xf numFmtId="0" fontId="2" fillId="0" borderId="2" xfId="0" applyFont="1" applyFill="1" applyBorder="1" applyAlignment="1">
      <alignment horizontal="left"/>
    </xf>
    <xf numFmtId="0" fontId="1" fillId="0" borderId="2" xfId="0" applyFont="1" applyFill="1" applyBorder="1" applyAlignment="1">
      <alignment horizontal="center" vertical="center" shrinkToFit="1"/>
    </xf>
    <xf numFmtId="0" fontId="2" fillId="2" borderId="2" xfId="0" applyFont="1" applyFill="1" applyBorder="1" applyAlignment="1">
      <alignment horizontal="left"/>
    </xf>
    <xf numFmtId="0" fontId="0" fillId="0" borderId="5" xfId="0" applyBorder="1" applyAlignment="1"/>
    <xf numFmtId="0" fontId="0" fillId="0" borderId="2" xfId="0" applyBorder="1" applyAlignment="1">
      <alignment horizontal="left" vertical="center"/>
    </xf>
    <xf numFmtId="0" fontId="7" fillId="0" borderId="2" xfId="0" applyFont="1" applyBorder="1" applyAlignment="1">
      <alignment horizontal="center" vertical="center" wrapText="1"/>
    </xf>
    <xf numFmtId="164" fontId="5" fillId="0" borderId="2" xfId="0" applyNumberFormat="1" applyFont="1" applyBorder="1" applyAlignment="1" applyProtection="1">
      <alignment horizontal="right" vertical="top" wrapText="1"/>
      <protection locked="0"/>
    </xf>
    <xf numFmtId="0" fontId="2" fillId="0" borderId="2" xfId="0" applyFont="1" applyBorder="1" applyAlignment="1" applyProtection="1">
      <alignment horizontal="center" vertical="top"/>
      <protection locked="0"/>
    </xf>
    <xf numFmtId="0" fontId="2" fillId="0" borderId="0" xfId="0" applyFont="1" applyAlignment="1" applyProtection="1">
      <alignment horizontal="center" vertical="top"/>
      <protection locked="0"/>
    </xf>
    <xf numFmtId="0" fontId="2" fillId="0" borderId="0" xfId="0" applyFont="1" applyAlignment="1" applyProtection="1">
      <protection locked="0"/>
    </xf>
    <xf numFmtId="0" fontId="1" fillId="0" borderId="0" xfId="0" applyFont="1" applyAlignment="1" applyProtection="1">
      <protection locked="0"/>
    </xf>
    <xf numFmtId="0" fontId="2" fillId="0" borderId="2" xfId="0" applyFont="1" applyBorder="1" applyAlignment="1" applyProtection="1">
      <alignment shrinkToFit="1"/>
      <protection locked="0"/>
    </xf>
    <xf numFmtId="0" fontId="2" fillId="0" borderId="2" xfId="0" applyFont="1" applyBorder="1" applyAlignment="1" applyProtection="1">
      <protection locked="0"/>
    </xf>
    <xf numFmtId="0" fontId="1" fillId="0" borderId="2" xfId="0" applyFont="1" applyBorder="1" applyAlignment="1" applyProtection="1">
      <alignment vertical="top" wrapText="1"/>
      <protection locked="0"/>
    </xf>
    <xf numFmtId="0" fontId="1" fillId="0" borderId="0" xfId="0" applyFont="1" applyAlignment="1" applyProtection="1">
      <alignment vertical="top" wrapText="1"/>
      <protection locked="0"/>
    </xf>
    <xf numFmtId="0" fontId="5" fillId="0" borderId="2" xfId="0" applyNumberFormat="1" applyFont="1" applyBorder="1" applyAlignment="1" applyProtection="1">
      <alignment horizontal="left" vertical="top" wrapText="1"/>
      <protection locked="0"/>
    </xf>
    <xf numFmtId="0" fontId="2" fillId="0" borderId="0" xfId="0" applyFont="1" applyAlignment="1">
      <alignment horizontal="left" vertical="top" wrapText="1"/>
    </xf>
    <xf numFmtId="0" fontId="1" fillId="0" borderId="2" xfId="0" applyFont="1" applyFill="1" applyBorder="1" applyAlignment="1">
      <alignment horizontal="center" vertical="center" shrinkToFit="1"/>
    </xf>
    <xf numFmtId="0" fontId="1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top" wrapText="1"/>
    </xf>
    <xf numFmtId="0" fontId="1" fillId="0" borderId="0" xfId="0" applyFont="1" applyFill="1" applyAlignment="1" applyProtection="1">
      <alignment horizontal="center" vertical="top"/>
      <protection locked="0"/>
    </xf>
    <xf numFmtId="0" fontId="1" fillId="0" borderId="0" xfId="0" applyFont="1" applyFill="1" applyAlignment="1" applyProtection="1"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1" fontId="0" fillId="0" borderId="2" xfId="0" applyNumberFormat="1" applyFont="1" applyBorder="1" applyAlignment="1" applyProtection="1">
      <alignment horizontal="right" vertical="top"/>
      <protection locked="0"/>
    </xf>
    <xf numFmtId="0" fontId="5" fillId="0" borderId="3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 wrapText="1"/>
    </xf>
    <xf numFmtId="164" fontId="5" fillId="0" borderId="2" xfId="0" applyNumberFormat="1" applyFont="1" applyBorder="1" applyAlignment="1">
      <alignment horizontal="right" vertical="top" wrapText="1"/>
    </xf>
    <xf numFmtId="164" fontId="5" fillId="0" borderId="5" xfId="0" applyNumberFormat="1" applyFont="1" applyBorder="1" applyAlignment="1">
      <alignment horizontal="right" vertical="top" wrapText="1"/>
    </xf>
  </cellXfs>
  <cellStyles count="1">
    <cellStyle name="Обычный" xfId="0" builtinId="0"/>
  </cellStyles>
  <dxfs count="2">
    <dxf>
      <font>
        <color rgb="FFFF0000"/>
      </font>
    </dxf>
    <dxf>
      <font>
        <color theme="1"/>
      </font>
      <fill>
        <patternFill>
          <bgColor theme="7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808000"/>
      <rgbColor rgb="00000080"/>
      <rgbColor rgb="00800080"/>
      <rgbColor rgb="00008080"/>
      <rgbColor rgb="00808080"/>
      <rgbColor rgb="00C0C0C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CFFF"/>
      <rgbColor rgb="0069FFFF"/>
      <rgbColor rgb="00E0FFE0"/>
      <rgbColor rgb="00DD9CB3"/>
      <rgbColor rgb="00B38FEE"/>
      <rgbColor rgb="002A6FF9"/>
      <rgbColor rgb="003FB8CD"/>
      <rgbColor rgb="00488436"/>
      <rgbColor rgb="00958C41"/>
      <rgbColor rgb="008E5E42"/>
      <rgbColor rgb="00A0627A"/>
      <rgbColor rgb="00624FAC"/>
      <rgbColor rgb="001D2FBE"/>
      <rgbColor rgb="00286676"/>
      <rgbColor rgb="00004500"/>
      <rgbColor rgb="00453E01"/>
      <rgbColor rgb="006A2813"/>
      <rgbColor rgb="0085396A"/>
      <rgbColor rgb="004A3285"/>
      <rgbColor rgb="00C0DCC0"/>
      <rgbColor rgb="00A6CAF0"/>
      <rgbColor rgb="00800000"/>
      <rgbColor rgb="00008000"/>
      <rgbColor rgb="00000080"/>
      <rgbColor rgb="00808000"/>
      <rgbColor rgb="00800080"/>
      <rgbColor rgb="00008080"/>
      <rgbColor rgb="00808080"/>
      <rgbColor rgb="00FFFBF0"/>
      <rgbColor rgb="00A0A0A4"/>
      <rgbColor rgb="00313900"/>
      <rgbColor rgb="00D9853E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0</xdr:col>
      <xdr:colOff>0</xdr:colOff>
      <xdr:row>8</xdr:row>
      <xdr:rowOff>0</xdr:rowOff>
    </xdr:to>
    <xdr:sp macro="" textlink="">
      <xdr:nvSpPr>
        <xdr:cNvPr id="1026" name="Текст 2"/>
        <xdr:cNvSpPr txBox="1">
          <a:spLocks noChangeArrowheads="1"/>
        </xdr:cNvSpPr>
      </xdr:nvSpPr>
      <xdr:spPr bwMode="auto">
        <a:xfrm>
          <a:off x="0" y="1190625"/>
          <a:ext cx="0" cy="1714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22860" rIns="27432" bIns="0" anchor="t" upright="1"/>
        <a:lstStyle/>
        <a:p>
          <a:pPr algn="r" rtl="1">
            <a:defRPr sz="1000"/>
          </a:pPr>
          <a:r>
            <a:rPr lang="ru-RU" sz="800" b="0" i="0" strike="noStrike">
              <a:solidFill>
                <a:srgbClr val="000000"/>
              </a:solidFill>
              <a:latin typeface="Arial"/>
              <a:cs typeface="Arial"/>
            </a:rPr>
            <a:t>Получатель: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28575</xdr:colOff>
      <xdr:row>10</xdr:row>
      <xdr:rowOff>0</xdr:rowOff>
    </xdr:to>
    <xdr:sp macro="" textlink="">
      <xdr:nvSpPr>
        <xdr:cNvPr id="1027" name="Текст 3"/>
        <xdr:cNvSpPr txBox="1">
          <a:spLocks noChangeArrowheads="1"/>
        </xdr:cNvSpPr>
      </xdr:nvSpPr>
      <xdr:spPr bwMode="auto">
        <a:xfrm>
          <a:off x="0" y="1504950"/>
          <a:ext cx="28575" cy="1619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22860" rIns="27432" bIns="0" anchor="t" upright="1"/>
        <a:lstStyle/>
        <a:p>
          <a:pPr algn="r" rtl="1">
            <a:defRPr sz="1000"/>
          </a:pPr>
          <a:r>
            <a:rPr lang="ru-RU" sz="800" b="0" i="0" strike="noStrike">
              <a:solidFill>
                <a:srgbClr val="000000"/>
              </a:solidFill>
              <a:latin typeface="Arial"/>
              <a:cs typeface="Arial"/>
            </a:rPr>
            <a:t>Основание: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7</xdr:row>
      <xdr:rowOff>0</xdr:rowOff>
    </xdr:to>
    <xdr:sp macro="" textlink="">
      <xdr:nvSpPr>
        <xdr:cNvPr id="1028" name="Текст 4"/>
        <xdr:cNvSpPr txBox="1">
          <a:spLocks noChangeArrowheads="1"/>
        </xdr:cNvSpPr>
      </xdr:nvSpPr>
      <xdr:spPr bwMode="auto">
        <a:xfrm>
          <a:off x="0" y="1000125"/>
          <a:ext cx="0" cy="1905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22860" rIns="27432" bIns="0" anchor="t" upright="1"/>
        <a:lstStyle/>
        <a:p>
          <a:pPr algn="r" rtl="1">
            <a:defRPr sz="1000"/>
          </a:pPr>
          <a:r>
            <a:rPr lang="ru-RU" sz="800" b="0" i="0" strike="noStrike">
              <a:solidFill>
                <a:srgbClr val="000000"/>
              </a:solidFill>
              <a:latin typeface="Arial"/>
              <a:cs typeface="Arial"/>
            </a:rPr>
            <a:t>Получатель: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28575</xdr:colOff>
      <xdr:row>8</xdr:row>
      <xdr:rowOff>0</xdr:rowOff>
    </xdr:to>
    <xdr:sp macro="" textlink="">
      <xdr:nvSpPr>
        <xdr:cNvPr id="1029" name="Текст 5"/>
        <xdr:cNvSpPr txBox="1">
          <a:spLocks noChangeArrowheads="1"/>
        </xdr:cNvSpPr>
      </xdr:nvSpPr>
      <xdr:spPr bwMode="auto">
        <a:xfrm>
          <a:off x="0" y="1190625"/>
          <a:ext cx="28575" cy="1714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22860" rIns="27432" bIns="0" anchor="t" upright="1"/>
        <a:lstStyle/>
        <a:p>
          <a:pPr algn="r" rtl="1">
            <a:defRPr sz="1000"/>
          </a:pPr>
          <a:r>
            <a:rPr lang="ru-RU" sz="800" b="0" i="0" strike="noStrike">
              <a:solidFill>
                <a:srgbClr val="000000"/>
              </a:solidFill>
              <a:latin typeface="Arial"/>
              <a:cs typeface="Arial"/>
            </a:rPr>
            <a:t>Основание: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0</xdr:colOff>
      <xdr:row>8</xdr:row>
      <xdr:rowOff>0</xdr:rowOff>
    </xdr:to>
    <xdr:sp macro="" textlink="">
      <xdr:nvSpPr>
        <xdr:cNvPr id="1030" name="Текст 6"/>
        <xdr:cNvSpPr txBox="1">
          <a:spLocks noChangeArrowheads="1"/>
        </xdr:cNvSpPr>
      </xdr:nvSpPr>
      <xdr:spPr bwMode="auto">
        <a:xfrm>
          <a:off x="0" y="1190625"/>
          <a:ext cx="0" cy="1714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22860" rIns="27432" bIns="0" anchor="t" upright="1"/>
        <a:lstStyle/>
        <a:p>
          <a:pPr algn="r" rtl="1">
            <a:defRPr sz="1000"/>
          </a:pPr>
          <a:r>
            <a:rPr lang="ru-RU" sz="800" b="0" i="0" strike="noStrike">
              <a:solidFill>
                <a:srgbClr val="000000"/>
              </a:solidFill>
              <a:latin typeface="Arial"/>
              <a:cs typeface="Arial"/>
            </a:rPr>
            <a:t>Получатель: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28575</xdr:colOff>
      <xdr:row>8</xdr:row>
      <xdr:rowOff>0</xdr:rowOff>
    </xdr:to>
    <xdr:sp macro="" textlink="">
      <xdr:nvSpPr>
        <xdr:cNvPr id="1031" name="Текст 7"/>
        <xdr:cNvSpPr txBox="1">
          <a:spLocks noChangeArrowheads="1"/>
        </xdr:cNvSpPr>
      </xdr:nvSpPr>
      <xdr:spPr bwMode="auto">
        <a:xfrm>
          <a:off x="0" y="1190625"/>
          <a:ext cx="28575" cy="1714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22860" rIns="27432" bIns="0" anchor="t" upright="1"/>
        <a:lstStyle/>
        <a:p>
          <a:pPr algn="r" rtl="1">
            <a:defRPr sz="1000"/>
          </a:pPr>
          <a:r>
            <a:rPr lang="ru-RU" sz="800" b="0" i="0" strike="noStrike">
              <a:solidFill>
                <a:srgbClr val="000000"/>
              </a:solidFill>
              <a:latin typeface="Arial"/>
              <a:cs typeface="Arial"/>
            </a:rPr>
            <a:t>Основание: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7</xdr:row>
      <xdr:rowOff>0</xdr:rowOff>
    </xdr:to>
    <xdr:sp macro="" textlink="">
      <xdr:nvSpPr>
        <xdr:cNvPr id="1032" name="Текст 8"/>
        <xdr:cNvSpPr txBox="1">
          <a:spLocks noChangeArrowheads="1"/>
        </xdr:cNvSpPr>
      </xdr:nvSpPr>
      <xdr:spPr bwMode="auto">
        <a:xfrm>
          <a:off x="0" y="1000125"/>
          <a:ext cx="0" cy="1905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22860" rIns="27432" bIns="0" anchor="t" upright="1"/>
        <a:lstStyle/>
        <a:p>
          <a:pPr algn="r" rtl="1">
            <a:defRPr sz="1000"/>
          </a:pPr>
          <a:r>
            <a:rPr lang="ru-RU" sz="800" b="0" i="0" strike="noStrike">
              <a:solidFill>
                <a:srgbClr val="000000"/>
              </a:solidFill>
              <a:latin typeface="Arial"/>
              <a:cs typeface="Arial"/>
            </a:rPr>
            <a:t>Получатель: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550"/>
  <sheetViews>
    <sheetView topLeftCell="A2" workbookViewId="0">
      <selection activeCell="G19" sqref="G19"/>
    </sheetView>
  </sheetViews>
  <sheetFormatPr defaultColWidth="10.33203125" defaultRowHeight="12"/>
  <cols>
    <col min="1" max="1" width="4.33203125" style="4" customWidth="1"/>
    <col min="2" max="2" width="81.5" style="5" customWidth="1"/>
    <col min="3" max="3" width="10.33203125" style="4" customWidth="1"/>
    <col min="4" max="4" width="5.5" style="4" customWidth="1"/>
    <col min="5" max="5" width="23" style="4" customWidth="1"/>
    <col min="6" max="16384" width="10.33203125" style="4"/>
  </cols>
  <sheetData>
    <row r="1" spans="1:5">
      <c r="A1" s="1" t="s">
        <v>0</v>
      </c>
      <c r="B1" s="2"/>
      <c r="C1" s="3"/>
      <c r="D1" s="3"/>
    </row>
    <row r="4" spans="1:5">
      <c r="A4" s="6" t="s">
        <v>1</v>
      </c>
      <c r="D4" s="7" t="s">
        <v>2</v>
      </c>
    </row>
    <row r="5" spans="1:5" ht="13.5" customHeight="1">
      <c r="A5" s="8" t="s">
        <v>3</v>
      </c>
      <c r="D5" s="7" t="s">
        <v>4</v>
      </c>
    </row>
    <row r="6" spans="1:5">
      <c r="D6" s="7" t="s">
        <v>5</v>
      </c>
    </row>
    <row r="7" spans="1:5" ht="12.75" customHeight="1"/>
    <row r="8" spans="1:5" ht="15.75" customHeight="1">
      <c r="A8" s="9" t="s">
        <v>7</v>
      </c>
      <c r="B8" s="10" t="s">
        <v>8</v>
      </c>
      <c r="C8" s="9" t="s">
        <v>9</v>
      </c>
      <c r="D8" s="9" t="s">
        <v>10</v>
      </c>
    </row>
    <row r="9" spans="1:5">
      <c r="A9" s="36" t="s">
        <v>11</v>
      </c>
      <c r="B9" s="54" t="s">
        <v>312</v>
      </c>
      <c r="C9" s="55">
        <v>1</v>
      </c>
      <c r="D9" s="37"/>
      <c r="E9" s="38"/>
    </row>
    <row r="10" spans="1:5">
      <c r="A10" s="36" t="s">
        <v>12</v>
      </c>
      <c r="B10" s="54" t="s">
        <v>13</v>
      </c>
      <c r="C10" s="55">
        <v>2</v>
      </c>
      <c r="D10" s="37"/>
      <c r="E10" s="38"/>
    </row>
    <row r="11" spans="1:5">
      <c r="A11" s="36" t="s">
        <v>14</v>
      </c>
      <c r="B11" s="54" t="s">
        <v>15</v>
      </c>
      <c r="C11" s="55">
        <v>1</v>
      </c>
      <c r="D11" s="37"/>
      <c r="E11" s="38"/>
    </row>
    <row r="12" spans="1:5">
      <c r="A12" s="36" t="s">
        <v>16</v>
      </c>
      <c r="B12" s="54" t="s">
        <v>17</v>
      </c>
      <c r="C12" s="55">
        <v>1</v>
      </c>
      <c r="D12" s="37"/>
      <c r="E12" s="38"/>
    </row>
    <row r="13" spans="1:5">
      <c r="A13" s="36" t="s">
        <v>18</v>
      </c>
      <c r="B13" s="54" t="s">
        <v>19</v>
      </c>
      <c r="C13" s="55">
        <v>0</v>
      </c>
      <c r="D13" s="37"/>
      <c r="E13" s="38"/>
    </row>
    <row r="14" spans="1:5">
      <c r="A14" s="36" t="s">
        <v>20</v>
      </c>
      <c r="B14" s="54" t="s">
        <v>21</v>
      </c>
      <c r="C14" s="55">
        <v>16</v>
      </c>
      <c r="D14" s="37"/>
      <c r="E14" s="38"/>
    </row>
    <row r="15" spans="1:5">
      <c r="A15" s="36" t="s">
        <v>22</v>
      </c>
      <c r="B15" s="54" t="s">
        <v>23</v>
      </c>
      <c r="C15" s="55">
        <v>1</v>
      </c>
      <c r="D15" s="37"/>
      <c r="E15" s="38"/>
    </row>
    <row r="16" spans="1:5">
      <c r="A16" s="36" t="s">
        <v>24</v>
      </c>
      <c r="B16" s="54" t="s">
        <v>19</v>
      </c>
      <c r="C16" s="55">
        <v>0</v>
      </c>
      <c r="D16" s="37"/>
      <c r="E16" s="38"/>
    </row>
    <row r="17" spans="1:5">
      <c r="A17" s="36" t="s">
        <v>25</v>
      </c>
      <c r="B17" s="54" t="s">
        <v>32</v>
      </c>
      <c r="C17" s="55">
        <v>1</v>
      </c>
      <c r="D17" s="37"/>
      <c r="E17" s="38"/>
    </row>
    <row r="18" spans="1:5">
      <c r="A18" s="36" t="s">
        <v>27</v>
      </c>
      <c r="B18" s="54" t="s">
        <v>19</v>
      </c>
      <c r="C18" s="55">
        <v>0</v>
      </c>
      <c r="D18" s="37"/>
      <c r="E18" s="38"/>
    </row>
    <row r="19" spans="1:5">
      <c r="A19" s="36" t="s">
        <v>28</v>
      </c>
      <c r="B19" s="54" t="s">
        <v>42</v>
      </c>
      <c r="C19" s="55">
        <v>1</v>
      </c>
      <c r="D19" s="37"/>
      <c r="E19" s="38"/>
    </row>
    <row r="20" spans="1:5">
      <c r="A20" s="36" t="s">
        <v>29</v>
      </c>
      <c r="B20" s="54" t="s">
        <v>42</v>
      </c>
      <c r="C20" s="55">
        <v>1</v>
      </c>
      <c r="D20" s="37"/>
      <c r="E20" s="38"/>
    </row>
    <row r="21" spans="1:5">
      <c r="A21" s="36" t="s">
        <v>30</v>
      </c>
      <c r="B21" s="54" t="s">
        <v>46</v>
      </c>
      <c r="C21" s="55">
        <v>1</v>
      </c>
      <c r="D21" s="37"/>
      <c r="E21" s="38"/>
    </row>
    <row r="22" spans="1:5">
      <c r="A22" s="36" t="s">
        <v>31</v>
      </c>
      <c r="B22" s="54" t="s">
        <v>19</v>
      </c>
      <c r="C22" s="55">
        <v>0</v>
      </c>
      <c r="D22" s="37"/>
      <c r="E22" s="38"/>
    </row>
    <row r="23" spans="1:5">
      <c r="A23" s="36" t="s">
        <v>33</v>
      </c>
      <c r="B23" s="54" t="s">
        <v>50</v>
      </c>
      <c r="C23" s="55">
        <v>2</v>
      </c>
      <c r="D23" s="37"/>
      <c r="E23" s="38"/>
    </row>
    <row r="24" spans="1:5">
      <c r="A24" s="36" t="s">
        <v>34</v>
      </c>
      <c r="B24" s="54" t="s">
        <v>53</v>
      </c>
      <c r="C24" s="55">
        <v>3</v>
      </c>
      <c r="D24" s="37"/>
      <c r="E24" s="38"/>
    </row>
    <row r="25" spans="1:5">
      <c r="A25" s="36" t="s">
        <v>35</v>
      </c>
      <c r="B25" s="54" t="s">
        <v>55</v>
      </c>
      <c r="C25" s="55">
        <v>2</v>
      </c>
      <c r="D25" s="37"/>
      <c r="E25" s="38"/>
    </row>
    <row r="26" spans="1:5">
      <c r="A26" s="36" t="s">
        <v>36</v>
      </c>
      <c r="B26" s="54" t="s">
        <v>57</v>
      </c>
      <c r="C26" s="55">
        <v>1</v>
      </c>
      <c r="D26" s="37"/>
      <c r="E26" s="38"/>
    </row>
    <row r="27" spans="1:5">
      <c r="A27" s="36" t="s">
        <v>37</v>
      </c>
      <c r="B27" s="54" t="s">
        <v>59</v>
      </c>
      <c r="C27" s="55">
        <v>2</v>
      </c>
      <c r="D27" s="37"/>
      <c r="E27" s="38"/>
    </row>
    <row r="28" spans="1:5">
      <c r="A28" s="36" t="s">
        <v>38</v>
      </c>
      <c r="B28" s="54" t="s">
        <v>61</v>
      </c>
      <c r="C28" s="55">
        <v>2</v>
      </c>
      <c r="D28" s="37"/>
      <c r="E28" s="38"/>
    </row>
    <row r="29" spans="1:5">
      <c r="A29" s="36" t="s">
        <v>39</v>
      </c>
      <c r="B29" s="54" t="s">
        <v>19</v>
      </c>
      <c r="C29" s="55">
        <v>0</v>
      </c>
      <c r="D29" s="37"/>
      <c r="E29" s="38"/>
    </row>
    <row r="30" spans="1:5">
      <c r="A30" s="36" t="s">
        <v>40</v>
      </c>
      <c r="B30" s="54" t="s">
        <v>64</v>
      </c>
      <c r="C30" s="55">
        <v>1</v>
      </c>
      <c r="D30" s="37"/>
      <c r="E30" s="38"/>
    </row>
    <row r="31" spans="1:5">
      <c r="A31" s="36" t="s">
        <v>41</v>
      </c>
      <c r="B31" s="54" t="s">
        <v>19</v>
      </c>
      <c r="C31" s="55">
        <v>0</v>
      </c>
      <c r="D31" s="37"/>
      <c r="E31" s="38"/>
    </row>
    <row r="32" spans="1:5">
      <c r="A32" s="36" t="s">
        <v>43</v>
      </c>
      <c r="B32" s="54" t="s">
        <v>69</v>
      </c>
      <c r="C32" s="55">
        <v>1</v>
      </c>
      <c r="D32" s="37"/>
      <c r="E32" s="38"/>
    </row>
    <row r="33" spans="1:5">
      <c r="A33" s="36" t="s">
        <v>44</v>
      </c>
      <c r="B33" s="54" t="s">
        <v>72</v>
      </c>
      <c r="C33" s="55">
        <v>3</v>
      </c>
      <c r="D33" s="37"/>
      <c r="E33" s="38"/>
    </row>
    <row r="34" spans="1:5">
      <c r="A34" s="36" t="s">
        <v>45</v>
      </c>
      <c r="B34" s="54" t="s">
        <v>74</v>
      </c>
      <c r="C34" s="55">
        <v>1</v>
      </c>
      <c r="D34" s="37"/>
      <c r="E34" s="38"/>
    </row>
    <row r="35" spans="1:5">
      <c r="A35" s="36" t="s">
        <v>47</v>
      </c>
      <c r="B35" s="54" t="s">
        <v>77</v>
      </c>
      <c r="C35" s="55">
        <v>1</v>
      </c>
      <c r="D35" s="37"/>
      <c r="E35" s="38"/>
    </row>
    <row r="36" spans="1:5">
      <c r="A36" s="36" t="s">
        <v>48</v>
      </c>
      <c r="B36" s="54" t="s">
        <v>79</v>
      </c>
      <c r="C36" s="55">
        <v>4</v>
      </c>
      <c r="D36" s="37"/>
      <c r="E36" s="38"/>
    </row>
    <row r="37" spans="1:5">
      <c r="A37" s="36" t="s">
        <v>49</v>
      </c>
      <c r="B37" s="54" t="s">
        <v>19</v>
      </c>
      <c r="C37" s="55">
        <v>0</v>
      </c>
      <c r="D37" s="37"/>
      <c r="E37" s="38"/>
    </row>
    <row r="38" spans="1:5">
      <c r="A38" s="36" t="s">
        <v>51</v>
      </c>
      <c r="B38" s="54" t="s">
        <v>83</v>
      </c>
      <c r="C38" s="55">
        <v>3</v>
      </c>
      <c r="D38" s="37"/>
      <c r="E38" s="38"/>
    </row>
    <row r="39" spans="1:5">
      <c r="A39" s="36" t="s">
        <v>52</v>
      </c>
      <c r="B39" s="54" t="s">
        <v>79</v>
      </c>
      <c r="C39" s="55">
        <v>2</v>
      </c>
      <c r="D39" s="37"/>
      <c r="E39" s="38"/>
    </row>
    <row r="40" spans="1:5">
      <c r="A40" s="36" t="s">
        <v>54</v>
      </c>
      <c r="B40" s="54" t="s">
        <v>86</v>
      </c>
      <c r="C40" s="55">
        <v>5</v>
      </c>
      <c r="D40" s="37"/>
      <c r="E40" s="38"/>
    </row>
    <row r="41" spans="1:5">
      <c r="A41" s="36" t="s">
        <v>56</v>
      </c>
      <c r="B41" s="54" t="s">
        <v>19</v>
      </c>
      <c r="C41" s="55">
        <v>0</v>
      </c>
      <c r="D41" s="52"/>
      <c r="E41" s="53"/>
    </row>
    <row r="42" spans="1:5">
      <c r="A42" s="36" t="s">
        <v>58</v>
      </c>
      <c r="B42" s="54" t="s">
        <v>42</v>
      </c>
      <c r="C42" s="55">
        <v>1</v>
      </c>
      <c r="D42" s="37"/>
      <c r="E42" s="38"/>
    </row>
    <row r="43" spans="1:5">
      <c r="A43" s="36" t="s">
        <v>60</v>
      </c>
      <c r="B43" s="54" t="s">
        <v>90</v>
      </c>
      <c r="C43" s="55">
        <v>3</v>
      </c>
      <c r="D43" s="37"/>
      <c r="E43" s="38"/>
    </row>
    <row r="44" spans="1:5">
      <c r="A44" s="36" t="s">
        <v>62</v>
      </c>
      <c r="B44" s="54" t="s">
        <v>92</v>
      </c>
      <c r="C44" s="55">
        <v>15</v>
      </c>
      <c r="D44" s="37"/>
      <c r="E44" s="38"/>
    </row>
    <row r="45" spans="1:5">
      <c r="A45" s="36" t="s">
        <v>63</v>
      </c>
      <c r="B45" s="54" t="s">
        <v>94</v>
      </c>
      <c r="C45" s="55">
        <v>1</v>
      </c>
      <c r="D45" s="37"/>
      <c r="E45" s="38"/>
    </row>
    <row r="46" spans="1:5">
      <c r="A46" s="36" t="s">
        <v>65</v>
      </c>
      <c r="B46" s="54" t="s">
        <v>96</v>
      </c>
      <c r="C46" s="55">
        <v>3</v>
      </c>
      <c r="D46" s="37"/>
      <c r="E46" s="38"/>
    </row>
    <row r="47" spans="1:5">
      <c r="A47" s="36" t="s">
        <v>66</v>
      </c>
      <c r="B47" s="54" t="s">
        <v>19</v>
      </c>
      <c r="C47" s="55">
        <v>0</v>
      </c>
      <c r="D47" s="37"/>
      <c r="E47" s="38"/>
    </row>
    <row r="48" spans="1:5">
      <c r="A48" s="36" t="s">
        <v>67</v>
      </c>
      <c r="B48" s="54" t="s">
        <v>100</v>
      </c>
      <c r="C48" s="55">
        <v>2</v>
      </c>
      <c r="D48" s="37"/>
      <c r="E48" s="38"/>
    </row>
    <row r="49" spans="1:5">
      <c r="A49" s="36" t="s">
        <v>68</v>
      </c>
      <c r="B49" s="54" t="s">
        <v>19</v>
      </c>
      <c r="C49" s="55">
        <v>0</v>
      </c>
      <c r="D49" s="37"/>
      <c r="E49" s="38"/>
    </row>
    <row r="50" spans="1:5">
      <c r="A50" s="36" t="s">
        <v>70</v>
      </c>
      <c r="B50" s="54" t="s">
        <v>83</v>
      </c>
      <c r="C50" s="55">
        <v>3</v>
      </c>
      <c r="D50" s="37"/>
      <c r="E50" s="38"/>
    </row>
    <row r="51" spans="1:5">
      <c r="A51" s="36" t="s">
        <v>71</v>
      </c>
      <c r="B51" s="54" t="s">
        <v>105</v>
      </c>
      <c r="C51" s="55">
        <v>2</v>
      </c>
      <c r="D51" s="37"/>
      <c r="E51" s="38"/>
    </row>
    <row r="52" spans="1:5">
      <c r="A52" s="36" t="s">
        <v>73</v>
      </c>
      <c r="B52" s="54" t="s">
        <v>108</v>
      </c>
      <c r="C52" s="55">
        <v>1</v>
      </c>
      <c r="D52" s="37"/>
      <c r="E52" s="38"/>
    </row>
    <row r="53" spans="1:5">
      <c r="A53" s="36" t="s">
        <v>75</v>
      </c>
      <c r="B53" s="54" t="s">
        <v>111</v>
      </c>
      <c r="C53" s="55">
        <v>3</v>
      </c>
      <c r="D53" s="37"/>
      <c r="E53" s="38"/>
    </row>
    <row r="54" spans="1:5">
      <c r="A54" s="36" t="s">
        <v>76</v>
      </c>
      <c r="B54" s="54" t="s">
        <v>113</v>
      </c>
      <c r="C54" s="55">
        <v>1</v>
      </c>
      <c r="D54" s="37"/>
      <c r="E54" s="38"/>
    </row>
    <row r="55" spans="1:5">
      <c r="A55" s="36" t="s">
        <v>78</v>
      </c>
      <c r="B55" s="54" t="s">
        <v>19</v>
      </c>
      <c r="C55" s="55">
        <v>0</v>
      </c>
      <c r="D55" s="37"/>
      <c r="E55" s="38"/>
    </row>
    <row r="56" spans="1:5">
      <c r="A56" s="36" t="s">
        <v>80</v>
      </c>
      <c r="B56" s="54" t="s">
        <v>117</v>
      </c>
      <c r="C56" s="55">
        <v>1</v>
      </c>
      <c r="D56" s="37"/>
      <c r="E56" s="38"/>
    </row>
    <row r="57" spans="1:5">
      <c r="A57" s="36" t="s">
        <v>81</v>
      </c>
      <c r="B57" s="54" t="s">
        <v>119</v>
      </c>
      <c r="C57" s="55">
        <v>1</v>
      </c>
      <c r="D57" s="37"/>
      <c r="E57" s="38"/>
    </row>
    <row r="58" spans="1:5">
      <c r="A58" s="36" t="s">
        <v>82</v>
      </c>
      <c r="B58" s="54" t="s">
        <v>121</v>
      </c>
      <c r="C58" s="55">
        <v>4</v>
      </c>
      <c r="D58" s="37"/>
      <c r="E58" s="38"/>
    </row>
    <row r="59" spans="1:5">
      <c r="A59" s="36" t="s">
        <v>84</v>
      </c>
      <c r="B59" s="54" t="s">
        <v>123</v>
      </c>
      <c r="C59" s="55">
        <v>1</v>
      </c>
      <c r="D59" s="37"/>
      <c r="E59" s="38"/>
    </row>
    <row r="60" spans="1:5">
      <c r="A60" s="36" t="s">
        <v>85</v>
      </c>
      <c r="B60" s="54" t="s">
        <v>125</v>
      </c>
      <c r="C60" s="55">
        <v>1</v>
      </c>
      <c r="D60" s="37"/>
      <c r="E60" s="38"/>
    </row>
    <row r="61" spans="1:5">
      <c r="A61" s="36" t="s">
        <v>87</v>
      </c>
      <c r="B61" s="54" t="s">
        <v>128</v>
      </c>
      <c r="C61" s="55">
        <v>1</v>
      </c>
      <c r="D61" s="37"/>
      <c r="E61" s="38"/>
    </row>
    <row r="62" spans="1:5">
      <c r="A62" s="36" t="s">
        <v>88</v>
      </c>
      <c r="B62" s="54" t="s">
        <v>96</v>
      </c>
      <c r="C62" s="55">
        <v>1</v>
      </c>
      <c r="D62" s="37"/>
      <c r="E62" s="38"/>
    </row>
    <row r="63" spans="1:5">
      <c r="A63" s="36" t="s">
        <v>89</v>
      </c>
      <c r="B63" s="54" t="s">
        <v>131</v>
      </c>
      <c r="C63" s="55">
        <v>1</v>
      </c>
      <c r="D63" s="37"/>
      <c r="E63" s="38"/>
    </row>
    <row r="64" spans="1:5">
      <c r="A64" s="36" t="s">
        <v>91</v>
      </c>
      <c r="B64" s="54" t="s">
        <v>19</v>
      </c>
      <c r="C64" s="55">
        <v>0</v>
      </c>
      <c r="D64" s="37"/>
      <c r="E64" s="38"/>
    </row>
    <row r="65" spans="1:5">
      <c r="A65" s="36" t="s">
        <v>93</v>
      </c>
      <c r="B65" s="54" t="s">
        <v>134</v>
      </c>
      <c r="C65" s="55">
        <v>1</v>
      </c>
      <c r="D65" s="37"/>
      <c r="E65" s="38"/>
    </row>
    <row r="66" spans="1:5">
      <c r="A66" s="36" t="s">
        <v>95</v>
      </c>
      <c r="B66" s="54" t="s">
        <v>134</v>
      </c>
      <c r="C66" s="55">
        <v>1</v>
      </c>
      <c r="D66" s="37"/>
      <c r="E66" s="38"/>
    </row>
    <row r="67" spans="1:5">
      <c r="A67" s="36" t="s">
        <v>97</v>
      </c>
      <c r="B67" s="54" t="s">
        <v>19</v>
      </c>
      <c r="C67" s="55">
        <v>0</v>
      </c>
      <c r="D67" s="37"/>
      <c r="E67" s="38"/>
    </row>
    <row r="68" spans="1:5">
      <c r="A68" s="36" t="s">
        <v>6</v>
      </c>
      <c r="B68" s="54" t="s">
        <v>138</v>
      </c>
      <c r="C68" s="55">
        <v>4</v>
      </c>
      <c r="D68" s="37"/>
      <c r="E68" s="38"/>
    </row>
    <row r="69" spans="1:5">
      <c r="A69" s="36" t="s">
        <v>98</v>
      </c>
      <c r="B69" s="54" t="s">
        <v>141</v>
      </c>
      <c r="C69" s="55">
        <v>3</v>
      </c>
      <c r="D69" s="37"/>
      <c r="E69" s="38"/>
    </row>
    <row r="70" spans="1:5">
      <c r="A70" s="36" t="s">
        <v>99</v>
      </c>
      <c r="B70" s="54" t="s">
        <v>145</v>
      </c>
      <c r="C70" s="55">
        <v>3</v>
      </c>
      <c r="D70" s="37"/>
      <c r="E70" s="38"/>
    </row>
    <row r="71" spans="1:5">
      <c r="A71" s="36" t="s">
        <v>101</v>
      </c>
      <c r="B71" s="54" t="s">
        <v>147</v>
      </c>
      <c r="C71" s="55">
        <v>1</v>
      </c>
      <c r="D71" s="37"/>
      <c r="E71" s="38"/>
    </row>
    <row r="72" spans="1:5">
      <c r="A72" s="36" t="s">
        <v>102</v>
      </c>
      <c r="B72" s="54" t="s">
        <v>152</v>
      </c>
      <c r="C72" s="55">
        <v>1</v>
      </c>
      <c r="D72" s="37"/>
      <c r="E72" s="38"/>
    </row>
    <row r="73" spans="1:5">
      <c r="A73" s="36" t="s">
        <v>103</v>
      </c>
      <c r="B73" s="54" t="s">
        <v>131</v>
      </c>
      <c r="C73" s="55">
        <v>1</v>
      </c>
      <c r="D73" s="37"/>
      <c r="E73" s="38"/>
    </row>
    <row r="74" spans="1:5">
      <c r="A74" s="36" t="s">
        <v>104</v>
      </c>
      <c r="B74" s="54" t="s">
        <v>19</v>
      </c>
      <c r="C74" s="55">
        <v>0</v>
      </c>
      <c r="D74" s="37"/>
      <c r="E74" s="38"/>
    </row>
    <row r="75" spans="1:5">
      <c r="A75" s="36" t="s">
        <v>106</v>
      </c>
      <c r="B75" s="54" t="s">
        <v>156</v>
      </c>
      <c r="C75" s="55">
        <v>1</v>
      </c>
      <c r="D75" s="37"/>
      <c r="E75" s="38"/>
    </row>
    <row r="76" spans="1:5">
      <c r="A76" s="36" t="s">
        <v>107</v>
      </c>
      <c r="B76" s="54" t="s">
        <v>161</v>
      </c>
      <c r="C76" s="55">
        <v>1</v>
      </c>
      <c r="D76" s="37"/>
      <c r="E76" s="38"/>
    </row>
    <row r="77" spans="1:5">
      <c r="A77" s="36" t="s">
        <v>109</v>
      </c>
      <c r="B77" s="54" t="s">
        <v>53</v>
      </c>
      <c r="C77" s="55">
        <v>5</v>
      </c>
      <c r="D77" s="37"/>
      <c r="E77" s="38"/>
    </row>
    <row r="78" spans="1:5">
      <c r="A78" s="36" t="s">
        <v>110</v>
      </c>
      <c r="B78" s="54" t="s">
        <v>164</v>
      </c>
      <c r="C78" s="55">
        <v>1</v>
      </c>
      <c r="D78" s="37"/>
      <c r="E78" s="38"/>
    </row>
    <row r="79" spans="1:5">
      <c r="A79" s="36" t="s">
        <v>112</v>
      </c>
      <c r="B79" s="54" t="s">
        <v>19</v>
      </c>
      <c r="C79" s="55">
        <v>0</v>
      </c>
      <c r="D79" s="37"/>
      <c r="E79" s="38"/>
    </row>
    <row r="80" spans="1:5">
      <c r="A80" s="36" t="s">
        <v>114</v>
      </c>
      <c r="B80" s="54" t="s">
        <v>167</v>
      </c>
      <c r="C80" s="55">
        <v>6</v>
      </c>
      <c r="D80" s="37"/>
      <c r="E80" s="38"/>
    </row>
    <row r="81" spans="1:5">
      <c r="A81" s="36" t="s">
        <v>115</v>
      </c>
      <c r="B81" s="54" t="s">
        <v>169</v>
      </c>
      <c r="C81" s="55">
        <v>2</v>
      </c>
      <c r="D81" s="37"/>
      <c r="E81" s="38"/>
    </row>
    <row r="82" spans="1:5">
      <c r="A82" s="36" t="s">
        <v>116</v>
      </c>
      <c r="B82" s="54" t="s">
        <v>172</v>
      </c>
      <c r="C82" s="55">
        <v>3</v>
      </c>
      <c r="D82" s="37"/>
      <c r="E82" s="38"/>
    </row>
    <row r="83" spans="1:5">
      <c r="A83" s="36" t="s">
        <v>118</v>
      </c>
      <c r="B83" s="54" t="s">
        <v>174</v>
      </c>
      <c r="C83" s="55">
        <v>1</v>
      </c>
      <c r="D83" s="37"/>
      <c r="E83" s="38"/>
    </row>
    <row r="84" spans="1:5">
      <c r="A84" s="36" t="s">
        <v>120</v>
      </c>
      <c r="B84" s="54" t="s">
        <v>19</v>
      </c>
      <c r="C84" s="55">
        <v>0</v>
      </c>
      <c r="D84" s="37"/>
      <c r="E84" s="38"/>
    </row>
    <row r="85" spans="1:5">
      <c r="A85" s="36" t="s">
        <v>122</v>
      </c>
      <c r="B85" s="54" t="s">
        <v>178</v>
      </c>
      <c r="C85" s="55">
        <v>1</v>
      </c>
      <c r="D85" s="37"/>
      <c r="E85" s="38"/>
    </row>
    <row r="86" spans="1:5">
      <c r="A86" s="36" t="s">
        <v>124</v>
      </c>
      <c r="B86" s="54" t="s">
        <v>180</v>
      </c>
      <c r="C86" s="55">
        <v>4</v>
      </c>
      <c r="D86" s="37"/>
      <c r="E86" s="38"/>
    </row>
    <row r="87" spans="1:5">
      <c r="A87" s="36" t="s">
        <v>126</v>
      </c>
      <c r="B87" s="54" t="s">
        <v>183</v>
      </c>
      <c r="C87" s="55">
        <v>2</v>
      </c>
      <c r="D87" s="37"/>
      <c r="E87" s="38"/>
    </row>
    <row r="88" spans="1:5">
      <c r="A88" s="36" t="s">
        <v>127</v>
      </c>
      <c r="B88" s="54" t="s">
        <v>186</v>
      </c>
      <c r="C88" s="55">
        <v>50</v>
      </c>
      <c r="D88" s="37"/>
      <c r="E88" s="38"/>
    </row>
    <row r="89" spans="1:5">
      <c r="A89" s="36" t="s">
        <v>129</v>
      </c>
      <c r="B89" s="54" t="s">
        <v>188</v>
      </c>
      <c r="C89" s="55">
        <v>2</v>
      </c>
      <c r="D89" s="37"/>
      <c r="E89" s="38"/>
    </row>
    <row r="90" spans="1:5">
      <c r="A90" s="36" t="s">
        <v>130</v>
      </c>
      <c r="B90" s="54" t="s">
        <v>19</v>
      </c>
      <c r="C90" s="55">
        <v>0</v>
      </c>
      <c r="D90" s="37"/>
      <c r="E90" s="38"/>
    </row>
    <row r="91" spans="1:5">
      <c r="A91" s="36" t="s">
        <v>132</v>
      </c>
      <c r="B91" s="54" t="s">
        <v>191</v>
      </c>
      <c r="C91" s="55">
        <v>1</v>
      </c>
      <c r="D91" s="37"/>
      <c r="E91" s="38"/>
    </row>
    <row r="92" spans="1:5">
      <c r="A92" s="36" t="s">
        <v>133</v>
      </c>
      <c r="B92" s="54" t="s">
        <v>19</v>
      </c>
      <c r="C92" s="55">
        <v>0</v>
      </c>
      <c r="D92" s="37"/>
      <c r="E92" s="38"/>
    </row>
    <row r="93" spans="1:5">
      <c r="A93" s="36" t="s">
        <v>135</v>
      </c>
      <c r="B93" s="54" t="s">
        <v>194</v>
      </c>
      <c r="C93" s="55">
        <v>5</v>
      </c>
      <c r="D93" s="37"/>
      <c r="E93" s="38"/>
    </row>
    <row r="94" spans="1:5">
      <c r="A94" s="36" t="s">
        <v>136</v>
      </c>
      <c r="B94" s="54" t="s">
        <v>196</v>
      </c>
      <c r="C94" s="55">
        <v>4</v>
      </c>
      <c r="D94" s="37"/>
      <c r="E94" s="38"/>
    </row>
    <row r="95" spans="1:5">
      <c r="A95" s="36" t="s">
        <v>137</v>
      </c>
      <c r="B95" s="54" t="s">
        <v>200</v>
      </c>
      <c r="C95" s="55">
        <v>3</v>
      </c>
      <c r="D95" s="37"/>
      <c r="E95" s="38"/>
    </row>
    <row r="96" spans="1:5" ht="22.5">
      <c r="A96" s="36" t="s">
        <v>139</v>
      </c>
      <c r="B96" s="54" t="s">
        <v>203</v>
      </c>
      <c r="C96" s="55">
        <v>5</v>
      </c>
      <c r="D96" s="37"/>
      <c r="E96" s="38"/>
    </row>
    <row r="97" spans="1:5">
      <c r="A97" s="36" t="s">
        <v>140</v>
      </c>
      <c r="B97" s="54" t="s">
        <v>123</v>
      </c>
      <c r="C97" s="55">
        <v>1</v>
      </c>
      <c r="D97" s="37"/>
      <c r="E97" s="38"/>
    </row>
    <row r="98" spans="1:5">
      <c r="A98" s="36" t="s">
        <v>142</v>
      </c>
      <c r="B98" s="54" t="s">
        <v>210</v>
      </c>
      <c r="C98" s="55">
        <v>1</v>
      </c>
      <c r="D98" s="37"/>
      <c r="E98" s="38"/>
    </row>
    <row r="99" spans="1:5">
      <c r="A99" s="36" t="s">
        <v>143</v>
      </c>
      <c r="B99" s="54" t="s">
        <v>212</v>
      </c>
      <c r="C99" s="55">
        <v>5</v>
      </c>
      <c r="D99" s="37"/>
      <c r="E99" s="38"/>
    </row>
    <row r="100" spans="1:5">
      <c r="A100" s="36" t="s">
        <v>144</v>
      </c>
      <c r="B100" s="54" t="s">
        <v>214</v>
      </c>
      <c r="C100" s="55">
        <v>3</v>
      </c>
      <c r="D100" s="37"/>
      <c r="E100" s="38"/>
    </row>
    <row r="101" spans="1:5">
      <c r="A101" s="36" t="s">
        <v>146</v>
      </c>
      <c r="B101" s="54" t="s">
        <v>216</v>
      </c>
      <c r="C101" s="55">
        <v>1</v>
      </c>
      <c r="D101" s="37"/>
      <c r="E101" s="38"/>
    </row>
    <row r="102" spans="1:5">
      <c r="A102" s="36" t="s">
        <v>148</v>
      </c>
      <c r="B102" s="54" t="s">
        <v>218</v>
      </c>
      <c r="C102" s="55">
        <v>1</v>
      </c>
      <c r="D102" s="37"/>
      <c r="E102" s="38"/>
    </row>
    <row r="103" spans="1:5">
      <c r="A103" s="36" t="s">
        <v>149</v>
      </c>
      <c r="B103" s="54" t="s">
        <v>223</v>
      </c>
      <c r="C103" s="55">
        <v>1</v>
      </c>
      <c r="D103" s="37"/>
      <c r="E103" s="38"/>
    </row>
    <row r="104" spans="1:5">
      <c r="A104" s="36" t="s">
        <v>150</v>
      </c>
      <c r="B104" s="54" t="s">
        <v>225</v>
      </c>
      <c r="C104" s="55">
        <v>1</v>
      </c>
      <c r="D104" s="37"/>
      <c r="E104" s="38"/>
    </row>
    <row r="105" spans="1:5">
      <c r="A105" s="36" t="s">
        <v>151</v>
      </c>
      <c r="B105" s="54" t="s">
        <v>86</v>
      </c>
      <c r="C105" s="55">
        <v>10</v>
      </c>
      <c r="D105" s="37"/>
      <c r="E105" s="38"/>
    </row>
    <row r="106" spans="1:5">
      <c r="A106" s="36" t="s">
        <v>153</v>
      </c>
      <c r="B106" s="54" t="s">
        <v>228</v>
      </c>
      <c r="C106" s="55">
        <v>2</v>
      </c>
      <c r="D106" s="37"/>
      <c r="E106" s="38"/>
    </row>
    <row r="107" spans="1:5">
      <c r="A107" s="36" t="s">
        <v>154</v>
      </c>
      <c r="B107" s="54" t="s">
        <v>19</v>
      </c>
      <c r="C107" s="55">
        <v>0</v>
      </c>
      <c r="D107" s="37"/>
      <c r="E107" s="38"/>
    </row>
    <row r="108" spans="1:5">
      <c r="A108" s="36" t="s">
        <v>155</v>
      </c>
      <c r="B108" s="54" t="s">
        <v>194</v>
      </c>
      <c r="C108" s="55">
        <v>5</v>
      </c>
      <c r="D108" s="37"/>
      <c r="E108" s="38"/>
    </row>
    <row r="109" spans="1:5" ht="22.5">
      <c r="A109" s="36" t="s">
        <v>157</v>
      </c>
      <c r="B109" s="54" t="s">
        <v>252</v>
      </c>
      <c r="C109" s="55">
        <v>10</v>
      </c>
      <c r="D109" s="37"/>
      <c r="E109" s="38"/>
    </row>
    <row r="110" spans="1:5">
      <c r="A110" s="36" t="s">
        <v>158</v>
      </c>
      <c r="B110" s="54" t="s">
        <v>255</v>
      </c>
      <c r="C110" s="55">
        <v>20</v>
      </c>
      <c r="D110" s="37"/>
      <c r="E110" s="38"/>
    </row>
    <row r="111" spans="1:5" ht="22.5">
      <c r="A111" s="36" t="s">
        <v>159</v>
      </c>
      <c r="B111" s="54" t="s">
        <v>203</v>
      </c>
      <c r="C111" s="55">
        <v>10</v>
      </c>
      <c r="D111" s="37"/>
      <c r="E111" s="38"/>
    </row>
    <row r="112" spans="1:5">
      <c r="A112" s="36" t="s">
        <v>160</v>
      </c>
      <c r="B112" s="54" t="s">
        <v>261</v>
      </c>
      <c r="C112" s="55">
        <v>1</v>
      </c>
      <c r="D112" s="37"/>
      <c r="E112" s="38"/>
    </row>
    <row r="113" spans="1:5">
      <c r="A113" s="36" t="s">
        <v>162</v>
      </c>
      <c r="B113" s="54" t="s">
        <v>263</v>
      </c>
      <c r="C113" s="55">
        <v>3</v>
      </c>
      <c r="D113" s="37"/>
      <c r="E113" s="38"/>
    </row>
    <row r="114" spans="1:5">
      <c r="A114" s="36" t="s">
        <v>163</v>
      </c>
      <c r="B114" s="54" t="s">
        <v>267</v>
      </c>
      <c r="C114" s="55">
        <v>1</v>
      </c>
      <c r="D114" s="37"/>
      <c r="E114" s="38"/>
    </row>
    <row r="115" spans="1:5">
      <c r="A115" s="36" t="s">
        <v>165</v>
      </c>
      <c r="B115" s="54" t="s">
        <v>267</v>
      </c>
      <c r="C115" s="55">
        <v>1</v>
      </c>
      <c r="D115" s="37"/>
      <c r="E115" s="38"/>
    </row>
    <row r="116" spans="1:5">
      <c r="A116" s="36" t="s">
        <v>166</v>
      </c>
      <c r="B116" s="54" t="s">
        <v>270</v>
      </c>
      <c r="C116" s="55">
        <v>1</v>
      </c>
      <c r="D116" s="37"/>
      <c r="E116" s="38"/>
    </row>
    <row r="117" spans="1:5">
      <c r="A117" s="36" t="s">
        <v>168</v>
      </c>
      <c r="B117" s="54" t="s">
        <v>272</v>
      </c>
      <c r="C117" s="55">
        <v>1</v>
      </c>
      <c r="D117" s="37"/>
      <c r="E117" s="38"/>
    </row>
    <row r="118" spans="1:5">
      <c r="A118" s="36" t="s">
        <v>170</v>
      </c>
      <c r="B118" s="54" t="s">
        <v>276</v>
      </c>
      <c r="C118" s="55">
        <v>3</v>
      </c>
      <c r="D118" s="37"/>
      <c r="E118" s="38"/>
    </row>
    <row r="119" spans="1:5">
      <c r="A119" s="36" t="s">
        <v>171</v>
      </c>
      <c r="B119" s="54" t="s">
        <v>280</v>
      </c>
      <c r="C119" s="55">
        <v>1</v>
      </c>
      <c r="D119" s="37"/>
      <c r="E119" s="38"/>
    </row>
    <row r="120" spans="1:5">
      <c r="A120" s="36" t="s">
        <v>173</v>
      </c>
      <c r="B120" s="54" t="s">
        <v>161</v>
      </c>
      <c r="C120" s="55">
        <v>1</v>
      </c>
      <c r="D120" s="37"/>
      <c r="E120" s="38"/>
    </row>
    <row r="121" spans="1:5">
      <c r="A121" s="36" t="s">
        <v>175</v>
      </c>
      <c r="B121" s="54" t="s">
        <v>283</v>
      </c>
      <c r="C121" s="55">
        <v>3</v>
      </c>
      <c r="D121" s="37"/>
      <c r="E121" s="38"/>
    </row>
    <row r="122" spans="1:5">
      <c r="A122" s="36" t="s">
        <v>176</v>
      </c>
      <c r="B122" s="54" t="s">
        <v>289</v>
      </c>
      <c r="C122" s="55">
        <v>1</v>
      </c>
      <c r="D122" s="37"/>
      <c r="E122" s="38"/>
    </row>
    <row r="123" spans="1:5">
      <c r="A123" s="36" t="s">
        <v>177</v>
      </c>
      <c r="B123" s="54" t="s">
        <v>298</v>
      </c>
      <c r="C123" s="55">
        <v>1</v>
      </c>
      <c r="D123" s="37"/>
      <c r="E123" s="38"/>
    </row>
    <row r="124" spans="1:5">
      <c r="A124" s="36" t="s">
        <v>179</v>
      </c>
      <c r="B124" s="54" t="s">
        <v>86</v>
      </c>
      <c r="C124" s="55">
        <v>10</v>
      </c>
      <c r="D124" s="37"/>
      <c r="E124" s="38"/>
    </row>
    <row r="125" spans="1:5">
      <c r="A125" s="36" t="s">
        <v>181</v>
      </c>
      <c r="B125" s="54" t="s">
        <v>19</v>
      </c>
      <c r="C125" s="55">
        <v>0</v>
      </c>
      <c r="D125" s="37"/>
      <c r="E125" s="38"/>
    </row>
    <row r="126" spans="1:5">
      <c r="A126" s="36" t="s">
        <v>182</v>
      </c>
      <c r="B126" s="54" t="s">
        <v>313</v>
      </c>
      <c r="C126" s="55">
        <v>1</v>
      </c>
      <c r="D126" s="37"/>
      <c r="E126" s="38"/>
    </row>
    <row r="127" spans="1:5">
      <c r="A127" s="36" t="s">
        <v>184</v>
      </c>
      <c r="B127" s="54" t="s">
        <v>314</v>
      </c>
      <c r="C127" s="55">
        <v>2</v>
      </c>
      <c r="D127" s="37"/>
      <c r="E127" s="38"/>
    </row>
    <row r="128" spans="1:5">
      <c r="A128" s="36" t="s">
        <v>185</v>
      </c>
      <c r="B128" s="54" t="s">
        <v>315</v>
      </c>
      <c r="C128" s="55">
        <v>2</v>
      </c>
      <c r="D128" s="37"/>
      <c r="E128" s="38"/>
    </row>
    <row r="129" spans="1:5">
      <c r="A129" s="36" t="s">
        <v>187</v>
      </c>
      <c r="B129" s="54" t="s">
        <v>316</v>
      </c>
      <c r="C129" s="55">
        <v>3</v>
      </c>
      <c r="D129" s="37"/>
      <c r="E129" s="38"/>
    </row>
    <row r="130" spans="1:5">
      <c r="A130" s="36" t="s">
        <v>189</v>
      </c>
      <c r="B130" s="54" t="s">
        <v>317</v>
      </c>
      <c r="C130" s="55">
        <v>3</v>
      </c>
      <c r="D130" s="37"/>
      <c r="E130" s="38"/>
    </row>
    <row r="131" spans="1:5">
      <c r="A131" s="36" t="s">
        <v>190</v>
      </c>
      <c r="B131" s="54" t="s">
        <v>318</v>
      </c>
      <c r="C131" s="55">
        <v>1</v>
      </c>
      <c r="D131" s="37"/>
      <c r="E131" s="38"/>
    </row>
    <row r="132" spans="1:5">
      <c r="A132" s="36" t="s">
        <v>192</v>
      </c>
      <c r="B132" s="54" t="s">
        <v>319</v>
      </c>
      <c r="C132" s="55">
        <v>3</v>
      </c>
      <c r="D132" s="37"/>
      <c r="E132" s="38"/>
    </row>
    <row r="133" spans="1:5">
      <c r="A133" s="36" t="s">
        <v>193</v>
      </c>
      <c r="B133" s="54" t="s">
        <v>320</v>
      </c>
      <c r="C133" s="55">
        <v>1</v>
      </c>
      <c r="D133" s="37"/>
      <c r="E133" s="38"/>
    </row>
    <row r="134" spans="1:5">
      <c r="A134" s="36" t="s">
        <v>195</v>
      </c>
      <c r="B134" s="54" t="s">
        <v>238</v>
      </c>
      <c r="C134" s="55">
        <v>2</v>
      </c>
      <c r="D134" s="37"/>
      <c r="E134" s="38"/>
    </row>
    <row r="135" spans="1:5">
      <c r="A135" s="36" t="s">
        <v>197</v>
      </c>
      <c r="B135" s="54" t="s">
        <v>321</v>
      </c>
      <c r="C135" s="55">
        <v>1</v>
      </c>
      <c r="D135" s="37"/>
      <c r="E135" s="38"/>
    </row>
    <row r="136" spans="1:5">
      <c r="A136" s="36" t="s">
        <v>198</v>
      </c>
      <c r="B136" s="54" t="s">
        <v>322</v>
      </c>
      <c r="C136" s="55">
        <v>1</v>
      </c>
      <c r="D136" s="37"/>
      <c r="E136" s="38"/>
    </row>
    <row r="137" spans="1:5">
      <c r="A137" s="36" t="s">
        <v>199</v>
      </c>
      <c r="B137" s="54" t="s">
        <v>323</v>
      </c>
      <c r="C137" s="55">
        <v>2</v>
      </c>
      <c r="D137" s="37"/>
      <c r="E137" s="38"/>
    </row>
    <row r="138" spans="1:5">
      <c r="A138" s="36" t="s">
        <v>201</v>
      </c>
      <c r="B138" s="54" t="s">
        <v>324</v>
      </c>
      <c r="C138" s="55">
        <v>1</v>
      </c>
      <c r="D138" s="37"/>
      <c r="E138" s="38"/>
    </row>
    <row r="139" spans="1:5">
      <c r="A139" s="36" t="s">
        <v>202</v>
      </c>
      <c r="B139" s="54" t="s">
        <v>325</v>
      </c>
      <c r="C139" s="55">
        <v>3</v>
      </c>
      <c r="D139" s="37"/>
      <c r="E139" s="38"/>
    </row>
    <row r="140" spans="1:5">
      <c r="A140" s="36" t="s">
        <v>204</v>
      </c>
      <c r="B140" s="54" t="s">
        <v>326</v>
      </c>
      <c r="C140" s="55">
        <v>2</v>
      </c>
      <c r="D140" s="37"/>
      <c r="E140" s="38"/>
    </row>
    <row r="141" spans="1:5">
      <c r="A141" s="36" t="s">
        <v>205</v>
      </c>
      <c r="B141" s="54" t="s">
        <v>296</v>
      </c>
      <c r="C141" s="55">
        <v>2</v>
      </c>
      <c r="D141" s="37"/>
      <c r="E141" s="38"/>
    </row>
    <row r="142" spans="1:5">
      <c r="A142" s="36" t="s">
        <v>206</v>
      </c>
      <c r="B142" s="54" t="s">
        <v>327</v>
      </c>
      <c r="C142" s="55">
        <v>6</v>
      </c>
      <c r="D142" s="37"/>
      <c r="E142" s="38"/>
    </row>
    <row r="143" spans="1:5">
      <c r="A143" s="36" t="s">
        <v>207</v>
      </c>
      <c r="B143" s="54" t="s">
        <v>328</v>
      </c>
      <c r="C143" s="55">
        <v>1</v>
      </c>
      <c r="D143" s="37"/>
      <c r="E143" s="38"/>
    </row>
    <row r="144" spans="1:5">
      <c r="A144" s="36" t="s">
        <v>208</v>
      </c>
      <c r="B144" s="54" t="s">
        <v>329</v>
      </c>
      <c r="C144" s="55">
        <v>2</v>
      </c>
      <c r="D144" s="37"/>
      <c r="E144" s="38"/>
    </row>
    <row r="145" spans="1:5">
      <c r="A145" s="36" t="s">
        <v>209</v>
      </c>
      <c r="B145" s="54" t="s">
        <v>330</v>
      </c>
      <c r="C145" s="55">
        <v>5</v>
      </c>
      <c r="D145" s="37"/>
      <c r="E145" s="38"/>
    </row>
    <row r="146" spans="1:5">
      <c r="A146" s="36" t="s">
        <v>211</v>
      </c>
      <c r="B146" s="54" t="s">
        <v>331</v>
      </c>
      <c r="C146" s="55">
        <v>2</v>
      </c>
      <c r="D146" s="37"/>
      <c r="E146" s="38"/>
    </row>
    <row r="147" spans="1:5">
      <c r="A147" s="36" t="s">
        <v>213</v>
      </c>
      <c r="B147" s="54" t="s">
        <v>332</v>
      </c>
      <c r="C147" s="55">
        <v>2</v>
      </c>
      <c r="D147" s="37"/>
      <c r="E147" s="38"/>
    </row>
    <row r="148" spans="1:5">
      <c r="A148" s="36" t="s">
        <v>215</v>
      </c>
      <c r="B148" s="54" t="s">
        <v>333</v>
      </c>
      <c r="C148" s="55">
        <v>3</v>
      </c>
      <c r="D148" s="37"/>
      <c r="E148" s="38"/>
    </row>
    <row r="149" spans="1:5">
      <c r="A149" s="36" t="s">
        <v>217</v>
      </c>
      <c r="B149" s="54" t="s">
        <v>334</v>
      </c>
      <c r="C149" s="55">
        <v>2</v>
      </c>
      <c r="D149" s="37"/>
      <c r="E149" s="38"/>
    </row>
    <row r="150" spans="1:5">
      <c r="A150" s="36" t="s">
        <v>219</v>
      </c>
      <c r="B150" s="54" t="s">
        <v>335</v>
      </c>
      <c r="C150" s="55">
        <v>2</v>
      </c>
      <c r="D150" s="37"/>
      <c r="E150" s="38"/>
    </row>
    <row r="151" spans="1:5">
      <c r="A151" s="36" t="s">
        <v>221</v>
      </c>
      <c r="B151" s="54" t="s">
        <v>26</v>
      </c>
      <c r="C151" s="55">
        <v>5</v>
      </c>
      <c r="D151" s="37"/>
      <c r="E151" s="38"/>
    </row>
    <row r="152" spans="1:5" ht="22.5">
      <c r="A152" s="36" t="s">
        <v>222</v>
      </c>
      <c r="B152" s="54" t="s">
        <v>336</v>
      </c>
      <c r="C152" s="55">
        <v>3</v>
      </c>
      <c r="D152" s="37"/>
      <c r="E152" s="38"/>
    </row>
    <row r="153" spans="1:5">
      <c r="A153" s="36" t="s">
        <v>224</v>
      </c>
      <c r="B153" s="54" t="s">
        <v>337</v>
      </c>
      <c r="C153" s="55">
        <v>100</v>
      </c>
      <c r="D153" s="37"/>
      <c r="E153" s="38"/>
    </row>
    <row r="154" spans="1:5">
      <c r="A154" s="36" t="s">
        <v>226</v>
      </c>
      <c r="B154" s="54" t="s">
        <v>338</v>
      </c>
      <c r="C154" s="55">
        <v>1</v>
      </c>
      <c r="D154" s="37"/>
      <c r="E154" s="38"/>
    </row>
    <row r="155" spans="1:5">
      <c r="A155" s="36" t="s">
        <v>227</v>
      </c>
      <c r="B155" s="54" t="s">
        <v>339</v>
      </c>
      <c r="C155" s="55">
        <v>3</v>
      </c>
      <c r="D155" s="37"/>
      <c r="E155" s="38"/>
    </row>
    <row r="156" spans="1:5">
      <c r="A156" s="36" t="s">
        <v>229</v>
      </c>
      <c r="B156" s="54" t="s">
        <v>263</v>
      </c>
      <c r="C156" s="55">
        <v>5</v>
      </c>
      <c r="D156" s="37"/>
      <c r="E156" s="38"/>
    </row>
    <row r="157" spans="1:5">
      <c r="A157" s="36" t="s">
        <v>230</v>
      </c>
      <c r="B157" s="54" t="s">
        <v>340</v>
      </c>
      <c r="C157" s="55">
        <v>1</v>
      </c>
      <c r="D157" s="37"/>
      <c r="E157" s="38"/>
    </row>
    <row r="158" spans="1:5">
      <c r="A158" s="36" t="s">
        <v>231</v>
      </c>
      <c r="B158" s="54" t="s">
        <v>341</v>
      </c>
      <c r="C158" s="55">
        <v>1</v>
      </c>
      <c r="D158" s="37"/>
      <c r="E158" s="38"/>
    </row>
    <row r="159" spans="1:5">
      <c r="A159" s="36" t="s">
        <v>232</v>
      </c>
      <c r="B159" s="54" t="s">
        <v>342</v>
      </c>
      <c r="C159" s="55">
        <v>1</v>
      </c>
      <c r="D159" s="37"/>
      <c r="E159" s="38"/>
    </row>
    <row r="160" spans="1:5">
      <c r="A160" s="36" t="s">
        <v>233</v>
      </c>
      <c r="B160" s="54" t="s">
        <v>343</v>
      </c>
      <c r="C160" s="55">
        <v>1</v>
      </c>
      <c r="D160" s="37"/>
      <c r="E160" s="38"/>
    </row>
    <row r="161" spans="1:5">
      <c r="A161" s="36" t="s">
        <v>234</v>
      </c>
      <c r="B161" s="54" t="s">
        <v>344</v>
      </c>
      <c r="C161" s="55">
        <v>3</v>
      </c>
      <c r="D161" s="37"/>
      <c r="E161" s="38"/>
    </row>
    <row r="162" spans="1:5">
      <c r="A162" s="36" t="s">
        <v>235</v>
      </c>
      <c r="B162" s="54" t="s">
        <v>42</v>
      </c>
      <c r="C162" s="55">
        <v>1</v>
      </c>
      <c r="D162" s="37"/>
      <c r="E162" s="38"/>
    </row>
    <row r="163" spans="1:5">
      <c r="A163" s="36" t="s">
        <v>236</v>
      </c>
      <c r="B163" s="54" t="s">
        <v>345</v>
      </c>
      <c r="C163" s="55">
        <v>1</v>
      </c>
      <c r="D163" s="37"/>
      <c r="E163" s="38"/>
    </row>
    <row r="164" spans="1:5">
      <c r="A164" s="36" t="s">
        <v>237</v>
      </c>
      <c r="B164" s="54" t="s">
        <v>346</v>
      </c>
      <c r="C164" s="55">
        <v>10</v>
      </c>
      <c r="D164" s="37"/>
      <c r="E164" s="38"/>
    </row>
    <row r="165" spans="1:5">
      <c r="A165" s="36" t="s">
        <v>239</v>
      </c>
      <c r="B165" s="54" t="s">
        <v>347</v>
      </c>
      <c r="C165" s="55">
        <v>1</v>
      </c>
      <c r="D165" s="37"/>
      <c r="E165" s="38"/>
    </row>
    <row r="166" spans="1:5">
      <c r="A166" s="36" t="s">
        <v>240</v>
      </c>
      <c r="B166" s="54" t="s">
        <v>348</v>
      </c>
      <c r="C166" s="55">
        <v>1</v>
      </c>
      <c r="D166" s="37"/>
      <c r="E166" s="38"/>
    </row>
    <row r="167" spans="1:5">
      <c r="A167" s="36" t="s">
        <v>241</v>
      </c>
      <c r="B167" s="54" t="s">
        <v>349</v>
      </c>
      <c r="C167" s="55">
        <v>1</v>
      </c>
      <c r="D167" s="37"/>
      <c r="E167" s="38"/>
    </row>
    <row r="168" spans="1:5">
      <c r="A168" s="36" t="s">
        <v>242</v>
      </c>
      <c r="B168" s="54" t="s">
        <v>350</v>
      </c>
      <c r="C168" s="55">
        <v>1</v>
      </c>
      <c r="D168" s="37"/>
      <c r="E168" s="38"/>
    </row>
    <row r="169" spans="1:5">
      <c r="A169" s="36" t="s">
        <v>243</v>
      </c>
      <c r="B169" s="54" t="s">
        <v>351</v>
      </c>
      <c r="C169" s="55">
        <v>2</v>
      </c>
      <c r="D169" s="37"/>
      <c r="E169" s="38"/>
    </row>
    <row r="170" spans="1:5">
      <c r="A170" s="36" t="s">
        <v>244</v>
      </c>
      <c r="B170" s="54" t="s">
        <v>352</v>
      </c>
      <c r="C170" s="55">
        <v>1</v>
      </c>
      <c r="D170" s="37"/>
      <c r="E170" s="38"/>
    </row>
    <row r="171" spans="1:5">
      <c r="A171" s="36" t="s">
        <v>245</v>
      </c>
      <c r="B171" s="54" t="s">
        <v>353</v>
      </c>
      <c r="C171" s="55">
        <v>1</v>
      </c>
      <c r="D171" s="37"/>
      <c r="E171" s="38"/>
    </row>
    <row r="172" spans="1:5">
      <c r="A172" s="36" t="s">
        <v>246</v>
      </c>
      <c r="B172" s="54" t="s">
        <v>354</v>
      </c>
      <c r="C172" s="55">
        <v>1</v>
      </c>
      <c r="D172" s="37"/>
      <c r="E172" s="38"/>
    </row>
    <row r="173" spans="1:5">
      <c r="A173" s="36" t="s">
        <v>247</v>
      </c>
      <c r="B173" s="54" t="s">
        <v>355</v>
      </c>
      <c r="C173" s="55">
        <v>1</v>
      </c>
      <c r="D173" s="37"/>
      <c r="E173" s="38"/>
    </row>
    <row r="174" spans="1:5">
      <c r="A174" s="36" t="s">
        <v>248</v>
      </c>
      <c r="B174" s="54" t="s">
        <v>90</v>
      </c>
      <c r="C174" s="55">
        <v>3</v>
      </c>
      <c r="D174" s="37"/>
      <c r="E174" s="38"/>
    </row>
    <row r="175" spans="1:5">
      <c r="A175" s="36" t="s">
        <v>249</v>
      </c>
      <c r="B175" s="54" t="s">
        <v>356</v>
      </c>
      <c r="C175" s="55">
        <v>45</v>
      </c>
      <c r="D175" s="37"/>
      <c r="E175" s="38"/>
    </row>
    <row r="176" spans="1:5">
      <c r="A176" s="36" t="s">
        <v>250</v>
      </c>
      <c r="B176" s="54" t="s">
        <v>357</v>
      </c>
      <c r="C176" s="55">
        <v>30</v>
      </c>
      <c r="D176" s="37"/>
      <c r="E176" s="38"/>
    </row>
    <row r="177" spans="1:5">
      <c r="A177" s="36" t="s">
        <v>251</v>
      </c>
      <c r="B177" s="54" t="s">
        <v>358</v>
      </c>
      <c r="C177" s="55">
        <v>1</v>
      </c>
      <c r="D177" s="37"/>
      <c r="E177" s="38"/>
    </row>
    <row r="178" spans="1:5">
      <c r="A178" s="36" t="s">
        <v>253</v>
      </c>
      <c r="B178" s="54" t="s">
        <v>188</v>
      </c>
      <c r="C178" s="55">
        <v>2</v>
      </c>
      <c r="D178" s="37"/>
      <c r="E178" s="38"/>
    </row>
    <row r="179" spans="1:5">
      <c r="A179" s="36" t="s">
        <v>254</v>
      </c>
      <c r="B179" s="54" t="s">
        <v>359</v>
      </c>
      <c r="C179" s="55">
        <v>2</v>
      </c>
      <c r="D179" s="37"/>
      <c r="E179" s="38"/>
    </row>
    <row r="180" spans="1:5">
      <c r="A180" s="36" t="s">
        <v>256</v>
      </c>
      <c r="B180" s="54" t="s">
        <v>360</v>
      </c>
      <c r="C180" s="55">
        <v>1</v>
      </c>
      <c r="D180" s="37"/>
      <c r="E180" s="38"/>
    </row>
    <row r="181" spans="1:5">
      <c r="A181" s="36" t="s">
        <v>257</v>
      </c>
      <c r="B181" s="54" t="s">
        <v>361</v>
      </c>
      <c r="C181" s="55">
        <v>1</v>
      </c>
      <c r="D181" s="37"/>
      <c r="E181" s="38"/>
    </row>
    <row r="182" spans="1:5">
      <c r="A182" s="36" t="s">
        <v>258</v>
      </c>
      <c r="B182" s="54" t="s">
        <v>278</v>
      </c>
      <c r="C182" s="55">
        <v>8</v>
      </c>
      <c r="D182" s="37"/>
      <c r="E182" s="38"/>
    </row>
    <row r="183" spans="1:5">
      <c r="A183" s="36" t="s">
        <v>259</v>
      </c>
      <c r="B183" s="54" t="s">
        <v>362</v>
      </c>
      <c r="C183" s="55">
        <v>5</v>
      </c>
      <c r="D183" s="37"/>
      <c r="E183" s="38"/>
    </row>
    <row r="184" spans="1:5">
      <c r="A184" s="36" t="s">
        <v>260</v>
      </c>
      <c r="B184" s="54" t="s">
        <v>363</v>
      </c>
      <c r="C184" s="55">
        <v>1</v>
      </c>
      <c r="D184" s="37"/>
      <c r="E184" s="38"/>
    </row>
    <row r="185" spans="1:5">
      <c r="A185" s="36" t="s">
        <v>262</v>
      </c>
      <c r="B185" s="54" t="s">
        <v>364</v>
      </c>
      <c r="C185" s="55">
        <v>3</v>
      </c>
      <c r="D185" s="37"/>
      <c r="E185" s="38"/>
    </row>
    <row r="186" spans="1:5">
      <c r="A186" s="36" t="s">
        <v>264</v>
      </c>
      <c r="B186" s="54" t="s">
        <v>365</v>
      </c>
      <c r="C186" s="55">
        <v>5</v>
      </c>
      <c r="D186" s="37"/>
      <c r="E186" s="38"/>
    </row>
    <row r="187" spans="1:5">
      <c r="A187" s="36" t="s">
        <v>265</v>
      </c>
      <c r="B187" s="54" t="s">
        <v>92</v>
      </c>
      <c r="C187" s="55">
        <v>30</v>
      </c>
      <c r="D187" s="37"/>
      <c r="E187" s="38"/>
    </row>
    <row r="188" spans="1:5">
      <c r="A188" s="36" t="s">
        <v>266</v>
      </c>
      <c r="B188" s="54" t="s">
        <v>366</v>
      </c>
      <c r="C188" s="55">
        <v>6</v>
      </c>
      <c r="D188" s="37"/>
      <c r="E188" s="38"/>
    </row>
    <row r="189" spans="1:5">
      <c r="A189" s="36" t="s">
        <v>268</v>
      </c>
      <c r="B189" s="54" t="s">
        <v>21</v>
      </c>
      <c r="C189" s="55">
        <v>3</v>
      </c>
      <c r="D189" s="37"/>
      <c r="E189" s="38"/>
    </row>
    <row r="190" spans="1:5">
      <c r="A190" s="36" t="s">
        <v>269</v>
      </c>
      <c r="B190" s="54" t="s">
        <v>367</v>
      </c>
      <c r="C190" s="55">
        <v>9</v>
      </c>
      <c r="D190" s="37"/>
      <c r="E190" s="38"/>
    </row>
    <row r="191" spans="1:5">
      <c r="A191" s="36" t="s">
        <v>271</v>
      </c>
      <c r="B191" s="54" t="s">
        <v>147</v>
      </c>
      <c r="C191" s="55">
        <v>1</v>
      </c>
      <c r="D191" s="37"/>
      <c r="E191" s="38"/>
    </row>
    <row r="192" spans="1:5">
      <c r="A192" s="36" t="s">
        <v>273</v>
      </c>
      <c r="B192" s="54" t="s">
        <v>283</v>
      </c>
      <c r="C192" s="55">
        <v>5</v>
      </c>
      <c r="D192" s="37"/>
      <c r="E192" s="38"/>
    </row>
    <row r="193" spans="1:5">
      <c r="A193" s="36" t="s">
        <v>274</v>
      </c>
      <c r="B193" s="54" t="s">
        <v>94</v>
      </c>
      <c r="C193" s="55">
        <v>1</v>
      </c>
      <c r="D193" s="37"/>
      <c r="E193" s="38"/>
    </row>
    <row r="194" spans="1:5">
      <c r="A194" s="36" t="s">
        <v>275</v>
      </c>
      <c r="B194" s="54" t="s">
        <v>368</v>
      </c>
      <c r="C194" s="55">
        <v>3</v>
      </c>
      <c r="D194" s="37"/>
      <c r="E194" s="38"/>
    </row>
    <row r="195" spans="1:5">
      <c r="A195" s="36" t="s">
        <v>277</v>
      </c>
      <c r="B195" s="54" t="s">
        <v>369</v>
      </c>
      <c r="C195" s="55">
        <v>2</v>
      </c>
      <c r="D195" s="37"/>
      <c r="E195" s="38"/>
    </row>
    <row r="196" spans="1:5">
      <c r="A196" s="36" t="s">
        <v>279</v>
      </c>
      <c r="B196" s="54" t="s">
        <v>370</v>
      </c>
      <c r="C196" s="55">
        <v>1</v>
      </c>
      <c r="D196" s="37"/>
      <c r="E196" s="38"/>
    </row>
    <row r="197" spans="1:5">
      <c r="A197" s="36" t="s">
        <v>281</v>
      </c>
      <c r="B197" s="54" t="s">
        <v>371</v>
      </c>
      <c r="C197" s="55">
        <v>1</v>
      </c>
      <c r="D197" s="37"/>
      <c r="E197" s="38"/>
    </row>
    <row r="198" spans="1:5">
      <c r="A198" s="36" t="s">
        <v>282</v>
      </c>
      <c r="B198" s="54" t="s">
        <v>220</v>
      </c>
      <c r="C198" s="55">
        <v>2</v>
      </c>
      <c r="D198" s="37"/>
      <c r="E198" s="38"/>
    </row>
    <row r="199" spans="1:5">
      <c r="A199" s="36" t="s">
        <v>284</v>
      </c>
      <c r="B199" s="54" t="s">
        <v>372</v>
      </c>
      <c r="C199" s="55">
        <v>1</v>
      </c>
      <c r="D199" s="37"/>
      <c r="E199" s="38"/>
    </row>
    <row r="200" spans="1:5">
      <c r="A200" s="36" t="s">
        <v>285</v>
      </c>
      <c r="B200" s="54" t="s">
        <v>372</v>
      </c>
      <c r="C200" s="55">
        <v>2</v>
      </c>
      <c r="D200" s="37"/>
      <c r="E200" s="38"/>
    </row>
    <row r="201" spans="1:5">
      <c r="A201" s="36" t="s">
        <v>286</v>
      </c>
      <c r="B201" s="54" t="s">
        <v>373</v>
      </c>
      <c r="C201" s="55">
        <v>1</v>
      </c>
      <c r="D201" s="37"/>
      <c r="E201" s="38"/>
    </row>
    <row r="202" spans="1:5">
      <c r="A202" s="36" t="s">
        <v>287</v>
      </c>
      <c r="B202" s="54" t="s">
        <v>374</v>
      </c>
      <c r="C202" s="55">
        <v>2</v>
      </c>
      <c r="D202" s="37"/>
      <c r="E202" s="38"/>
    </row>
    <row r="203" spans="1:5">
      <c r="A203" s="36" t="s">
        <v>288</v>
      </c>
      <c r="B203" s="54" t="s">
        <v>96</v>
      </c>
      <c r="C203" s="55">
        <v>3</v>
      </c>
      <c r="D203" s="37"/>
      <c r="E203" s="38"/>
    </row>
    <row r="204" spans="1:5">
      <c r="A204" s="36" t="s">
        <v>290</v>
      </c>
      <c r="B204" s="54" t="s">
        <v>375</v>
      </c>
      <c r="C204" s="55">
        <v>6</v>
      </c>
      <c r="D204" s="37"/>
      <c r="E204" s="38"/>
    </row>
    <row r="205" spans="1:5">
      <c r="A205" s="36" t="s">
        <v>291</v>
      </c>
      <c r="B205" s="54" t="s">
        <v>376</v>
      </c>
      <c r="C205" s="55">
        <v>2</v>
      </c>
      <c r="D205" s="37"/>
      <c r="E205" s="39"/>
    </row>
    <row r="206" spans="1:5">
      <c r="A206" s="36" t="s">
        <v>292</v>
      </c>
      <c r="B206" s="54" t="s">
        <v>377</v>
      </c>
      <c r="C206" s="55">
        <v>1</v>
      </c>
      <c r="D206" s="37"/>
      <c r="E206" s="38"/>
    </row>
    <row r="207" spans="1:5">
      <c r="A207" s="36" t="s">
        <v>293</v>
      </c>
      <c r="B207" s="54" t="s">
        <v>378</v>
      </c>
      <c r="C207" s="55">
        <v>1</v>
      </c>
      <c r="D207" s="37"/>
      <c r="E207" s="38"/>
    </row>
    <row r="208" spans="1:5">
      <c r="A208" s="36" t="s">
        <v>294</v>
      </c>
      <c r="B208" s="54" t="s">
        <v>378</v>
      </c>
      <c r="C208" s="55">
        <v>1</v>
      </c>
      <c r="D208" s="37"/>
      <c r="E208" s="38"/>
    </row>
    <row r="209" spans="1:5">
      <c r="A209" s="36" t="s">
        <v>295</v>
      </c>
      <c r="B209" s="54" t="s">
        <v>379</v>
      </c>
      <c r="C209" s="55">
        <v>1</v>
      </c>
      <c r="D209" s="37"/>
      <c r="E209" s="38"/>
    </row>
    <row r="210" spans="1:5">
      <c r="A210" s="36" t="s">
        <v>297</v>
      </c>
      <c r="B210" s="54" t="s">
        <v>379</v>
      </c>
      <c r="C210" s="55">
        <v>1</v>
      </c>
      <c r="D210" s="37"/>
      <c r="E210" s="38"/>
    </row>
    <row r="211" spans="1:5">
      <c r="A211" s="36" t="s">
        <v>299</v>
      </c>
      <c r="B211" s="54" t="s">
        <v>379</v>
      </c>
      <c r="C211" s="55">
        <v>2</v>
      </c>
      <c r="D211" s="37"/>
      <c r="E211" s="38"/>
    </row>
    <row r="212" spans="1:5">
      <c r="A212" s="36" t="s">
        <v>300</v>
      </c>
      <c r="B212" s="54" t="s">
        <v>380</v>
      </c>
      <c r="C212" s="55">
        <v>1</v>
      </c>
      <c r="D212" s="37"/>
      <c r="E212" s="38"/>
    </row>
    <row r="213" spans="1:5">
      <c r="A213" s="36" t="s">
        <v>301</v>
      </c>
      <c r="B213" s="54" t="s">
        <v>381</v>
      </c>
      <c r="C213" s="55">
        <v>2</v>
      </c>
      <c r="D213" s="37"/>
      <c r="E213" s="38"/>
    </row>
    <row r="214" spans="1:5">
      <c r="A214" s="36" t="s">
        <v>302</v>
      </c>
      <c r="B214" s="54" t="s">
        <v>382</v>
      </c>
      <c r="C214" s="55">
        <v>1</v>
      </c>
      <c r="D214" s="37"/>
      <c r="E214" s="38"/>
    </row>
    <row r="215" spans="1:5">
      <c r="A215" s="36" t="s">
        <v>303</v>
      </c>
      <c r="B215" s="54" t="s">
        <v>382</v>
      </c>
      <c r="C215" s="55">
        <v>6</v>
      </c>
      <c r="D215" s="37"/>
      <c r="E215" s="38"/>
    </row>
    <row r="216" spans="1:5">
      <c r="A216" s="36" t="s">
        <v>305</v>
      </c>
      <c r="B216" s="54" t="s">
        <v>383</v>
      </c>
      <c r="C216" s="55">
        <v>1</v>
      </c>
      <c r="D216" s="38"/>
      <c r="E216" s="38"/>
    </row>
    <row r="217" spans="1:5">
      <c r="A217" s="36" t="s">
        <v>388</v>
      </c>
      <c r="B217" s="54" t="s">
        <v>383</v>
      </c>
      <c r="C217" s="55">
        <v>3</v>
      </c>
      <c r="D217" s="38"/>
      <c r="E217" s="38"/>
    </row>
    <row r="218" spans="1:5">
      <c r="A218" s="36" t="s">
        <v>389</v>
      </c>
      <c r="B218" s="54" t="s">
        <v>384</v>
      </c>
      <c r="C218" s="55">
        <v>1</v>
      </c>
      <c r="D218" s="38"/>
      <c r="E218" s="38"/>
    </row>
    <row r="219" spans="1:5">
      <c r="A219" s="36" t="s">
        <v>390</v>
      </c>
      <c r="B219" s="54" t="s">
        <v>385</v>
      </c>
      <c r="C219" s="55">
        <v>1</v>
      </c>
      <c r="D219" s="38"/>
      <c r="E219" s="38"/>
    </row>
    <row r="220" spans="1:5">
      <c r="A220" s="36" t="s">
        <v>391</v>
      </c>
      <c r="B220" s="54" t="s">
        <v>386</v>
      </c>
      <c r="C220" s="55">
        <v>5</v>
      </c>
      <c r="D220" s="38"/>
      <c r="E220" s="38"/>
    </row>
    <row r="221" spans="1:5">
      <c r="A221" s="36" t="s">
        <v>392</v>
      </c>
      <c r="B221" s="54" t="s">
        <v>19</v>
      </c>
      <c r="C221" s="55">
        <v>0</v>
      </c>
      <c r="D221" s="38"/>
      <c r="E221" s="38"/>
    </row>
    <row r="222" spans="1:5">
      <c r="A222" s="36" t="s">
        <v>393</v>
      </c>
      <c r="B222" s="54" t="s">
        <v>387</v>
      </c>
      <c r="C222" s="55">
        <v>3</v>
      </c>
      <c r="D222" s="38"/>
      <c r="E222" s="38"/>
    </row>
    <row r="223" spans="1:5">
      <c r="A223" s="36" t="s">
        <v>394</v>
      </c>
      <c r="B223" s="42"/>
      <c r="C223" s="42"/>
      <c r="D223" s="43"/>
      <c r="E223" s="38"/>
    </row>
    <row r="224" spans="1:5" ht="15.75" customHeight="1">
      <c r="A224" s="36" t="s">
        <v>395</v>
      </c>
      <c r="B224" s="40"/>
      <c r="C224" s="41"/>
      <c r="D224" s="38"/>
      <c r="E224" s="38"/>
    </row>
    <row r="225" spans="1:5">
      <c r="A225" s="36" t="s">
        <v>396</v>
      </c>
      <c r="B225" s="40"/>
      <c r="C225" s="41"/>
      <c r="D225" s="38"/>
      <c r="E225" s="38"/>
    </row>
    <row r="226" spans="1:5">
      <c r="A226" s="36" t="s">
        <v>397</v>
      </c>
      <c r="B226" s="40"/>
      <c r="C226" s="41"/>
      <c r="D226" s="38"/>
      <c r="E226" s="38"/>
    </row>
    <row r="227" spans="1:5">
      <c r="A227" s="36" t="s">
        <v>398</v>
      </c>
      <c r="B227" s="40"/>
      <c r="C227" s="41"/>
      <c r="D227" s="38"/>
      <c r="E227" s="38"/>
    </row>
    <row r="228" spans="1:5">
      <c r="A228" s="36" t="s">
        <v>399</v>
      </c>
      <c r="B228" s="40"/>
      <c r="C228" s="41"/>
      <c r="D228" s="38"/>
      <c r="E228" s="38"/>
    </row>
    <row r="229" spans="1:5">
      <c r="A229" s="36" t="s">
        <v>400</v>
      </c>
      <c r="B229" s="40"/>
      <c r="C229" s="41"/>
      <c r="D229" s="38"/>
      <c r="E229" s="38"/>
    </row>
    <row r="230" spans="1:5">
      <c r="A230" s="36" t="s">
        <v>401</v>
      </c>
      <c r="B230" s="40"/>
      <c r="C230" s="41"/>
      <c r="D230" s="38"/>
      <c r="E230" s="38"/>
    </row>
    <row r="231" spans="1:5">
      <c r="A231" s="36" t="s">
        <v>402</v>
      </c>
      <c r="B231" s="40"/>
      <c r="C231" s="41"/>
      <c r="D231" s="38"/>
      <c r="E231" s="38"/>
    </row>
    <row r="232" spans="1:5">
      <c r="A232" s="36" t="s">
        <v>403</v>
      </c>
      <c r="B232" s="40"/>
      <c r="C232" s="41"/>
      <c r="D232" s="38"/>
      <c r="E232" s="38"/>
    </row>
    <row r="233" spans="1:5">
      <c r="A233" s="36" t="s">
        <v>404</v>
      </c>
      <c r="B233" s="40"/>
      <c r="C233" s="41"/>
      <c r="D233" s="38"/>
      <c r="E233" s="38"/>
    </row>
    <row r="234" spans="1:5">
      <c r="A234" s="36" t="s">
        <v>405</v>
      </c>
      <c r="B234" s="40"/>
      <c r="C234" s="41"/>
      <c r="D234" s="38"/>
      <c r="E234" s="38"/>
    </row>
    <row r="235" spans="1:5">
      <c r="A235" s="36" t="s">
        <v>406</v>
      </c>
      <c r="B235" s="40"/>
      <c r="C235" s="41"/>
      <c r="D235" s="38"/>
      <c r="E235" s="38"/>
    </row>
    <row r="236" spans="1:5">
      <c r="A236" s="36" t="s">
        <v>407</v>
      </c>
      <c r="B236" s="40"/>
      <c r="C236" s="41"/>
      <c r="D236" s="38"/>
      <c r="E236" s="38"/>
    </row>
    <row r="237" spans="1:5">
      <c r="A237" s="36" t="s">
        <v>408</v>
      </c>
      <c r="B237" s="40"/>
      <c r="C237" s="41"/>
      <c r="D237" s="38"/>
      <c r="E237" s="38"/>
    </row>
    <row r="238" spans="1:5">
      <c r="A238" s="36" t="s">
        <v>409</v>
      </c>
      <c r="B238" s="40"/>
      <c r="C238" s="41"/>
      <c r="D238" s="38"/>
      <c r="E238" s="38"/>
    </row>
    <row r="239" spans="1:5">
      <c r="A239" s="36" t="s">
        <v>410</v>
      </c>
      <c r="B239" s="40"/>
      <c r="C239" s="41"/>
      <c r="D239" s="38"/>
      <c r="E239" s="38"/>
    </row>
    <row r="240" spans="1:5">
      <c r="A240" s="36" t="s">
        <v>411</v>
      </c>
      <c r="B240" s="40"/>
      <c r="C240" s="41"/>
      <c r="D240" s="38"/>
      <c r="E240" s="38"/>
    </row>
    <row r="241" spans="1:5">
      <c r="A241" s="36" t="s">
        <v>412</v>
      </c>
      <c r="B241" s="40"/>
      <c r="C241" s="41"/>
      <c r="D241" s="38"/>
      <c r="E241" s="38"/>
    </row>
    <row r="242" spans="1:5">
      <c r="A242" s="36" t="s">
        <v>413</v>
      </c>
      <c r="B242" s="40"/>
      <c r="C242" s="41"/>
      <c r="D242" s="38"/>
      <c r="E242" s="38"/>
    </row>
    <row r="243" spans="1:5">
      <c r="A243" s="36" t="s">
        <v>414</v>
      </c>
      <c r="B243" s="40"/>
      <c r="C243" s="41"/>
      <c r="D243" s="38"/>
      <c r="E243" s="38"/>
    </row>
    <row r="244" spans="1:5">
      <c r="A244" s="36" t="s">
        <v>415</v>
      </c>
      <c r="B244" s="40"/>
      <c r="C244" s="41"/>
      <c r="D244" s="38"/>
      <c r="E244" s="38"/>
    </row>
    <row r="245" spans="1:5">
      <c r="A245" s="36" t="s">
        <v>416</v>
      </c>
      <c r="B245" s="40"/>
      <c r="C245" s="41"/>
      <c r="D245" s="38"/>
      <c r="E245" s="38"/>
    </row>
    <row r="246" spans="1:5">
      <c r="A246" s="36" t="s">
        <v>417</v>
      </c>
      <c r="B246" s="40"/>
      <c r="C246" s="41"/>
      <c r="D246" s="38"/>
      <c r="E246" s="38"/>
    </row>
    <row r="247" spans="1:5">
      <c r="A247" s="36" t="s">
        <v>418</v>
      </c>
      <c r="B247" s="40"/>
      <c r="C247" s="41"/>
      <c r="D247" s="38"/>
      <c r="E247" s="38"/>
    </row>
    <row r="248" spans="1:5">
      <c r="A248" s="36" t="s">
        <v>419</v>
      </c>
      <c r="B248" s="40"/>
      <c r="C248" s="41"/>
      <c r="D248" s="38"/>
      <c r="E248" s="38"/>
    </row>
    <row r="249" spans="1:5">
      <c r="A249" s="36" t="s">
        <v>420</v>
      </c>
      <c r="B249" s="40"/>
      <c r="C249" s="41"/>
      <c r="D249" s="38"/>
      <c r="E249" s="38"/>
    </row>
    <row r="250" spans="1:5">
      <c r="A250" s="36" t="s">
        <v>421</v>
      </c>
      <c r="B250" s="40"/>
      <c r="C250" s="41"/>
      <c r="D250" s="38"/>
      <c r="E250" s="38"/>
    </row>
    <row r="251" spans="1:5">
      <c r="A251" s="36" t="s">
        <v>422</v>
      </c>
      <c r="B251" s="40"/>
      <c r="C251" s="41"/>
      <c r="D251" s="38"/>
      <c r="E251" s="38"/>
    </row>
    <row r="252" spans="1:5">
      <c r="A252" s="36" t="s">
        <v>423</v>
      </c>
      <c r="B252" s="40"/>
      <c r="C252" s="41"/>
      <c r="D252" s="38"/>
      <c r="E252" s="38"/>
    </row>
    <row r="253" spans="1:5">
      <c r="A253" s="36" t="s">
        <v>424</v>
      </c>
      <c r="B253" s="40"/>
      <c r="C253" s="41"/>
      <c r="D253" s="38"/>
      <c r="E253" s="38"/>
    </row>
    <row r="254" spans="1:5">
      <c r="A254" s="36" t="s">
        <v>425</v>
      </c>
      <c r="B254" s="40"/>
      <c r="C254" s="41"/>
      <c r="D254" s="38"/>
      <c r="E254" s="38"/>
    </row>
    <row r="255" spans="1:5">
      <c r="A255" s="36" t="s">
        <v>426</v>
      </c>
      <c r="B255" s="40"/>
      <c r="C255" s="41"/>
      <c r="D255" s="38"/>
      <c r="E255" s="38"/>
    </row>
    <row r="256" spans="1:5">
      <c r="A256" s="36" t="s">
        <v>427</v>
      </c>
      <c r="B256" s="40"/>
      <c r="C256" s="41"/>
      <c r="D256" s="38"/>
      <c r="E256" s="38"/>
    </row>
    <row r="257" spans="1:5">
      <c r="A257" s="36" t="s">
        <v>428</v>
      </c>
      <c r="B257" s="40"/>
      <c r="C257" s="41"/>
      <c r="D257" s="38"/>
      <c r="E257" s="38"/>
    </row>
    <row r="258" spans="1:5">
      <c r="A258" s="36" t="s">
        <v>429</v>
      </c>
      <c r="B258" s="40"/>
      <c r="C258" s="41"/>
      <c r="D258" s="38"/>
      <c r="E258" s="38"/>
    </row>
    <row r="259" spans="1:5">
      <c r="A259" s="36" t="s">
        <v>430</v>
      </c>
      <c r="B259" s="40"/>
      <c r="C259" s="41"/>
      <c r="D259" s="38"/>
      <c r="E259" s="38"/>
    </row>
    <row r="260" spans="1:5">
      <c r="A260" s="36" t="s">
        <v>431</v>
      </c>
      <c r="B260" s="40"/>
      <c r="C260" s="41"/>
      <c r="D260" s="38"/>
      <c r="E260" s="38"/>
    </row>
    <row r="261" spans="1:5">
      <c r="A261" s="36" t="s">
        <v>432</v>
      </c>
      <c r="B261" s="40"/>
      <c r="C261" s="41"/>
      <c r="D261" s="38"/>
      <c r="E261" s="38"/>
    </row>
    <row r="262" spans="1:5">
      <c r="A262" s="36" t="s">
        <v>433</v>
      </c>
      <c r="B262" s="40"/>
      <c r="C262" s="41"/>
      <c r="D262" s="38"/>
      <c r="E262" s="38"/>
    </row>
    <row r="263" spans="1:5">
      <c r="A263" s="36" t="s">
        <v>434</v>
      </c>
      <c r="B263" s="40"/>
      <c r="C263" s="41"/>
      <c r="D263" s="38"/>
      <c r="E263" s="38"/>
    </row>
    <row r="264" spans="1:5">
      <c r="A264" s="36" t="s">
        <v>435</v>
      </c>
      <c r="B264" s="40"/>
      <c r="C264" s="41"/>
      <c r="D264" s="38"/>
      <c r="E264" s="38"/>
    </row>
    <row r="265" spans="1:5">
      <c r="A265" s="36" t="s">
        <v>436</v>
      </c>
      <c r="B265" s="40"/>
      <c r="C265" s="41"/>
      <c r="D265" s="38"/>
      <c r="E265" s="38"/>
    </row>
    <row r="266" spans="1:5">
      <c r="A266" s="36" t="s">
        <v>437</v>
      </c>
      <c r="B266" s="40"/>
      <c r="C266" s="41"/>
      <c r="D266" s="38"/>
      <c r="E266" s="38"/>
    </row>
    <row r="267" spans="1:5">
      <c r="A267" s="36" t="s">
        <v>438</v>
      </c>
      <c r="B267" s="40"/>
      <c r="C267" s="41"/>
      <c r="D267" s="38"/>
      <c r="E267" s="38"/>
    </row>
    <row r="268" spans="1:5">
      <c r="A268" s="36" t="s">
        <v>439</v>
      </c>
      <c r="B268" s="40"/>
      <c r="C268" s="41"/>
      <c r="D268" s="38"/>
      <c r="E268" s="38"/>
    </row>
    <row r="269" spans="1:5">
      <c r="A269" s="36" t="s">
        <v>440</v>
      </c>
      <c r="B269" s="40"/>
      <c r="C269" s="41"/>
      <c r="D269" s="38"/>
      <c r="E269" s="38"/>
    </row>
    <row r="270" spans="1:5">
      <c r="A270" s="36" t="s">
        <v>441</v>
      </c>
      <c r="B270" s="40"/>
      <c r="C270" s="41"/>
      <c r="D270" s="38"/>
      <c r="E270" s="38"/>
    </row>
    <row r="271" spans="1:5">
      <c r="A271" s="36" t="s">
        <v>442</v>
      </c>
      <c r="B271" s="40"/>
      <c r="C271" s="41"/>
      <c r="D271" s="38"/>
      <c r="E271" s="38"/>
    </row>
    <row r="272" spans="1:5">
      <c r="A272" s="36" t="s">
        <v>443</v>
      </c>
      <c r="B272" s="40"/>
      <c r="C272" s="41"/>
      <c r="D272" s="38"/>
      <c r="E272" s="38"/>
    </row>
    <row r="273" spans="1:5">
      <c r="A273" s="36" t="s">
        <v>444</v>
      </c>
      <c r="B273" s="40"/>
      <c r="C273" s="41"/>
      <c r="D273" s="38"/>
      <c r="E273" s="38"/>
    </row>
    <row r="274" spans="1:5">
      <c r="A274" s="36" t="s">
        <v>445</v>
      </c>
      <c r="B274" s="40"/>
      <c r="C274" s="41"/>
      <c r="D274" s="38"/>
      <c r="E274" s="38"/>
    </row>
    <row r="275" spans="1:5">
      <c r="A275" s="36" t="s">
        <v>446</v>
      </c>
      <c r="B275" s="40"/>
      <c r="C275" s="41"/>
      <c r="D275" s="38"/>
      <c r="E275" s="38"/>
    </row>
    <row r="276" spans="1:5">
      <c r="A276" s="36" t="s">
        <v>447</v>
      </c>
      <c r="B276" s="40"/>
      <c r="C276" s="41"/>
      <c r="D276" s="38"/>
      <c r="E276" s="38"/>
    </row>
    <row r="277" spans="1:5">
      <c r="A277" s="36" t="s">
        <v>448</v>
      </c>
      <c r="B277" s="40"/>
      <c r="C277" s="41"/>
      <c r="D277" s="38"/>
      <c r="E277" s="38"/>
    </row>
    <row r="278" spans="1:5">
      <c r="A278" s="36" t="s">
        <v>449</v>
      </c>
      <c r="B278" s="40"/>
      <c r="C278" s="41"/>
      <c r="D278" s="38"/>
      <c r="E278" s="38"/>
    </row>
    <row r="279" spans="1:5">
      <c r="A279" s="36" t="s">
        <v>450</v>
      </c>
      <c r="B279" s="40"/>
      <c r="C279" s="41"/>
      <c r="D279" s="38"/>
      <c r="E279" s="38"/>
    </row>
    <row r="280" spans="1:5">
      <c r="A280" s="36" t="s">
        <v>451</v>
      </c>
      <c r="B280" s="40"/>
      <c r="C280" s="41"/>
      <c r="D280" s="38"/>
      <c r="E280" s="38"/>
    </row>
    <row r="281" spans="1:5">
      <c r="A281" s="36" t="s">
        <v>452</v>
      </c>
      <c r="B281" s="40"/>
      <c r="C281" s="41"/>
      <c r="D281" s="38"/>
      <c r="E281" s="38"/>
    </row>
    <row r="282" spans="1:5">
      <c r="A282" s="36" t="s">
        <v>453</v>
      </c>
      <c r="B282" s="40"/>
      <c r="C282" s="41"/>
      <c r="D282" s="38"/>
      <c r="E282" s="38"/>
    </row>
    <row r="283" spans="1:5">
      <c r="A283" s="36" t="s">
        <v>454</v>
      </c>
      <c r="B283" s="40"/>
      <c r="C283" s="41"/>
      <c r="D283" s="38"/>
      <c r="E283" s="38"/>
    </row>
    <row r="284" spans="1:5">
      <c r="A284" s="36" t="s">
        <v>455</v>
      </c>
      <c r="B284" s="40"/>
      <c r="C284" s="41"/>
      <c r="D284" s="38"/>
      <c r="E284" s="38"/>
    </row>
    <row r="285" spans="1:5">
      <c r="A285" s="36" t="s">
        <v>456</v>
      </c>
      <c r="B285" s="40"/>
      <c r="C285" s="41"/>
      <c r="D285" s="38"/>
      <c r="E285" s="38"/>
    </row>
    <row r="286" spans="1:5">
      <c r="A286" s="36" t="s">
        <v>457</v>
      </c>
      <c r="B286" s="40"/>
      <c r="C286" s="41"/>
      <c r="D286" s="38"/>
      <c r="E286" s="38"/>
    </row>
    <row r="287" spans="1:5">
      <c r="A287" s="36" t="s">
        <v>458</v>
      </c>
      <c r="B287" s="40"/>
      <c r="C287" s="41"/>
      <c r="D287" s="38"/>
      <c r="E287" s="38"/>
    </row>
    <row r="288" spans="1:5">
      <c r="A288" s="36" t="s">
        <v>459</v>
      </c>
      <c r="B288" s="40"/>
      <c r="C288" s="41"/>
      <c r="D288" s="38"/>
      <c r="E288" s="38"/>
    </row>
    <row r="289" spans="1:5">
      <c r="A289" s="36" t="s">
        <v>460</v>
      </c>
      <c r="B289" s="40"/>
      <c r="C289" s="41"/>
      <c r="D289" s="38"/>
      <c r="E289" s="38"/>
    </row>
    <row r="290" spans="1:5">
      <c r="A290" s="36" t="s">
        <v>461</v>
      </c>
      <c r="B290" s="40"/>
      <c r="C290" s="41"/>
      <c r="D290" s="38"/>
      <c r="E290" s="38"/>
    </row>
    <row r="291" spans="1:5">
      <c r="A291" s="36" t="s">
        <v>462</v>
      </c>
      <c r="B291" s="40"/>
      <c r="C291" s="41"/>
      <c r="D291" s="38"/>
      <c r="E291" s="38"/>
    </row>
    <row r="292" spans="1:5">
      <c r="A292" s="36" t="s">
        <v>463</v>
      </c>
      <c r="B292" s="40"/>
      <c r="C292" s="41"/>
      <c r="D292" s="38"/>
      <c r="E292" s="38"/>
    </row>
    <row r="293" spans="1:5">
      <c r="A293" s="36" t="s">
        <v>464</v>
      </c>
      <c r="B293" s="40"/>
      <c r="C293" s="41"/>
      <c r="D293" s="38"/>
      <c r="E293" s="38"/>
    </row>
    <row r="294" spans="1:5">
      <c r="A294" s="36" t="s">
        <v>465</v>
      </c>
      <c r="B294" s="40"/>
      <c r="C294" s="41"/>
      <c r="D294" s="38"/>
      <c r="E294" s="38"/>
    </row>
    <row r="295" spans="1:5">
      <c r="A295" s="36" t="s">
        <v>466</v>
      </c>
      <c r="B295" s="40"/>
      <c r="C295" s="41"/>
      <c r="D295" s="38"/>
      <c r="E295" s="38"/>
    </row>
    <row r="296" spans="1:5">
      <c r="A296" s="36" t="s">
        <v>467</v>
      </c>
      <c r="B296" s="40"/>
      <c r="C296" s="41"/>
      <c r="D296" s="38"/>
      <c r="E296" s="38"/>
    </row>
    <row r="297" spans="1:5">
      <c r="A297" s="36" t="s">
        <v>468</v>
      </c>
      <c r="B297" s="40"/>
      <c r="C297" s="41"/>
      <c r="D297" s="38"/>
      <c r="E297" s="38"/>
    </row>
    <row r="298" spans="1:5">
      <c r="A298" s="36" t="s">
        <v>469</v>
      </c>
      <c r="B298" s="40"/>
      <c r="C298" s="41"/>
      <c r="D298" s="38"/>
      <c r="E298" s="38"/>
    </row>
    <row r="299" spans="1:5">
      <c r="A299" s="36" t="s">
        <v>470</v>
      </c>
      <c r="B299" s="40"/>
      <c r="C299" s="41"/>
      <c r="D299" s="38"/>
      <c r="E299" s="38"/>
    </row>
    <row r="300" spans="1:5">
      <c r="A300" s="36" t="s">
        <v>471</v>
      </c>
      <c r="B300" s="40"/>
      <c r="C300" s="41"/>
      <c r="D300" s="38"/>
      <c r="E300" s="38"/>
    </row>
    <row r="301" spans="1:5">
      <c r="A301" s="36" t="s">
        <v>472</v>
      </c>
      <c r="B301" s="40"/>
      <c r="C301" s="41"/>
      <c r="D301" s="38"/>
      <c r="E301" s="38"/>
    </row>
    <row r="302" spans="1:5">
      <c r="A302" s="36" t="s">
        <v>473</v>
      </c>
      <c r="B302" s="40"/>
      <c r="C302" s="41"/>
      <c r="D302" s="38"/>
      <c r="E302" s="38"/>
    </row>
    <row r="303" spans="1:5">
      <c r="A303" s="36" t="s">
        <v>474</v>
      </c>
      <c r="B303" s="40"/>
      <c r="C303" s="41"/>
      <c r="D303" s="38"/>
      <c r="E303" s="38"/>
    </row>
    <row r="304" spans="1:5">
      <c r="A304" s="36" t="s">
        <v>475</v>
      </c>
      <c r="B304" s="40"/>
      <c r="C304" s="41"/>
      <c r="D304" s="38"/>
      <c r="E304" s="38"/>
    </row>
    <row r="305" spans="1:5">
      <c r="A305" s="36" t="s">
        <v>476</v>
      </c>
      <c r="B305" s="40"/>
      <c r="C305" s="41"/>
      <c r="D305" s="38"/>
      <c r="E305" s="38"/>
    </row>
    <row r="306" spans="1:5">
      <c r="A306" s="36" t="s">
        <v>477</v>
      </c>
      <c r="B306" s="40"/>
      <c r="C306" s="41"/>
      <c r="D306" s="38"/>
      <c r="E306" s="38"/>
    </row>
    <row r="307" spans="1:5">
      <c r="A307" s="36" t="s">
        <v>478</v>
      </c>
      <c r="B307" s="40"/>
      <c r="C307" s="41"/>
      <c r="D307" s="38"/>
      <c r="E307" s="38"/>
    </row>
    <row r="308" spans="1:5">
      <c r="A308" s="36" t="s">
        <v>479</v>
      </c>
      <c r="B308" s="40"/>
      <c r="C308" s="41"/>
      <c r="D308" s="38"/>
      <c r="E308" s="38"/>
    </row>
    <row r="309" spans="1:5">
      <c r="A309" s="36" t="s">
        <v>480</v>
      </c>
      <c r="B309" s="40"/>
      <c r="C309" s="41"/>
      <c r="D309" s="38"/>
      <c r="E309" s="38"/>
    </row>
    <row r="310" spans="1:5">
      <c r="A310" s="36" t="s">
        <v>481</v>
      </c>
      <c r="B310" s="40"/>
      <c r="C310" s="41"/>
      <c r="D310" s="38"/>
      <c r="E310" s="38"/>
    </row>
    <row r="311" spans="1:5">
      <c r="A311" s="36" t="s">
        <v>482</v>
      </c>
      <c r="B311" s="40"/>
      <c r="C311" s="41"/>
      <c r="D311" s="38"/>
      <c r="E311" s="38"/>
    </row>
    <row r="312" spans="1:5">
      <c r="A312" s="36" t="s">
        <v>483</v>
      </c>
      <c r="B312" s="40"/>
      <c r="C312" s="41"/>
      <c r="D312" s="38"/>
      <c r="E312" s="38"/>
    </row>
    <row r="313" spans="1:5">
      <c r="A313" s="36" t="s">
        <v>484</v>
      </c>
      <c r="B313" s="40"/>
      <c r="C313" s="41"/>
      <c r="D313" s="38"/>
      <c r="E313" s="38"/>
    </row>
    <row r="314" spans="1:5">
      <c r="A314" s="36" t="s">
        <v>485</v>
      </c>
      <c r="B314" s="40"/>
      <c r="C314" s="41"/>
      <c r="D314" s="38"/>
      <c r="E314" s="38"/>
    </row>
    <row r="315" spans="1:5">
      <c r="A315" s="36" t="s">
        <v>486</v>
      </c>
      <c r="B315" s="40"/>
      <c r="C315" s="41"/>
      <c r="D315" s="38"/>
      <c r="E315" s="38"/>
    </row>
    <row r="316" spans="1:5">
      <c r="A316" s="36" t="s">
        <v>487</v>
      </c>
      <c r="B316" s="40"/>
      <c r="C316" s="41"/>
      <c r="D316" s="38"/>
      <c r="E316" s="38"/>
    </row>
    <row r="317" spans="1:5">
      <c r="A317" s="36" t="s">
        <v>488</v>
      </c>
      <c r="B317" s="40"/>
      <c r="C317" s="41"/>
      <c r="D317" s="38"/>
      <c r="E317" s="38"/>
    </row>
    <row r="318" spans="1:5">
      <c r="A318" s="36" t="s">
        <v>489</v>
      </c>
      <c r="B318" s="40"/>
      <c r="C318" s="41"/>
      <c r="D318" s="38"/>
      <c r="E318" s="38"/>
    </row>
    <row r="319" spans="1:5">
      <c r="A319" s="36" t="s">
        <v>490</v>
      </c>
      <c r="B319" s="40"/>
      <c r="C319" s="41"/>
      <c r="D319" s="38"/>
      <c r="E319" s="38"/>
    </row>
    <row r="320" spans="1:5">
      <c r="A320" s="36" t="s">
        <v>491</v>
      </c>
      <c r="B320" s="40"/>
      <c r="C320" s="41"/>
      <c r="D320" s="38"/>
      <c r="E320" s="38"/>
    </row>
    <row r="321" spans="1:5">
      <c r="A321" s="36" t="s">
        <v>492</v>
      </c>
      <c r="B321" s="40"/>
      <c r="C321" s="41"/>
      <c r="D321" s="38"/>
      <c r="E321" s="38"/>
    </row>
    <row r="322" spans="1:5">
      <c r="A322" s="36" t="s">
        <v>493</v>
      </c>
      <c r="B322" s="40"/>
      <c r="C322" s="41"/>
      <c r="D322" s="38"/>
      <c r="E322" s="38"/>
    </row>
    <row r="323" spans="1:5">
      <c r="A323" s="36" t="s">
        <v>494</v>
      </c>
      <c r="B323" s="40"/>
      <c r="C323" s="41"/>
      <c r="D323" s="38"/>
      <c r="E323" s="38"/>
    </row>
    <row r="324" spans="1:5">
      <c r="A324" s="36" t="s">
        <v>495</v>
      </c>
      <c r="B324" s="40"/>
      <c r="C324" s="41"/>
      <c r="D324" s="38"/>
      <c r="E324" s="38"/>
    </row>
    <row r="325" spans="1:5">
      <c r="A325" s="36" t="s">
        <v>496</v>
      </c>
      <c r="B325" s="40"/>
      <c r="C325" s="41"/>
      <c r="D325" s="38"/>
      <c r="E325" s="38"/>
    </row>
    <row r="326" spans="1:5">
      <c r="A326" s="36" t="s">
        <v>497</v>
      </c>
      <c r="B326" s="40"/>
      <c r="C326" s="41"/>
      <c r="D326" s="38"/>
      <c r="E326" s="38"/>
    </row>
    <row r="327" spans="1:5">
      <c r="A327" s="36" t="s">
        <v>498</v>
      </c>
      <c r="B327" s="40"/>
      <c r="C327" s="41"/>
      <c r="D327" s="38"/>
      <c r="E327" s="38"/>
    </row>
    <row r="328" spans="1:5">
      <c r="A328" s="36" t="s">
        <v>499</v>
      </c>
      <c r="B328" s="40"/>
      <c r="C328" s="41"/>
      <c r="D328" s="38"/>
      <c r="E328" s="38"/>
    </row>
    <row r="329" spans="1:5">
      <c r="A329" s="36" t="s">
        <v>500</v>
      </c>
      <c r="B329" s="40"/>
      <c r="C329" s="41"/>
      <c r="D329" s="38"/>
      <c r="E329" s="38"/>
    </row>
    <row r="330" spans="1:5">
      <c r="A330" s="36" t="s">
        <v>501</v>
      </c>
      <c r="B330" s="40"/>
      <c r="C330" s="41"/>
      <c r="D330" s="38"/>
      <c r="E330" s="38"/>
    </row>
    <row r="331" spans="1:5">
      <c r="A331" s="36" t="s">
        <v>502</v>
      </c>
      <c r="B331" s="40"/>
      <c r="C331" s="41"/>
      <c r="D331" s="38"/>
      <c r="E331" s="38"/>
    </row>
    <row r="332" spans="1:5">
      <c r="A332" s="36" t="s">
        <v>503</v>
      </c>
      <c r="B332" s="40"/>
      <c r="C332" s="41"/>
      <c r="D332" s="38"/>
      <c r="E332" s="38"/>
    </row>
    <row r="333" spans="1:5">
      <c r="A333" s="36" t="s">
        <v>504</v>
      </c>
      <c r="B333" s="40"/>
      <c r="C333" s="41"/>
      <c r="D333" s="38"/>
      <c r="E333" s="38"/>
    </row>
    <row r="334" spans="1:5">
      <c r="A334" s="36" t="s">
        <v>505</v>
      </c>
      <c r="B334" s="40"/>
      <c r="C334" s="41"/>
      <c r="D334" s="38"/>
      <c r="E334" s="38"/>
    </row>
    <row r="335" spans="1:5">
      <c r="A335" s="36" t="s">
        <v>506</v>
      </c>
      <c r="B335" s="40"/>
      <c r="C335" s="41"/>
      <c r="D335" s="38"/>
      <c r="E335" s="38"/>
    </row>
    <row r="336" spans="1:5">
      <c r="A336" s="36" t="s">
        <v>507</v>
      </c>
      <c r="B336" s="40"/>
      <c r="C336" s="41"/>
      <c r="D336" s="38"/>
      <c r="E336" s="38"/>
    </row>
    <row r="337" spans="1:5">
      <c r="A337" s="36" t="s">
        <v>508</v>
      </c>
      <c r="B337" s="40"/>
      <c r="C337" s="41"/>
      <c r="D337" s="38"/>
      <c r="E337" s="38"/>
    </row>
    <row r="338" spans="1:5">
      <c r="A338" s="36" t="s">
        <v>509</v>
      </c>
      <c r="B338" s="40"/>
      <c r="C338" s="41"/>
      <c r="D338" s="38"/>
      <c r="E338" s="38"/>
    </row>
    <row r="339" spans="1:5">
      <c r="A339" s="36" t="s">
        <v>510</v>
      </c>
      <c r="B339" s="40"/>
      <c r="C339" s="41"/>
      <c r="D339" s="38"/>
      <c r="E339" s="38"/>
    </row>
    <row r="340" spans="1:5">
      <c r="A340" s="36" t="s">
        <v>511</v>
      </c>
      <c r="B340" s="40"/>
      <c r="C340" s="41"/>
      <c r="D340" s="38"/>
      <c r="E340" s="38"/>
    </row>
    <row r="341" spans="1:5">
      <c r="A341" s="36" t="s">
        <v>512</v>
      </c>
      <c r="B341" s="40"/>
      <c r="C341" s="41"/>
      <c r="D341" s="38"/>
      <c r="E341" s="38"/>
    </row>
    <row r="342" spans="1:5">
      <c r="A342" s="36" t="s">
        <v>513</v>
      </c>
      <c r="B342" s="40"/>
      <c r="C342" s="41"/>
      <c r="D342" s="38"/>
      <c r="E342" s="38"/>
    </row>
    <row r="343" spans="1:5">
      <c r="A343" s="36" t="s">
        <v>514</v>
      </c>
      <c r="B343" s="40"/>
      <c r="C343" s="41"/>
      <c r="D343" s="38"/>
      <c r="E343" s="38"/>
    </row>
    <row r="344" spans="1:5">
      <c r="A344" s="36" t="s">
        <v>515</v>
      </c>
      <c r="B344" s="40"/>
      <c r="C344" s="41"/>
      <c r="D344" s="38"/>
      <c r="E344" s="38"/>
    </row>
    <row r="345" spans="1:5">
      <c r="A345" s="36" t="s">
        <v>516</v>
      </c>
      <c r="B345" s="40"/>
      <c r="C345" s="41"/>
      <c r="D345" s="38"/>
      <c r="E345" s="38"/>
    </row>
    <row r="346" spans="1:5">
      <c r="A346" s="36" t="s">
        <v>517</v>
      </c>
      <c r="B346" s="40"/>
      <c r="C346" s="41"/>
      <c r="D346" s="38"/>
      <c r="E346" s="38"/>
    </row>
    <row r="347" spans="1:5">
      <c r="A347" s="36" t="s">
        <v>518</v>
      </c>
      <c r="B347" s="40"/>
      <c r="C347" s="41"/>
      <c r="D347" s="38"/>
      <c r="E347" s="38"/>
    </row>
    <row r="348" spans="1:5">
      <c r="A348" s="36" t="s">
        <v>519</v>
      </c>
      <c r="B348" s="40"/>
      <c r="C348" s="41"/>
      <c r="D348" s="38"/>
      <c r="E348" s="38"/>
    </row>
    <row r="349" spans="1:5">
      <c r="A349" s="36" t="s">
        <v>520</v>
      </c>
      <c r="B349" s="40"/>
      <c r="C349" s="41"/>
      <c r="D349" s="38"/>
      <c r="E349" s="38"/>
    </row>
    <row r="350" spans="1:5">
      <c r="A350" s="36" t="s">
        <v>521</v>
      </c>
      <c r="B350" s="40"/>
      <c r="C350" s="41"/>
      <c r="D350" s="38"/>
      <c r="E350" s="38"/>
    </row>
    <row r="351" spans="1:5">
      <c r="A351" s="36" t="s">
        <v>522</v>
      </c>
      <c r="B351" s="40"/>
      <c r="C351" s="41"/>
      <c r="D351" s="38"/>
      <c r="E351" s="38"/>
    </row>
    <row r="352" spans="1:5">
      <c r="A352" s="36" t="s">
        <v>523</v>
      </c>
      <c r="B352" s="40"/>
      <c r="C352" s="41"/>
      <c r="D352" s="38"/>
      <c r="E352" s="38"/>
    </row>
    <row r="353" spans="1:5">
      <c r="A353" s="36" t="s">
        <v>524</v>
      </c>
      <c r="B353" s="40"/>
      <c r="C353" s="41"/>
      <c r="D353" s="38"/>
      <c r="E353" s="38"/>
    </row>
    <row r="354" spans="1:5">
      <c r="A354" s="36" t="s">
        <v>525</v>
      </c>
      <c r="B354" s="40"/>
      <c r="C354" s="41"/>
      <c r="D354" s="38"/>
      <c r="E354" s="38"/>
    </row>
    <row r="355" spans="1:5">
      <c r="A355" s="36" t="s">
        <v>526</v>
      </c>
      <c r="B355" s="40"/>
      <c r="C355" s="41"/>
      <c r="D355" s="38"/>
      <c r="E355" s="38"/>
    </row>
    <row r="356" spans="1:5">
      <c r="A356" s="36" t="s">
        <v>527</v>
      </c>
      <c r="B356" s="40"/>
      <c r="C356" s="41"/>
      <c r="D356" s="38"/>
      <c r="E356" s="38"/>
    </row>
    <row r="357" spans="1:5">
      <c r="A357" s="36" t="s">
        <v>528</v>
      </c>
      <c r="B357" s="40"/>
      <c r="C357" s="41"/>
      <c r="D357" s="38"/>
      <c r="E357" s="38"/>
    </row>
    <row r="358" spans="1:5">
      <c r="A358" s="36" t="s">
        <v>529</v>
      </c>
      <c r="B358" s="40"/>
      <c r="C358" s="41"/>
      <c r="D358" s="38"/>
      <c r="E358" s="38"/>
    </row>
    <row r="359" spans="1:5">
      <c r="A359" s="36" t="s">
        <v>530</v>
      </c>
      <c r="B359" s="40"/>
      <c r="C359" s="41"/>
      <c r="D359" s="38"/>
      <c r="E359" s="38"/>
    </row>
    <row r="360" spans="1:5">
      <c r="A360" s="36" t="s">
        <v>531</v>
      </c>
      <c r="B360" s="40"/>
      <c r="C360" s="41"/>
      <c r="D360" s="38"/>
      <c r="E360" s="38"/>
    </row>
    <row r="361" spans="1:5">
      <c r="A361" s="36" t="s">
        <v>532</v>
      </c>
      <c r="B361" s="40"/>
      <c r="C361" s="41"/>
      <c r="D361" s="38"/>
      <c r="E361" s="38"/>
    </row>
    <row r="362" spans="1:5">
      <c r="A362" s="36" t="s">
        <v>533</v>
      </c>
      <c r="B362" s="40"/>
      <c r="C362" s="41"/>
      <c r="D362" s="38"/>
      <c r="E362" s="38"/>
    </row>
    <row r="363" spans="1:5">
      <c r="A363" s="36" t="s">
        <v>534</v>
      </c>
      <c r="B363" s="40"/>
      <c r="C363" s="41"/>
      <c r="D363" s="38"/>
      <c r="E363" s="38"/>
    </row>
    <row r="364" spans="1:5">
      <c r="A364" s="36" t="s">
        <v>535</v>
      </c>
      <c r="B364" s="40"/>
      <c r="C364" s="41"/>
      <c r="D364" s="38"/>
      <c r="E364" s="38"/>
    </row>
    <row r="365" spans="1:5">
      <c r="A365" s="36" t="s">
        <v>536</v>
      </c>
      <c r="B365" s="40"/>
      <c r="C365" s="41"/>
      <c r="D365" s="38"/>
      <c r="E365" s="38"/>
    </row>
    <row r="366" spans="1:5">
      <c r="A366" s="36" t="s">
        <v>537</v>
      </c>
      <c r="B366" s="40"/>
      <c r="C366" s="41"/>
      <c r="D366" s="38"/>
      <c r="E366" s="38"/>
    </row>
    <row r="367" spans="1:5">
      <c r="A367" s="36" t="s">
        <v>538</v>
      </c>
      <c r="B367" s="40"/>
      <c r="C367" s="41"/>
      <c r="D367" s="38"/>
      <c r="E367" s="38"/>
    </row>
    <row r="368" spans="1:5">
      <c r="A368" s="36" t="s">
        <v>539</v>
      </c>
      <c r="B368" s="40"/>
      <c r="C368" s="41"/>
      <c r="D368" s="38"/>
      <c r="E368" s="38"/>
    </row>
    <row r="369" spans="1:5">
      <c r="A369" s="36" t="s">
        <v>540</v>
      </c>
      <c r="B369" s="40"/>
      <c r="C369" s="41"/>
      <c r="D369" s="38"/>
      <c r="E369" s="38"/>
    </row>
    <row r="370" spans="1:5">
      <c r="A370" s="36" t="s">
        <v>541</v>
      </c>
      <c r="B370" s="40"/>
      <c r="C370" s="41"/>
      <c r="D370" s="38"/>
      <c r="E370" s="38"/>
    </row>
    <row r="371" spans="1:5">
      <c r="A371" s="36" t="s">
        <v>542</v>
      </c>
      <c r="B371" s="40"/>
      <c r="C371" s="41"/>
      <c r="D371" s="38"/>
      <c r="E371" s="38"/>
    </row>
    <row r="372" spans="1:5">
      <c r="A372" s="36" t="s">
        <v>543</v>
      </c>
      <c r="B372" s="40"/>
      <c r="C372" s="41"/>
      <c r="D372" s="38"/>
      <c r="E372" s="38"/>
    </row>
    <row r="373" spans="1:5">
      <c r="A373" s="36" t="s">
        <v>544</v>
      </c>
      <c r="B373" s="40"/>
      <c r="C373" s="41"/>
      <c r="D373" s="38"/>
      <c r="E373" s="38"/>
    </row>
    <row r="374" spans="1:5">
      <c r="A374" s="36" t="s">
        <v>545</v>
      </c>
      <c r="B374" s="40"/>
      <c r="C374" s="41"/>
      <c r="D374" s="38"/>
      <c r="E374" s="38"/>
    </row>
    <row r="375" spans="1:5">
      <c r="A375" s="36" t="s">
        <v>546</v>
      </c>
      <c r="B375" s="40"/>
      <c r="C375" s="41"/>
      <c r="D375" s="38"/>
      <c r="E375" s="38"/>
    </row>
    <row r="376" spans="1:5">
      <c r="A376" s="36" t="s">
        <v>547</v>
      </c>
      <c r="B376" s="40"/>
      <c r="C376" s="41"/>
      <c r="D376" s="38"/>
      <c r="E376" s="38"/>
    </row>
    <row r="377" spans="1:5">
      <c r="A377" s="36" t="s">
        <v>548</v>
      </c>
      <c r="B377" s="40"/>
      <c r="C377" s="41"/>
      <c r="D377" s="38"/>
      <c r="E377" s="38"/>
    </row>
    <row r="378" spans="1:5">
      <c r="A378" s="36" t="s">
        <v>549</v>
      </c>
      <c r="B378" s="40"/>
      <c r="C378" s="41"/>
      <c r="D378" s="38"/>
      <c r="E378" s="38"/>
    </row>
    <row r="379" spans="1:5">
      <c r="A379" s="36" t="s">
        <v>550</v>
      </c>
      <c r="B379" s="40"/>
      <c r="C379" s="41"/>
      <c r="D379" s="38"/>
      <c r="E379" s="38"/>
    </row>
    <row r="380" spans="1:5">
      <c r="A380" s="36" t="s">
        <v>551</v>
      </c>
      <c r="B380" s="40"/>
      <c r="C380" s="41"/>
      <c r="D380" s="38"/>
      <c r="E380" s="38"/>
    </row>
    <row r="381" spans="1:5">
      <c r="A381" s="36" t="s">
        <v>552</v>
      </c>
      <c r="B381" s="40"/>
      <c r="C381" s="41"/>
      <c r="D381" s="38"/>
      <c r="E381" s="38"/>
    </row>
    <row r="382" spans="1:5">
      <c r="A382" s="36" t="s">
        <v>553</v>
      </c>
      <c r="B382" s="40"/>
      <c r="C382" s="41"/>
      <c r="D382" s="38"/>
      <c r="E382" s="38"/>
    </row>
    <row r="383" spans="1:5">
      <c r="A383" s="36" t="s">
        <v>554</v>
      </c>
      <c r="B383" s="40"/>
      <c r="C383" s="41"/>
      <c r="D383" s="38"/>
      <c r="E383" s="38"/>
    </row>
    <row r="384" spans="1:5">
      <c r="A384" s="36" t="s">
        <v>555</v>
      </c>
      <c r="B384" s="40"/>
      <c r="C384" s="41"/>
      <c r="D384" s="38"/>
      <c r="E384" s="38"/>
    </row>
    <row r="385" spans="1:5">
      <c r="A385" s="36" t="s">
        <v>556</v>
      </c>
      <c r="B385" s="40"/>
      <c r="C385" s="41"/>
      <c r="D385" s="38"/>
      <c r="E385" s="38"/>
    </row>
    <row r="386" spans="1:5">
      <c r="A386" s="36" t="s">
        <v>557</v>
      </c>
      <c r="B386" s="40"/>
      <c r="C386" s="41"/>
      <c r="D386" s="38"/>
      <c r="E386" s="38"/>
    </row>
    <row r="387" spans="1:5">
      <c r="A387" s="36" t="s">
        <v>558</v>
      </c>
      <c r="B387" s="40"/>
      <c r="C387" s="41"/>
      <c r="D387" s="38"/>
      <c r="E387" s="38"/>
    </row>
    <row r="388" spans="1:5">
      <c r="A388" s="36" t="s">
        <v>559</v>
      </c>
      <c r="B388" s="40"/>
      <c r="C388" s="41"/>
      <c r="D388" s="38"/>
      <c r="E388" s="38"/>
    </row>
    <row r="389" spans="1:5">
      <c r="A389" s="36" t="s">
        <v>560</v>
      </c>
      <c r="B389" s="40"/>
      <c r="C389" s="41"/>
      <c r="D389" s="38"/>
      <c r="E389" s="38"/>
    </row>
    <row r="390" spans="1:5">
      <c r="A390" s="36" t="s">
        <v>561</v>
      </c>
      <c r="B390" s="40"/>
      <c r="C390" s="41"/>
      <c r="D390" s="38"/>
      <c r="E390" s="38"/>
    </row>
    <row r="391" spans="1:5">
      <c r="A391" s="36" t="s">
        <v>562</v>
      </c>
      <c r="B391" s="40"/>
      <c r="C391" s="41"/>
      <c r="D391" s="38"/>
      <c r="E391" s="38"/>
    </row>
    <row r="392" spans="1:5">
      <c r="A392" s="36" t="s">
        <v>563</v>
      </c>
      <c r="B392" s="40"/>
      <c r="C392" s="41"/>
      <c r="D392" s="38"/>
      <c r="E392" s="38"/>
    </row>
    <row r="393" spans="1:5">
      <c r="A393" s="36" t="s">
        <v>564</v>
      </c>
      <c r="B393" s="40"/>
      <c r="C393" s="41"/>
      <c r="D393" s="38"/>
      <c r="E393" s="38"/>
    </row>
    <row r="394" spans="1:5">
      <c r="A394" s="36" t="s">
        <v>565</v>
      </c>
      <c r="B394" s="40"/>
      <c r="C394" s="41"/>
      <c r="D394" s="38"/>
      <c r="E394" s="38"/>
    </row>
    <row r="395" spans="1:5">
      <c r="A395" s="36" t="s">
        <v>566</v>
      </c>
      <c r="B395" s="40"/>
      <c r="C395" s="41"/>
      <c r="D395" s="38"/>
      <c r="E395" s="38"/>
    </row>
    <row r="396" spans="1:5">
      <c r="A396" s="36" t="s">
        <v>567</v>
      </c>
      <c r="B396" s="40"/>
      <c r="C396" s="41"/>
      <c r="D396" s="38"/>
      <c r="E396" s="38"/>
    </row>
    <row r="397" spans="1:5">
      <c r="A397" s="36" t="s">
        <v>568</v>
      </c>
      <c r="B397" s="40"/>
      <c r="C397" s="41"/>
      <c r="D397" s="38"/>
      <c r="E397" s="38"/>
    </row>
    <row r="398" spans="1:5">
      <c r="A398" s="36" t="s">
        <v>569</v>
      </c>
      <c r="B398" s="40"/>
      <c r="C398" s="41"/>
      <c r="D398" s="38"/>
      <c r="E398" s="38"/>
    </row>
    <row r="399" spans="1:5">
      <c r="A399" s="36" t="s">
        <v>570</v>
      </c>
      <c r="B399" s="40"/>
      <c r="C399" s="41"/>
      <c r="D399" s="38"/>
      <c r="E399" s="38"/>
    </row>
    <row r="400" spans="1:5">
      <c r="A400" s="36" t="s">
        <v>571</v>
      </c>
      <c r="B400" s="40"/>
      <c r="C400" s="41"/>
      <c r="D400" s="38"/>
      <c r="E400" s="38"/>
    </row>
    <row r="401" spans="1:5">
      <c r="A401" s="36" t="s">
        <v>572</v>
      </c>
      <c r="B401" s="40"/>
      <c r="C401" s="41"/>
      <c r="D401" s="38"/>
      <c r="E401" s="38"/>
    </row>
    <row r="402" spans="1:5">
      <c r="A402" s="36" t="s">
        <v>573</v>
      </c>
      <c r="B402" s="40"/>
      <c r="C402" s="41"/>
      <c r="D402" s="38"/>
      <c r="E402" s="38"/>
    </row>
    <row r="403" spans="1:5">
      <c r="A403" s="36" t="s">
        <v>574</v>
      </c>
      <c r="B403" s="40"/>
      <c r="C403" s="41"/>
      <c r="D403" s="38"/>
      <c r="E403" s="38"/>
    </row>
    <row r="404" spans="1:5">
      <c r="A404" s="36" t="s">
        <v>575</v>
      </c>
      <c r="B404" s="40"/>
      <c r="C404" s="41"/>
      <c r="D404" s="38"/>
      <c r="E404" s="38"/>
    </row>
    <row r="405" spans="1:5">
      <c r="A405" s="36" t="s">
        <v>576</v>
      </c>
      <c r="B405" s="40"/>
      <c r="C405" s="41"/>
      <c r="D405" s="38"/>
      <c r="E405" s="38"/>
    </row>
    <row r="406" spans="1:5">
      <c r="A406" s="36" t="s">
        <v>577</v>
      </c>
      <c r="B406" s="40"/>
      <c r="C406" s="41"/>
      <c r="D406" s="38"/>
      <c r="E406" s="38"/>
    </row>
    <row r="407" spans="1:5">
      <c r="A407" s="36" t="s">
        <v>578</v>
      </c>
      <c r="B407" s="40"/>
      <c r="C407" s="41"/>
      <c r="D407" s="38"/>
      <c r="E407" s="38"/>
    </row>
    <row r="408" spans="1:5">
      <c r="A408" s="36" t="s">
        <v>579</v>
      </c>
      <c r="B408" s="40"/>
      <c r="C408" s="41"/>
      <c r="D408" s="38"/>
      <c r="E408" s="38"/>
    </row>
    <row r="409" spans="1:5">
      <c r="A409" s="36" t="s">
        <v>580</v>
      </c>
      <c r="B409" s="40"/>
      <c r="C409" s="41"/>
      <c r="D409" s="38"/>
      <c r="E409" s="38"/>
    </row>
    <row r="410" spans="1:5">
      <c r="A410" s="36" t="s">
        <v>581</v>
      </c>
      <c r="B410" s="40"/>
      <c r="C410" s="41"/>
      <c r="D410" s="38"/>
      <c r="E410" s="38"/>
    </row>
    <row r="411" spans="1:5">
      <c r="A411" s="36" t="s">
        <v>582</v>
      </c>
      <c r="B411" s="40"/>
      <c r="C411" s="41"/>
      <c r="D411" s="38"/>
      <c r="E411" s="38"/>
    </row>
    <row r="412" spans="1:5">
      <c r="A412" s="36" t="s">
        <v>583</v>
      </c>
      <c r="B412" s="40"/>
      <c r="C412" s="41"/>
      <c r="D412" s="38"/>
      <c r="E412" s="38"/>
    </row>
    <row r="413" spans="1:5">
      <c r="A413" s="36" t="s">
        <v>584</v>
      </c>
      <c r="B413" s="40"/>
      <c r="C413" s="41"/>
      <c r="D413" s="38"/>
      <c r="E413" s="38"/>
    </row>
    <row r="414" spans="1:5">
      <c r="A414" s="36" t="s">
        <v>585</v>
      </c>
      <c r="B414" s="40"/>
      <c r="C414" s="41"/>
      <c r="D414" s="38"/>
      <c r="E414" s="38"/>
    </row>
    <row r="415" spans="1:5">
      <c r="A415" s="36" t="s">
        <v>586</v>
      </c>
      <c r="B415" s="40"/>
      <c r="C415" s="41"/>
      <c r="D415" s="38"/>
      <c r="E415" s="38"/>
    </row>
    <row r="416" spans="1:5">
      <c r="A416" s="36" t="s">
        <v>587</v>
      </c>
      <c r="B416" s="40"/>
      <c r="C416" s="41"/>
      <c r="D416" s="38"/>
      <c r="E416" s="38"/>
    </row>
    <row r="417" spans="1:5">
      <c r="A417" s="36" t="s">
        <v>588</v>
      </c>
      <c r="B417" s="40"/>
      <c r="C417" s="41"/>
      <c r="D417" s="38"/>
      <c r="E417" s="38"/>
    </row>
    <row r="418" spans="1:5">
      <c r="A418" s="36" t="s">
        <v>589</v>
      </c>
      <c r="B418" s="40"/>
      <c r="C418" s="41"/>
      <c r="D418" s="38"/>
      <c r="E418" s="38"/>
    </row>
    <row r="419" spans="1:5">
      <c r="A419" s="36" t="s">
        <v>590</v>
      </c>
      <c r="B419" s="40"/>
      <c r="C419" s="41"/>
      <c r="D419" s="38"/>
      <c r="E419" s="38"/>
    </row>
    <row r="420" spans="1:5">
      <c r="A420" s="36" t="s">
        <v>591</v>
      </c>
      <c r="B420" s="40"/>
      <c r="C420" s="41"/>
      <c r="D420" s="38"/>
      <c r="E420" s="38"/>
    </row>
    <row r="421" spans="1:5">
      <c r="A421" s="36" t="s">
        <v>592</v>
      </c>
      <c r="B421" s="40"/>
      <c r="C421" s="41"/>
      <c r="D421" s="38"/>
      <c r="E421" s="38"/>
    </row>
    <row r="422" spans="1:5">
      <c r="A422" s="36" t="s">
        <v>593</v>
      </c>
      <c r="B422" s="40"/>
      <c r="C422" s="41"/>
      <c r="D422" s="38"/>
      <c r="E422" s="38"/>
    </row>
    <row r="423" spans="1:5">
      <c r="A423" s="36" t="s">
        <v>594</v>
      </c>
      <c r="B423" s="40"/>
      <c r="C423" s="41"/>
      <c r="D423" s="38"/>
      <c r="E423" s="38"/>
    </row>
    <row r="424" spans="1:5">
      <c r="A424" s="36" t="s">
        <v>595</v>
      </c>
      <c r="B424" s="40"/>
      <c r="C424" s="41"/>
      <c r="D424" s="38"/>
      <c r="E424" s="38"/>
    </row>
    <row r="425" spans="1:5">
      <c r="A425" s="36" t="s">
        <v>596</v>
      </c>
      <c r="B425" s="40"/>
      <c r="C425" s="41"/>
      <c r="D425" s="38"/>
      <c r="E425" s="38"/>
    </row>
    <row r="426" spans="1:5">
      <c r="A426" s="36" t="s">
        <v>597</v>
      </c>
      <c r="B426" s="40"/>
      <c r="C426" s="41"/>
      <c r="D426" s="38"/>
      <c r="E426" s="38"/>
    </row>
    <row r="427" spans="1:5">
      <c r="A427" s="36" t="s">
        <v>598</v>
      </c>
      <c r="B427" s="40"/>
      <c r="C427" s="41"/>
      <c r="D427" s="38"/>
      <c r="E427" s="38"/>
    </row>
    <row r="428" spans="1:5">
      <c r="A428" s="36" t="s">
        <v>599</v>
      </c>
      <c r="B428" s="40"/>
      <c r="C428" s="41"/>
      <c r="D428" s="38"/>
      <c r="E428" s="38"/>
    </row>
    <row r="429" spans="1:5">
      <c r="A429" s="36" t="s">
        <v>600</v>
      </c>
      <c r="B429" s="40"/>
      <c r="C429" s="41"/>
      <c r="D429" s="38"/>
      <c r="E429" s="38"/>
    </row>
    <row r="430" spans="1:5">
      <c r="A430" s="36" t="s">
        <v>601</v>
      </c>
      <c r="B430" s="40"/>
      <c r="C430" s="41"/>
      <c r="D430" s="38"/>
      <c r="E430" s="38"/>
    </row>
    <row r="431" spans="1:5">
      <c r="A431" s="36" t="s">
        <v>602</v>
      </c>
      <c r="B431" s="40"/>
      <c r="C431" s="41"/>
      <c r="D431" s="38"/>
      <c r="E431" s="38"/>
    </row>
    <row r="432" spans="1:5">
      <c r="A432" s="36" t="s">
        <v>603</v>
      </c>
      <c r="B432" s="40"/>
      <c r="C432" s="41"/>
      <c r="D432" s="38"/>
      <c r="E432" s="38"/>
    </row>
    <row r="433" spans="1:5">
      <c r="A433" s="36" t="s">
        <v>604</v>
      </c>
      <c r="B433" s="40"/>
      <c r="C433" s="41"/>
      <c r="D433" s="38"/>
      <c r="E433" s="38"/>
    </row>
    <row r="434" spans="1:5">
      <c r="A434" s="36" t="s">
        <v>605</v>
      </c>
      <c r="B434" s="40"/>
      <c r="C434" s="41"/>
      <c r="D434" s="38"/>
      <c r="E434" s="38"/>
    </row>
    <row r="435" spans="1:5">
      <c r="A435" s="36" t="s">
        <v>606</v>
      </c>
      <c r="B435" s="40"/>
      <c r="C435" s="41"/>
      <c r="D435" s="38"/>
      <c r="E435" s="38"/>
    </row>
    <row r="436" spans="1:5">
      <c r="A436" s="36" t="s">
        <v>607</v>
      </c>
      <c r="B436" s="40"/>
      <c r="C436" s="41"/>
      <c r="D436" s="38"/>
      <c r="E436" s="38"/>
    </row>
    <row r="437" spans="1:5">
      <c r="A437" s="36" t="s">
        <v>608</v>
      </c>
      <c r="B437" s="40"/>
      <c r="C437" s="41"/>
      <c r="D437" s="38"/>
      <c r="E437" s="38"/>
    </row>
    <row r="438" spans="1:5">
      <c r="A438" s="36" t="s">
        <v>609</v>
      </c>
      <c r="B438" s="40"/>
      <c r="C438" s="41"/>
      <c r="D438" s="38"/>
      <c r="E438" s="38"/>
    </row>
    <row r="439" spans="1:5">
      <c r="A439" s="36" t="s">
        <v>610</v>
      </c>
      <c r="B439" s="40"/>
      <c r="C439" s="41"/>
      <c r="D439" s="38"/>
      <c r="E439" s="38"/>
    </row>
    <row r="440" spans="1:5">
      <c r="A440" s="36" t="s">
        <v>611</v>
      </c>
      <c r="B440" s="40"/>
      <c r="C440" s="41"/>
      <c r="D440" s="38"/>
      <c r="E440" s="38"/>
    </row>
    <row r="441" spans="1:5">
      <c r="A441" s="36" t="s">
        <v>612</v>
      </c>
      <c r="B441" s="40"/>
      <c r="C441" s="41"/>
      <c r="D441" s="38"/>
      <c r="E441" s="38"/>
    </row>
    <row r="442" spans="1:5">
      <c r="A442" s="36" t="s">
        <v>613</v>
      </c>
      <c r="B442" s="40"/>
      <c r="C442" s="41"/>
      <c r="D442" s="38"/>
      <c r="E442" s="38"/>
    </row>
    <row r="443" spans="1:5">
      <c r="A443" s="36" t="s">
        <v>614</v>
      </c>
      <c r="B443" s="40"/>
      <c r="C443" s="41"/>
      <c r="D443" s="38"/>
      <c r="E443" s="38"/>
    </row>
    <row r="444" spans="1:5">
      <c r="A444" s="36" t="s">
        <v>615</v>
      </c>
      <c r="B444" s="40"/>
      <c r="C444" s="41"/>
      <c r="D444" s="38"/>
      <c r="E444" s="38"/>
    </row>
    <row r="445" spans="1:5">
      <c r="A445" s="36" t="s">
        <v>616</v>
      </c>
      <c r="B445" s="40"/>
      <c r="C445" s="41"/>
      <c r="D445" s="38"/>
      <c r="E445" s="38"/>
    </row>
    <row r="446" spans="1:5">
      <c r="A446" s="36" t="s">
        <v>617</v>
      </c>
      <c r="B446" s="40"/>
      <c r="C446" s="41"/>
      <c r="D446" s="38"/>
      <c r="E446" s="38"/>
    </row>
    <row r="447" spans="1:5">
      <c r="A447" s="36" t="s">
        <v>618</v>
      </c>
      <c r="B447" s="40"/>
      <c r="C447" s="41"/>
      <c r="D447" s="38"/>
      <c r="E447" s="38"/>
    </row>
    <row r="448" spans="1:5">
      <c r="A448" s="36" t="s">
        <v>619</v>
      </c>
      <c r="B448" s="40"/>
      <c r="C448" s="41"/>
      <c r="D448" s="38"/>
      <c r="E448" s="38"/>
    </row>
    <row r="449" spans="1:5">
      <c r="A449" s="36" t="s">
        <v>620</v>
      </c>
      <c r="B449" s="40"/>
      <c r="C449" s="41"/>
      <c r="D449" s="38"/>
      <c r="E449" s="38"/>
    </row>
    <row r="450" spans="1:5">
      <c r="A450" s="36" t="s">
        <v>621</v>
      </c>
      <c r="B450" s="40"/>
      <c r="C450" s="41"/>
      <c r="D450" s="38"/>
      <c r="E450" s="38"/>
    </row>
    <row r="451" spans="1:5">
      <c r="A451" s="36" t="s">
        <v>622</v>
      </c>
      <c r="B451" s="40"/>
      <c r="C451" s="41"/>
      <c r="D451" s="38"/>
      <c r="E451" s="38"/>
    </row>
    <row r="452" spans="1:5">
      <c r="A452" s="36" t="s">
        <v>623</v>
      </c>
      <c r="B452" s="40"/>
      <c r="C452" s="41"/>
      <c r="D452" s="38"/>
      <c r="E452" s="38"/>
    </row>
    <row r="453" spans="1:5">
      <c r="A453" s="36" t="s">
        <v>624</v>
      </c>
      <c r="B453" s="40"/>
      <c r="C453" s="41"/>
      <c r="D453" s="38"/>
      <c r="E453" s="38"/>
    </row>
    <row r="454" spans="1:5">
      <c r="A454" s="36" t="s">
        <v>625</v>
      </c>
      <c r="B454" s="40"/>
      <c r="C454" s="41"/>
      <c r="D454" s="38"/>
      <c r="E454" s="38"/>
    </row>
    <row r="455" spans="1:5">
      <c r="A455" s="36" t="s">
        <v>626</v>
      </c>
      <c r="B455" s="40"/>
      <c r="C455" s="41"/>
      <c r="D455" s="38"/>
      <c r="E455" s="38"/>
    </row>
    <row r="456" spans="1:5">
      <c r="A456" s="36" t="s">
        <v>627</v>
      </c>
      <c r="B456" s="40"/>
      <c r="C456" s="41"/>
      <c r="D456" s="38"/>
      <c r="E456" s="38"/>
    </row>
    <row r="457" spans="1:5">
      <c r="A457" s="36" t="s">
        <v>628</v>
      </c>
      <c r="B457" s="40"/>
      <c r="C457" s="41"/>
      <c r="D457" s="38"/>
      <c r="E457" s="38"/>
    </row>
    <row r="458" spans="1:5">
      <c r="A458" s="36" t="s">
        <v>629</v>
      </c>
      <c r="B458" s="40"/>
      <c r="C458" s="41"/>
      <c r="D458" s="38"/>
      <c r="E458" s="38"/>
    </row>
    <row r="459" spans="1:5">
      <c r="A459" s="36" t="s">
        <v>630</v>
      </c>
      <c r="B459" s="40"/>
      <c r="C459" s="41"/>
      <c r="D459" s="38"/>
      <c r="E459" s="38"/>
    </row>
    <row r="460" spans="1:5">
      <c r="A460" s="36" t="s">
        <v>631</v>
      </c>
      <c r="B460" s="40"/>
      <c r="C460" s="41"/>
      <c r="D460" s="38"/>
      <c r="E460" s="38"/>
    </row>
    <row r="461" spans="1:5">
      <c r="A461" s="36" t="s">
        <v>632</v>
      </c>
      <c r="B461" s="40"/>
      <c r="C461" s="41"/>
      <c r="D461" s="38"/>
      <c r="E461" s="38"/>
    </row>
    <row r="462" spans="1:5">
      <c r="A462" s="36" t="s">
        <v>633</v>
      </c>
      <c r="B462" s="40"/>
      <c r="C462" s="41"/>
      <c r="D462" s="38"/>
      <c r="E462" s="38"/>
    </row>
    <row r="463" spans="1:5">
      <c r="A463" s="36" t="s">
        <v>634</v>
      </c>
      <c r="B463" s="40"/>
      <c r="C463" s="41"/>
      <c r="D463" s="38"/>
      <c r="E463" s="38"/>
    </row>
    <row r="464" spans="1:5">
      <c r="A464" s="36" t="s">
        <v>635</v>
      </c>
      <c r="B464" s="40"/>
      <c r="C464" s="41"/>
      <c r="D464" s="38"/>
      <c r="E464" s="38"/>
    </row>
    <row r="465" spans="1:5">
      <c r="A465" s="36" t="s">
        <v>636</v>
      </c>
      <c r="B465" s="40"/>
      <c r="C465" s="41"/>
      <c r="D465" s="38"/>
      <c r="E465" s="38"/>
    </row>
    <row r="466" spans="1:5">
      <c r="A466" s="36" t="s">
        <v>637</v>
      </c>
      <c r="B466" s="40"/>
      <c r="C466" s="41"/>
      <c r="D466" s="38"/>
      <c r="E466" s="38"/>
    </row>
    <row r="467" spans="1:5">
      <c r="A467" s="36" t="s">
        <v>638</v>
      </c>
      <c r="B467" s="40"/>
      <c r="C467" s="41"/>
      <c r="D467" s="38"/>
      <c r="E467" s="38"/>
    </row>
    <row r="468" spans="1:5">
      <c r="A468" s="36" t="s">
        <v>639</v>
      </c>
      <c r="B468" s="40"/>
      <c r="C468" s="41"/>
      <c r="D468" s="38"/>
      <c r="E468" s="38"/>
    </row>
    <row r="469" spans="1:5">
      <c r="A469" s="36" t="s">
        <v>640</v>
      </c>
      <c r="B469" s="40"/>
      <c r="C469" s="41"/>
      <c r="D469" s="38"/>
      <c r="E469" s="38"/>
    </row>
    <row r="470" spans="1:5">
      <c r="A470" s="36" t="s">
        <v>641</v>
      </c>
      <c r="B470" s="40"/>
      <c r="C470" s="41"/>
      <c r="D470" s="38"/>
      <c r="E470" s="38"/>
    </row>
    <row r="471" spans="1:5">
      <c r="A471" s="36" t="s">
        <v>642</v>
      </c>
      <c r="B471" s="40"/>
      <c r="C471" s="41"/>
      <c r="D471" s="38"/>
      <c r="E471" s="38"/>
    </row>
    <row r="472" spans="1:5">
      <c r="A472" s="36" t="s">
        <v>643</v>
      </c>
      <c r="B472" s="40"/>
      <c r="C472" s="41"/>
      <c r="D472" s="38"/>
      <c r="E472" s="38"/>
    </row>
    <row r="473" spans="1:5">
      <c r="A473" s="36" t="s">
        <v>644</v>
      </c>
      <c r="B473" s="40"/>
      <c r="C473" s="41"/>
      <c r="D473" s="38"/>
      <c r="E473" s="38"/>
    </row>
    <row r="474" spans="1:5">
      <c r="A474" s="36" t="s">
        <v>645</v>
      </c>
      <c r="B474" s="40"/>
      <c r="C474" s="41"/>
      <c r="D474" s="38"/>
      <c r="E474" s="38"/>
    </row>
    <row r="475" spans="1:5">
      <c r="A475" s="36" t="s">
        <v>646</v>
      </c>
      <c r="B475" s="40"/>
      <c r="C475" s="41"/>
      <c r="D475" s="38"/>
      <c r="E475" s="38"/>
    </row>
    <row r="476" spans="1:5">
      <c r="A476" s="36" t="s">
        <v>647</v>
      </c>
      <c r="B476" s="40"/>
      <c r="C476" s="41"/>
      <c r="D476" s="38"/>
      <c r="E476" s="38"/>
    </row>
    <row r="477" spans="1:5">
      <c r="A477" s="36" t="s">
        <v>648</v>
      </c>
      <c r="B477" s="40"/>
      <c r="C477" s="41"/>
      <c r="D477" s="38"/>
      <c r="E477" s="38"/>
    </row>
    <row r="478" spans="1:5">
      <c r="A478" s="36" t="s">
        <v>649</v>
      </c>
      <c r="B478" s="40"/>
      <c r="C478" s="41"/>
      <c r="D478" s="38"/>
      <c r="E478" s="38"/>
    </row>
    <row r="479" spans="1:5">
      <c r="A479" s="36" t="s">
        <v>650</v>
      </c>
      <c r="B479" s="40"/>
      <c r="C479" s="41"/>
      <c r="D479" s="38"/>
      <c r="E479" s="38"/>
    </row>
    <row r="480" spans="1:5">
      <c r="A480" s="36" t="s">
        <v>651</v>
      </c>
      <c r="B480" s="40"/>
      <c r="C480" s="41"/>
      <c r="D480" s="38"/>
      <c r="E480" s="38"/>
    </row>
    <row r="481" spans="1:5">
      <c r="A481" s="36" t="s">
        <v>652</v>
      </c>
      <c r="B481" s="40"/>
      <c r="C481" s="41"/>
      <c r="D481" s="38"/>
      <c r="E481" s="38"/>
    </row>
    <row r="482" spans="1:5">
      <c r="A482" s="36" t="s">
        <v>653</v>
      </c>
      <c r="B482" s="40"/>
      <c r="C482" s="41"/>
      <c r="D482" s="38"/>
      <c r="E482" s="38"/>
    </row>
    <row r="483" spans="1:5">
      <c r="A483" s="36" t="s">
        <v>654</v>
      </c>
      <c r="B483" s="40"/>
      <c r="C483" s="41"/>
      <c r="D483" s="38"/>
      <c r="E483" s="38"/>
    </row>
    <row r="484" spans="1:5">
      <c r="A484" s="36" t="s">
        <v>655</v>
      </c>
      <c r="B484" s="40"/>
      <c r="C484" s="41"/>
      <c r="D484" s="38"/>
      <c r="E484" s="38"/>
    </row>
    <row r="485" spans="1:5">
      <c r="A485" s="36" t="s">
        <v>656</v>
      </c>
      <c r="B485" s="40"/>
      <c r="C485" s="41"/>
      <c r="D485" s="38"/>
      <c r="E485" s="38"/>
    </row>
    <row r="486" spans="1:5">
      <c r="A486" s="36" t="s">
        <v>657</v>
      </c>
      <c r="B486" s="40"/>
      <c r="C486" s="41"/>
      <c r="D486" s="38"/>
      <c r="E486" s="38"/>
    </row>
    <row r="487" spans="1:5">
      <c r="A487" s="36" t="s">
        <v>658</v>
      </c>
      <c r="B487" s="40"/>
      <c r="C487" s="41"/>
      <c r="D487" s="38"/>
      <c r="E487" s="38"/>
    </row>
    <row r="488" spans="1:5">
      <c r="A488" s="36" t="s">
        <v>659</v>
      </c>
      <c r="B488" s="40"/>
      <c r="C488" s="41"/>
      <c r="D488" s="38"/>
      <c r="E488" s="38"/>
    </row>
    <row r="489" spans="1:5">
      <c r="A489" s="36" t="s">
        <v>660</v>
      </c>
      <c r="B489" s="40"/>
      <c r="C489" s="41"/>
      <c r="D489" s="38"/>
      <c r="E489" s="38"/>
    </row>
    <row r="490" spans="1:5">
      <c r="A490" s="36" t="s">
        <v>661</v>
      </c>
      <c r="B490" s="40"/>
      <c r="C490" s="41"/>
      <c r="D490" s="38"/>
      <c r="E490" s="38"/>
    </row>
    <row r="491" spans="1:5">
      <c r="A491" s="36" t="s">
        <v>662</v>
      </c>
      <c r="B491" s="40"/>
      <c r="C491" s="41"/>
      <c r="D491" s="38"/>
      <c r="E491" s="38"/>
    </row>
    <row r="492" spans="1:5">
      <c r="A492" s="36" t="s">
        <v>663</v>
      </c>
      <c r="B492" s="40"/>
      <c r="C492" s="41"/>
      <c r="D492" s="38"/>
      <c r="E492" s="38"/>
    </row>
    <row r="493" spans="1:5">
      <c r="A493" s="36" t="s">
        <v>664</v>
      </c>
      <c r="B493" s="40"/>
      <c r="C493" s="41"/>
      <c r="D493" s="38"/>
      <c r="E493" s="38"/>
    </row>
    <row r="494" spans="1:5">
      <c r="A494" s="36" t="s">
        <v>665</v>
      </c>
      <c r="B494" s="40"/>
      <c r="C494" s="41"/>
      <c r="D494" s="38"/>
      <c r="E494" s="38"/>
    </row>
    <row r="495" spans="1:5">
      <c r="A495" s="36" t="s">
        <v>666</v>
      </c>
      <c r="B495" s="40"/>
      <c r="C495" s="41"/>
      <c r="D495" s="38"/>
      <c r="E495" s="38"/>
    </row>
    <row r="496" spans="1:5">
      <c r="A496" s="36" t="s">
        <v>667</v>
      </c>
      <c r="B496" s="40"/>
      <c r="C496" s="41"/>
      <c r="D496" s="38"/>
      <c r="E496" s="38"/>
    </row>
    <row r="497" spans="1:5">
      <c r="A497" s="36" t="s">
        <v>668</v>
      </c>
      <c r="B497" s="40"/>
      <c r="C497" s="41"/>
      <c r="D497" s="38"/>
      <c r="E497" s="38"/>
    </row>
    <row r="498" spans="1:5">
      <c r="A498" s="36" t="s">
        <v>669</v>
      </c>
      <c r="B498" s="40"/>
      <c r="C498" s="41"/>
      <c r="D498" s="38"/>
      <c r="E498" s="38"/>
    </row>
    <row r="499" spans="1:5">
      <c r="A499" s="36" t="s">
        <v>670</v>
      </c>
      <c r="B499" s="40"/>
      <c r="C499" s="41"/>
      <c r="D499" s="38"/>
      <c r="E499" s="38"/>
    </row>
    <row r="500" spans="1:5">
      <c r="A500" s="36" t="s">
        <v>671</v>
      </c>
      <c r="B500" s="40"/>
      <c r="C500" s="41"/>
      <c r="D500" s="38"/>
      <c r="E500" s="38"/>
    </row>
    <row r="501" spans="1:5">
      <c r="A501" s="36" t="s">
        <v>672</v>
      </c>
      <c r="B501" s="40"/>
      <c r="C501" s="41"/>
      <c r="D501" s="38"/>
      <c r="E501" s="38"/>
    </row>
    <row r="502" spans="1:5">
      <c r="A502" s="36" t="s">
        <v>673</v>
      </c>
      <c r="B502" s="40"/>
      <c r="C502" s="41"/>
      <c r="D502" s="38"/>
      <c r="E502" s="38"/>
    </row>
    <row r="503" spans="1:5">
      <c r="A503" s="36" t="s">
        <v>674</v>
      </c>
      <c r="B503" s="40"/>
      <c r="C503" s="41"/>
      <c r="D503" s="38"/>
      <c r="E503" s="38"/>
    </row>
    <row r="504" spans="1:5">
      <c r="A504" s="36" t="s">
        <v>675</v>
      </c>
      <c r="B504" s="40"/>
      <c r="C504" s="41"/>
      <c r="D504" s="38"/>
      <c r="E504" s="38"/>
    </row>
    <row r="505" spans="1:5">
      <c r="A505" s="36" t="s">
        <v>676</v>
      </c>
      <c r="B505" s="40"/>
      <c r="C505" s="41"/>
      <c r="D505" s="38"/>
      <c r="E505" s="38"/>
    </row>
    <row r="506" spans="1:5">
      <c r="A506" s="36" t="s">
        <v>677</v>
      </c>
      <c r="B506" s="40"/>
      <c r="C506" s="41"/>
      <c r="D506" s="38"/>
      <c r="E506" s="38"/>
    </row>
    <row r="507" spans="1:5">
      <c r="A507" s="36" t="s">
        <v>678</v>
      </c>
      <c r="B507" s="40"/>
      <c r="C507" s="41"/>
      <c r="D507" s="38"/>
      <c r="E507" s="38"/>
    </row>
    <row r="508" spans="1:5">
      <c r="A508" s="36" t="s">
        <v>679</v>
      </c>
      <c r="B508" s="40"/>
      <c r="C508" s="41"/>
      <c r="D508" s="38"/>
      <c r="E508" s="38"/>
    </row>
    <row r="509" spans="1:5">
      <c r="A509" s="36" t="s">
        <v>680</v>
      </c>
      <c r="B509" s="40"/>
      <c r="C509" s="41"/>
      <c r="D509" s="38"/>
      <c r="E509" s="38"/>
    </row>
    <row r="510" spans="1:5">
      <c r="A510" s="36" t="s">
        <v>681</v>
      </c>
      <c r="B510" s="40"/>
      <c r="C510" s="41"/>
      <c r="D510" s="38"/>
      <c r="E510" s="38"/>
    </row>
    <row r="511" spans="1:5">
      <c r="A511" s="36" t="s">
        <v>682</v>
      </c>
      <c r="B511" s="40"/>
      <c r="C511" s="41"/>
      <c r="D511" s="38"/>
      <c r="E511" s="38"/>
    </row>
    <row r="512" spans="1:5">
      <c r="A512" s="36" t="s">
        <v>683</v>
      </c>
      <c r="B512" s="40"/>
      <c r="C512" s="41"/>
      <c r="D512" s="38"/>
      <c r="E512" s="38"/>
    </row>
    <row r="513" spans="1:5">
      <c r="A513" s="36" t="s">
        <v>684</v>
      </c>
      <c r="B513" s="40"/>
      <c r="C513" s="41"/>
      <c r="D513" s="38"/>
      <c r="E513" s="38"/>
    </row>
    <row r="514" spans="1:5">
      <c r="A514" s="36" t="s">
        <v>685</v>
      </c>
      <c r="B514" s="40"/>
      <c r="C514" s="41"/>
      <c r="D514" s="38"/>
      <c r="E514" s="38"/>
    </row>
    <row r="515" spans="1:5">
      <c r="A515" s="36" t="s">
        <v>686</v>
      </c>
      <c r="B515" s="40"/>
      <c r="C515" s="41"/>
      <c r="D515" s="38"/>
      <c r="E515" s="38"/>
    </row>
    <row r="516" spans="1:5">
      <c r="A516" s="36" t="s">
        <v>687</v>
      </c>
      <c r="B516" s="40"/>
      <c r="C516" s="41"/>
      <c r="D516" s="38"/>
      <c r="E516" s="38"/>
    </row>
    <row r="517" spans="1:5">
      <c r="A517" s="36" t="s">
        <v>688</v>
      </c>
      <c r="B517" s="40"/>
      <c r="C517" s="41"/>
      <c r="D517" s="38"/>
      <c r="E517" s="38"/>
    </row>
    <row r="518" spans="1:5">
      <c r="A518" s="36" t="s">
        <v>689</v>
      </c>
      <c r="B518" s="40"/>
      <c r="C518" s="41"/>
      <c r="D518" s="38"/>
      <c r="E518" s="38"/>
    </row>
    <row r="519" spans="1:5">
      <c r="A519" s="36" t="s">
        <v>690</v>
      </c>
      <c r="B519" s="40"/>
      <c r="C519" s="41"/>
      <c r="D519" s="38"/>
      <c r="E519" s="38"/>
    </row>
    <row r="520" spans="1:5">
      <c r="A520" s="36" t="s">
        <v>691</v>
      </c>
      <c r="B520" s="40"/>
      <c r="C520" s="41"/>
      <c r="D520" s="38"/>
      <c r="E520" s="38"/>
    </row>
    <row r="521" spans="1:5">
      <c r="A521" s="36" t="s">
        <v>692</v>
      </c>
      <c r="B521" s="40"/>
      <c r="C521" s="41"/>
      <c r="D521" s="38"/>
      <c r="E521" s="38"/>
    </row>
    <row r="522" spans="1:5">
      <c r="A522" s="36" t="s">
        <v>693</v>
      </c>
      <c r="B522" s="40"/>
      <c r="C522" s="41"/>
      <c r="D522" s="38"/>
      <c r="E522" s="38"/>
    </row>
    <row r="523" spans="1:5">
      <c r="A523" s="36" t="s">
        <v>694</v>
      </c>
      <c r="B523" s="40"/>
      <c r="C523" s="41"/>
      <c r="D523" s="38"/>
      <c r="E523" s="38"/>
    </row>
    <row r="524" spans="1:5">
      <c r="A524" s="36" t="s">
        <v>695</v>
      </c>
      <c r="B524" s="40"/>
      <c r="C524" s="41"/>
      <c r="D524" s="38"/>
      <c r="E524" s="38"/>
    </row>
    <row r="525" spans="1:5">
      <c r="A525" s="36" t="s">
        <v>696</v>
      </c>
      <c r="B525" s="40"/>
      <c r="C525" s="41"/>
      <c r="D525" s="38"/>
      <c r="E525" s="38"/>
    </row>
    <row r="526" spans="1:5">
      <c r="A526" s="36" t="s">
        <v>697</v>
      </c>
      <c r="B526" s="40"/>
      <c r="C526" s="41"/>
      <c r="D526" s="38"/>
      <c r="E526" s="38"/>
    </row>
    <row r="527" spans="1:5">
      <c r="A527" s="36" t="s">
        <v>698</v>
      </c>
      <c r="B527" s="40"/>
      <c r="C527" s="41"/>
      <c r="D527" s="38"/>
      <c r="E527" s="38"/>
    </row>
    <row r="528" spans="1:5">
      <c r="A528" s="36" t="s">
        <v>699</v>
      </c>
      <c r="B528" s="40"/>
      <c r="C528" s="41"/>
      <c r="D528" s="38"/>
      <c r="E528" s="38"/>
    </row>
    <row r="529" spans="1:5">
      <c r="A529" s="36" t="s">
        <v>700</v>
      </c>
      <c r="B529" s="40"/>
      <c r="C529" s="41"/>
      <c r="D529" s="38"/>
      <c r="E529" s="38"/>
    </row>
    <row r="530" spans="1:5">
      <c r="A530" s="36" t="s">
        <v>701</v>
      </c>
      <c r="B530" s="40"/>
      <c r="C530" s="41"/>
      <c r="D530" s="38"/>
      <c r="E530" s="38"/>
    </row>
    <row r="531" spans="1:5">
      <c r="A531" s="36" t="s">
        <v>702</v>
      </c>
      <c r="B531" s="40"/>
      <c r="C531" s="41"/>
      <c r="D531" s="38"/>
      <c r="E531" s="38"/>
    </row>
    <row r="532" spans="1:5">
      <c r="A532" s="36" t="s">
        <v>703</v>
      </c>
      <c r="B532" s="40"/>
      <c r="C532" s="41"/>
      <c r="D532" s="38"/>
      <c r="E532" s="38"/>
    </row>
    <row r="533" spans="1:5">
      <c r="A533" s="36" t="s">
        <v>704</v>
      </c>
      <c r="B533" s="40"/>
      <c r="C533" s="41"/>
      <c r="D533" s="38"/>
      <c r="E533" s="38"/>
    </row>
    <row r="534" spans="1:5">
      <c r="A534" s="36" t="s">
        <v>705</v>
      </c>
      <c r="B534" s="40"/>
      <c r="C534" s="41"/>
      <c r="D534" s="38"/>
      <c r="E534" s="38"/>
    </row>
    <row r="535" spans="1:5">
      <c r="A535" s="36" t="s">
        <v>706</v>
      </c>
      <c r="B535" s="40"/>
      <c r="C535" s="41"/>
      <c r="D535" s="38"/>
      <c r="E535" s="38"/>
    </row>
    <row r="536" spans="1:5">
      <c r="A536" s="36" t="s">
        <v>707</v>
      </c>
      <c r="B536" s="40"/>
      <c r="C536" s="41"/>
      <c r="D536" s="38"/>
      <c r="E536" s="38"/>
    </row>
    <row r="537" spans="1:5">
      <c r="A537" s="36" t="s">
        <v>708</v>
      </c>
      <c r="B537" s="40"/>
      <c r="C537" s="41"/>
      <c r="D537" s="38"/>
      <c r="E537" s="38"/>
    </row>
    <row r="538" spans="1:5">
      <c r="A538" s="36" t="s">
        <v>709</v>
      </c>
      <c r="B538" s="40"/>
      <c r="C538" s="41"/>
      <c r="D538" s="38"/>
      <c r="E538" s="38"/>
    </row>
    <row r="539" spans="1:5">
      <c r="A539" s="36" t="s">
        <v>710</v>
      </c>
      <c r="B539" s="40"/>
      <c r="C539" s="41"/>
      <c r="D539" s="38"/>
      <c r="E539" s="38"/>
    </row>
    <row r="540" spans="1:5">
      <c r="A540" s="36" t="s">
        <v>711</v>
      </c>
      <c r="B540" s="40"/>
      <c r="C540" s="41"/>
      <c r="D540" s="38"/>
      <c r="E540" s="38"/>
    </row>
    <row r="541" spans="1:5">
      <c r="A541" s="36" t="s">
        <v>712</v>
      </c>
      <c r="B541" s="40"/>
      <c r="C541" s="41"/>
      <c r="D541" s="38"/>
      <c r="E541" s="38"/>
    </row>
    <row r="542" spans="1:5">
      <c r="A542" s="36" t="s">
        <v>713</v>
      </c>
      <c r="B542" s="40"/>
      <c r="C542" s="41"/>
      <c r="D542" s="38"/>
      <c r="E542" s="38"/>
    </row>
    <row r="543" spans="1:5">
      <c r="A543" s="36" t="s">
        <v>714</v>
      </c>
      <c r="B543" s="40"/>
      <c r="C543" s="41"/>
      <c r="D543" s="38"/>
      <c r="E543" s="38"/>
    </row>
    <row r="544" spans="1:5">
      <c r="A544" s="36" t="s">
        <v>715</v>
      </c>
      <c r="B544" s="40"/>
      <c r="C544" s="41"/>
      <c r="D544" s="38"/>
      <c r="E544" s="38"/>
    </row>
    <row r="545" spans="1:5">
      <c r="A545" s="36" t="s">
        <v>716</v>
      </c>
      <c r="B545" s="40"/>
      <c r="C545" s="41"/>
      <c r="D545" s="38"/>
      <c r="E545" s="38"/>
    </row>
    <row r="546" spans="1:5">
      <c r="A546" s="36" t="s">
        <v>717</v>
      </c>
      <c r="B546" s="40"/>
      <c r="C546" s="41"/>
      <c r="D546" s="38"/>
      <c r="E546" s="38"/>
    </row>
    <row r="547" spans="1:5">
      <c r="A547" s="36" t="s">
        <v>718</v>
      </c>
      <c r="B547" s="40"/>
      <c r="C547" s="41"/>
      <c r="D547" s="38"/>
      <c r="E547" s="38"/>
    </row>
    <row r="548" spans="1:5">
      <c r="A548" s="36" t="s">
        <v>719</v>
      </c>
      <c r="B548" s="40"/>
      <c r="C548" s="41"/>
      <c r="D548" s="38"/>
      <c r="E548" s="38"/>
    </row>
    <row r="549" spans="1:5">
      <c r="A549" s="36" t="s">
        <v>720</v>
      </c>
      <c r="B549" s="40"/>
      <c r="C549" s="41"/>
      <c r="D549" s="38"/>
      <c r="E549" s="38"/>
    </row>
    <row r="550" spans="1:5">
      <c r="A550" s="36" t="s">
        <v>721</v>
      </c>
      <c r="B550" s="40"/>
      <c r="C550" s="41"/>
      <c r="D550" s="38"/>
      <c r="E550" s="38"/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R550"/>
  <sheetViews>
    <sheetView topLeftCell="A79" workbookViewId="0">
      <selection activeCell="G97" sqref="G97:I97"/>
    </sheetView>
  </sheetViews>
  <sheetFormatPr defaultColWidth="10.33203125" defaultRowHeight="12"/>
  <cols>
    <col min="1" max="1" width="11.33203125" style="4" customWidth="1"/>
    <col min="2" max="2" width="17.83203125" style="4" customWidth="1"/>
    <col min="3" max="3" width="5" style="16" customWidth="1"/>
    <col min="4" max="4" width="68.83203125" style="4" customWidth="1"/>
    <col min="5" max="6" width="5.5" style="4" customWidth="1"/>
    <col min="7" max="7" width="10.83203125" style="5" customWidth="1"/>
    <col min="8" max="8" width="6.6640625" style="4" customWidth="1"/>
    <col min="9" max="9" width="4.6640625" style="4" customWidth="1"/>
    <col min="10" max="16384" width="10.33203125" style="4"/>
  </cols>
  <sheetData>
    <row r="1" spans="1:18" ht="5.0999999999999996" customHeight="1">
      <c r="D1" s="13"/>
      <c r="E1" s="13"/>
      <c r="F1" s="13"/>
      <c r="G1" s="14"/>
      <c r="H1" s="15"/>
      <c r="I1" s="15"/>
      <c r="J1" s="16"/>
      <c r="K1" s="16"/>
    </row>
    <row r="2" spans="1:18" ht="5.0999999999999996" customHeight="1">
      <c r="D2" s="16"/>
      <c r="E2" s="16"/>
      <c r="F2" s="16"/>
      <c r="G2" s="17"/>
      <c r="H2" s="16"/>
      <c r="I2" s="16"/>
      <c r="J2" s="16"/>
      <c r="K2" s="16"/>
    </row>
    <row r="3" spans="1:18" ht="5.0999999999999996" customHeight="1">
      <c r="D3" s="16"/>
      <c r="E3" s="16"/>
      <c r="F3" s="16"/>
      <c r="G3" s="17"/>
      <c r="H3" s="16"/>
      <c r="I3" s="16"/>
      <c r="J3" s="16"/>
      <c r="K3" s="16"/>
    </row>
    <row r="4" spans="1:18" ht="5.0999999999999996" customHeight="1">
      <c r="D4" s="18"/>
      <c r="E4" s="18"/>
      <c r="F4" s="18"/>
      <c r="G4" s="17"/>
      <c r="H4" s="16"/>
      <c r="I4" s="19"/>
      <c r="J4" s="16"/>
      <c r="K4" s="16"/>
    </row>
    <row r="5" spans="1:18" ht="5.0999999999999996" customHeight="1">
      <c r="D5" s="20"/>
      <c r="E5" s="20"/>
      <c r="F5" s="20"/>
      <c r="G5" s="17"/>
      <c r="H5" s="16"/>
      <c r="I5" s="19"/>
      <c r="J5" s="16"/>
      <c r="K5" s="16"/>
    </row>
    <row r="6" spans="1:18" ht="5.0999999999999996" customHeight="1">
      <c r="D6" s="16"/>
      <c r="E6" s="16"/>
      <c r="F6" s="16"/>
      <c r="G6" s="17"/>
      <c r="H6" s="16"/>
      <c r="I6" s="19"/>
      <c r="J6" s="16"/>
      <c r="K6" s="16"/>
    </row>
    <row r="7" spans="1:18" ht="20.25" customHeight="1">
      <c r="D7" s="16"/>
      <c r="E7" s="16"/>
      <c r="F7" s="16"/>
      <c r="G7" s="46" t="s">
        <v>304</v>
      </c>
      <c r="H7" s="46"/>
      <c r="I7" s="46"/>
      <c r="J7" s="46"/>
      <c r="K7" s="16"/>
    </row>
    <row r="8" spans="1:18" ht="15.75" customHeight="1">
      <c r="A8" s="47" t="s">
        <v>307</v>
      </c>
      <c r="B8" s="47"/>
      <c r="C8" s="47"/>
      <c r="D8" s="47"/>
      <c r="E8" s="47"/>
      <c r="F8" s="24"/>
      <c r="G8" s="46" t="s">
        <v>308</v>
      </c>
      <c r="H8" s="46"/>
      <c r="I8" s="46"/>
      <c r="J8" s="30" t="s">
        <v>9</v>
      </c>
      <c r="K8" s="16"/>
    </row>
    <row r="9" spans="1:18" ht="19.5" customHeight="1">
      <c r="A9" s="31">
        <f>IFERROR(VALUE(IF(LEN(IFERROR(VALUE(MID(TRIM(SUBSTITUTE(SUBSTITUTE(MID(Общий!B9,SEARCH("Karcher",Общий!B9,1),19),".",""),"-","")),SEARCH("Karcher",TRIM(SUBSTITUTE(SUBSTITUTE(MID(Общий!B9,SEARCH("Karcher",Общий!B9,1),19),".",""),"-","")),1)+8,8)),VALUE(LEFT(SUBSTITUTE(SUBSTITUTE(Общий!B9,".",""),"-",""),8))))=7,CONCATENATE(IFERROR(VALUE(MID(TRIM(SUBSTITUTE(SUBSTITUTE(MID(Общий!B9,SEARCH("Karcher",Общий!B9,1),19),".",""),"-","")),SEARCH("Karcher",TRIM(SUBSTITUTE(SUBSTITUTE(MID(Общий!B9,SEARCH("Karcher",Общий!B9,1),19),".",""),"-","")),1)+8,8)),VALUE(LEFT(SUBSTITUTE(SUBSTITUTE(Общий!B9,".",""),"-",""),8))),"0"),IFERROR(VALUE(MID(TRIM(SUBSTITUTE(SUBSTITUTE(MID(Общий!B9,SEARCH("Karcher",Общий!B9,1),19),".",""),"-","")),SEARCH("Karcher",TRIM(SUBSTITUTE(SUBSTITUTE(MID(Общий!B9,SEARCH("Karcher",Общий!B9,1),19),".",""),"-","")),1)+8,8)),VALUE(LEFT(SUBSTITUTE(SUBSTITUTE(Общий!B9,".",""),"-",""),8))))),0)</f>
        <v>41008360</v>
      </c>
      <c r="B9" s="25" t="str">
        <f>IFERROR(CONCATENATE(VALUE(IF(LEN(IFERROR(VALUE(MID(TRIM(SUBSTITUTE(SUBSTITUTE(MID(Общий!B9,SEARCH("Karcher",Общий!B9,1),19),".",""),"-","")),SEARCH("Karcher",TRIM(SUBSTITUTE(SUBSTITUTE(MID(Общий!B9,SEARCH("Karcher",Общий!B9,1),19),".",""),"-","")),1)+8,8)),VALUE(LEFT(SUBSTITUTE(SUBSTITUTE(Общий!B9,".",""),"-",""),8))))=7,CONCATENATE(IFERROR(VALUE(MID(TRIM(SUBSTITUTE(SUBSTITUTE(MID(Общий!B9,SEARCH("Karcher",Общий!B9,1),19),".",""),"-","")),SEARCH("Karcher",TRIM(SUBSTITUTE(SUBSTITUTE(MID(Общий!B9,SEARCH("Karcher",Общий!B9,1),19),".",""),"-","")),1)+8,8)),VALUE(LEFT(SUBSTITUTE(SUBSTITUTE(Общий!B9,".",""),"-",""),8))),"0"),IFERROR(VALUE(MID(TRIM(SUBSTITUTE(SUBSTITUTE(MID(Общий!B9,SEARCH("Karcher",Общий!B9,1),19),".",""),"-","")),SEARCH("Karcher",TRIM(SUBSTITUTE(SUBSTITUTE(MID(Общий!B9,SEARCH("Karcher",Общий!B9,1),19),".",""),"-","")),1)+8,8)),VALUE(LEFT(SUBSTITUTE(SUBSTITUTE(Общий!B9,".",""),"-",""),8)))))," ",Общий!C9),0)</f>
        <v>41008360 1</v>
      </c>
      <c r="C9" s="29" t="str">
        <f>Общий!A9</f>
        <v>1</v>
      </c>
      <c r="D9" s="27" t="str">
        <f>Общий!B9</f>
        <v>4100836 Набор уплотнений Karcher  *1* код : 005248</v>
      </c>
      <c r="E9" s="28">
        <f>Общий!C9</f>
        <v>1</v>
      </c>
      <c r="F9" s="21"/>
      <c r="G9" s="56" t="s">
        <v>722</v>
      </c>
      <c r="H9" s="57"/>
      <c r="I9" s="58"/>
      <c r="J9" s="59">
        <v>3</v>
      </c>
      <c r="K9" s="16"/>
      <c r="N9" s="45" t="s">
        <v>309</v>
      </c>
      <c r="O9" s="45"/>
      <c r="P9" s="45"/>
      <c r="Q9" s="45"/>
      <c r="R9" s="45"/>
    </row>
    <row r="10" spans="1:18" ht="19.5" customHeight="1">
      <c r="A10" s="31">
        <f>IFERROR(VALUE(IF(LEN(IFERROR(VALUE(MID(TRIM(SUBSTITUTE(SUBSTITUTE(MID(Общий!B10,SEARCH("Karcher",Общий!B10,1),19),".",""),"-","")),SEARCH("Karcher",TRIM(SUBSTITUTE(SUBSTITUTE(MID(Общий!B10,SEARCH("Karcher",Общий!B10,1),19),".",""),"-","")),1)+8,8)),VALUE(LEFT(SUBSTITUTE(SUBSTITUTE(Общий!B10,".",""),"-",""),8))))=7,CONCATENATE(IFERROR(VALUE(MID(TRIM(SUBSTITUTE(SUBSTITUTE(MID(Общий!B10,SEARCH("Karcher",Общий!B10,1),19),".",""),"-","")),SEARCH("Karcher",TRIM(SUBSTITUTE(SUBSTITUTE(MID(Общий!B10,SEARCH("Karcher",Общий!B10,1),19),".",""),"-","")),1)+8,8)),VALUE(LEFT(SUBSTITUTE(SUBSTITUTE(Общий!B10,".",""),"-",""),8))),"0"),IFERROR(VALUE(MID(TRIM(SUBSTITUTE(SUBSTITUTE(MID(Общий!B10,SEARCH("Karcher",Общий!B10,1),19),".",""),"-","")),SEARCH("Karcher",TRIM(SUBSTITUTE(SUBSTITUTE(MID(Общий!B10,SEARCH("Karcher",Общий!B10,1),19),".",""),"-","")),1)+8,8)),VALUE(LEFT(SUBSTITUTE(SUBSTITUTE(Общий!B10,".",""),"-",""),8))))),0)</f>
        <v>40371610</v>
      </c>
      <c r="B10" s="25" t="str">
        <f>IFERROR(CONCATENATE(VALUE(IF(LEN(IFERROR(VALUE(MID(TRIM(SUBSTITUTE(SUBSTITUTE(MID(Общий!B10,SEARCH("Karcher",Общий!B10,1),19),".",""),"-","")),SEARCH("Karcher",TRIM(SUBSTITUTE(SUBSTITUTE(MID(Общий!B10,SEARCH("Karcher",Общий!B10,1),19),".",""),"-","")),1)+8,8)),VALUE(LEFT(SUBSTITUTE(SUBSTITUTE(Общий!B10,".",""),"-",""),8))))=7,CONCATENATE(IFERROR(VALUE(MID(TRIM(SUBSTITUTE(SUBSTITUTE(MID(Общий!B10,SEARCH("Karcher",Общий!B10,1),19),".",""),"-","")),SEARCH("Karcher",TRIM(SUBSTITUTE(SUBSTITUTE(MID(Общий!B10,SEARCH("Karcher",Общий!B10,1),19),".",""),"-","")),1)+8,8)),VALUE(LEFT(SUBSTITUTE(SUBSTITUTE(Общий!B10,".",""),"-",""),8))),"0"),IFERROR(VALUE(MID(TRIM(SUBSTITUTE(SUBSTITUTE(MID(Общий!B10,SEARCH("Karcher",Общий!B10,1),19),".",""),"-","")),SEARCH("Karcher",TRIM(SUBSTITUTE(SUBSTITUTE(MID(Общий!B10,SEARCH("Karcher",Общий!B10,1),19),".",""),"-","")),1)+8,8)),VALUE(LEFT(SUBSTITUTE(SUBSTITUTE(Общий!B10,".",""),"-",""),8)))))," ",Общий!C10),0)</f>
        <v>40371610 2</v>
      </c>
      <c r="C10" s="29" t="str">
        <f>Общий!A10</f>
        <v>2</v>
      </c>
      <c r="D10" s="27" t="str">
        <f>Общий!B10</f>
        <v>Набор колеса всасывающей планки Karcher 4.037-161 код : 006233</v>
      </c>
      <c r="E10" s="28">
        <f>Общий!C10</f>
        <v>2</v>
      </c>
      <c r="F10" s="21"/>
      <c r="G10" s="56" t="s">
        <v>723</v>
      </c>
      <c r="H10" s="57"/>
      <c r="I10" s="58"/>
      <c r="J10" s="60">
        <v>6</v>
      </c>
      <c r="K10" s="16"/>
      <c r="N10" s="45"/>
      <c r="O10" s="45"/>
      <c r="P10" s="45"/>
      <c r="Q10" s="45"/>
      <c r="R10" s="45"/>
    </row>
    <row r="11" spans="1:18" ht="19.5" customHeight="1">
      <c r="A11" s="31">
        <f>IFERROR(VALUE(IF(LEN(IFERROR(VALUE(MID(TRIM(SUBSTITUTE(SUBSTITUTE(MID(Общий!B11,SEARCH("Karcher",Общий!B11,1),19),".",""),"-","")),SEARCH("Karcher",TRIM(SUBSTITUTE(SUBSTITUTE(MID(Общий!B11,SEARCH("Karcher",Общий!B11,1),19),".",""),"-","")),1)+8,8)),VALUE(LEFT(SUBSTITUTE(SUBSTITUTE(Общий!B11,".",""),"-",""),8))))=7,CONCATENATE(IFERROR(VALUE(MID(TRIM(SUBSTITUTE(SUBSTITUTE(MID(Общий!B11,SEARCH("Karcher",Общий!B11,1),19),".",""),"-","")),SEARCH("Karcher",TRIM(SUBSTITUTE(SUBSTITUTE(MID(Общий!B11,SEARCH("Karcher",Общий!B11,1),19),".",""),"-","")),1)+8,8)),VALUE(LEFT(SUBSTITUTE(SUBSTITUTE(Общий!B11,".",""),"-",""),8))),"0"),IFERROR(VALUE(MID(TRIM(SUBSTITUTE(SUBSTITUTE(MID(Общий!B11,SEARCH("Karcher",Общий!B11,1),19),".",""),"-","")),SEARCH("Karcher",TRIM(SUBSTITUTE(SUBSTITUTE(MID(Общий!B11,SEARCH("Karcher",Общий!B11,1),19),".",""),"-","")),1)+8,8)),VALUE(LEFT(SUBSTITUTE(SUBSTITUTE(Общий!B11,".",""),"-",""),8))))),0)</f>
        <v>53636130</v>
      </c>
      <c r="B11" s="25" t="str">
        <f>IFERROR(CONCATENATE(VALUE(IF(LEN(IFERROR(VALUE(MID(TRIM(SUBSTITUTE(SUBSTITUTE(MID(Общий!B11,SEARCH("Karcher",Общий!B11,1),19),".",""),"-","")),SEARCH("Karcher",TRIM(SUBSTITUTE(SUBSTITUTE(MID(Общий!B11,SEARCH("Karcher",Общий!B11,1),19),".",""),"-","")),1)+8,8)),VALUE(LEFT(SUBSTITUTE(SUBSTITUTE(Общий!B11,".",""),"-",""),8))))=7,CONCATENATE(IFERROR(VALUE(MID(TRIM(SUBSTITUTE(SUBSTITUTE(MID(Общий!B11,SEARCH("Karcher",Общий!B11,1),19),".",""),"-","")),SEARCH("Karcher",TRIM(SUBSTITUTE(SUBSTITUTE(MID(Общий!B11,SEARCH("Karcher",Общий!B11,1),19),".",""),"-","")),1)+8,8)),VALUE(LEFT(SUBSTITUTE(SUBSTITUTE(Общий!B11,".",""),"-",""),8))),"0"),IFERROR(VALUE(MID(TRIM(SUBSTITUTE(SUBSTITUTE(MID(Общий!B11,SEARCH("Karcher",Общий!B11,1),19),".",""),"-","")),SEARCH("Karcher",TRIM(SUBSTITUTE(SUBSTITUTE(MID(Общий!B11,SEARCH("Karcher",Общий!B11,1),19),".",""),"-","")),1)+8,8)),VALUE(LEFT(SUBSTITUTE(SUBSTITUTE(Общий!B11,".",""),"-",""),8)))))," ",Общий!C11),0)</f>
        <v>53636130 1</v>
      </c>
      <c r="C11" s="29" t="str">
        <f>Общий!A11</f>
        <v>3</v>
      </c>
      <c r="D11" s="27" t="str">
        <f>Общий!B11</f>
        <v>Прокладка Karcher 5.363-613 код : 030195</v>
      </c>
      <c r="E11" s="28">
        <f>Общий!C11</f>
        <v>1</v>
      </c>
      <c r="F11" s="21"/>
      <c r="G11" s="56" t="s">
        <v>724</v>
      </c>
      <c r="H11" s="57"/>
      <c r="I11" s="58"/>
      <c r="J11" s="60">
        <v>1</v>
      </c>
      <c r="K11" s="16"/>
      <c r="N11" s="45"/>
      <c r="O11" s="45"/>
      <c r="P11" s="45"/>
      <c r="Q11" s="45"/>
      <c r="R11" s="45"/>
    </row>
    <row r="12" spans="1:18" ht="19.5" customHeight="1">
      <c r="A12" s="31">
        <f>IFERROR(VALUE(IF(LEN(IFERROR(VALUE(MID(TRIM(SUBSTITUTE(SUBSTITUTE(MID(Общий!B12,SEARCH("Karcher",Общий!B12,1),19),".",""),"-","")),SEARCH("Karcher",TRIM(SUBSTITUTE(SUBSTITUTE(MID(Общий!B12,SEARCH("Karcher",Общий!B12,1),19),".",""),"-","")),1)+8,8)),VALUE(LEFT(SUBSTITUTE(SUBSTITUTE(Общий!B12,".",""),"-",""),8))))=7,CONCATENATE(IFERROR(VALUE(MID(TRIM(SUBSTITUTE(SUBSTITUTE(MID(Общий!B12,SEARCH("Karcher",Общий!B12,1),19),".",""),"-","")),SEARCH("Karcher",TRIM(SUBSTITUTE(SUBSTITUTE(MID(Общий!B12,SEARCH("Karcher",Общий!B12,1),19),".",""),"-","")),1)+8,8)),VALUE(LEFT(SUBSTITUTE(SUBSTITUTE(Общий!B12,".",""),"-",""),8))),"0"),IFERROR(VALUE(MID(TRIM(SUBSTITUTE(SUBSTITUTE(MID(Общий!B12,SEARCH("Karcher",Общий!B12,1),19),".",""),"-","")),SEARCH("Karcher",TRIM(SUBSTITUTE(SUBSTITUTE(MID(Общий!B12,SEARCH("Karcher",Общий!B12,1),19),".",""),"-","")),1)+8,8)),VALUE(LEFT(SUBSTITUTE(SUBSTITUTE(Общий!B12,".",""),"-",""),8))))),0)</f>
        <v>63670510</v>
      </c>
      <c r="B12" s="25" t="str">
        <f>IFERROR(CONCATENATE(VALUE(IF(LEN(IFERROR(VALUE(MID(TRIM(SUBSTITUTE(SUBSTITUTE(MID(Общий!B12,SEARCH("Karcher",Общий!B12,1),19),".",""),"-","")),SEARCH("Karcher",TRIM(SUBSTITUTE(SUBSTITUTE(MID(Общий!B12,SEARCH("Karcher",Общий!B12,1),19),".",""),"-","")),1)+8,8)),VALUE(LEFT(SUBSTITUTE(SUBSTITUTE(Общий!B12,".",""),"-",""),8))))=7,CONCATENATE(IFERROR(VALUE(MID(TRIM(SUBSTITUTE(SUBSTITUTE(MID(Общий!B12,SEARCH("Karcher",Общий!B12,1),19),".",""),"-","")),SEARCH("Karcher",TRIM(SUBSTITUTE(SUBSTITUTE(MID(Общий!B12,SEARCH("Karcher",Общий!B12,1),19),".",""),"-","")),1)+8,8)),VALUE(LEFT(SUBSTITUTE(SUBSTITUTE(Общий!B12,".",""),"-",""),8))),"0"),IFERROR(VALUE(MID(TRIM(SUBSTITUTE(SUBSTITUTE(MID(Общий!B12,SEARCH("Karcher",Общий!B12,1),19),".",""),"-","")),SEARCH("Karcher",TRIM(SUBSTITUTE(SUBSTITUTE(MID(Общий!B12,SEARCH("Karcher",Общий!B12,1),19),".",""),"-","")),1)+8,8)),VALUE(LEFT(SUBSTITUTE(SUBSTITUTE(Общий!B12,".",""),"-",""),8)))))," ",Общий!C12),0)</f>
        <v>63670510 1</v>
      </c>
      <c r="C12" s="29" t="str">
        <f>Общий!A12</f>
        <v>4</v>
      </c>
      <c r="D12" s="27" t="str">
        <f>Общий!B12</f>
        <v>Уплотнение вала Karcher 6.367-051 код : 005821</v>
      </c>
      <c r="E12" s="28">
        <f>Общий!C12</f>
        <v>1</v>
      </c>
      <c r="F12" s="21"/>
      <c r="G12" s="56" t="s">
        <v>725</v>
      </c>
      <c r="H12" s="57"/>
      <c r="I12" s="58"/>
      <c r="J12" s="60">
        <v>3</v>
      </c>
      <c r="K12" s="16"/>
      <c r="N12" s="45"/>
      <c r="O12" s="45"/>
      <c r="P12" s="45"/>
      <c r="Q12" s="45"/>
      <c r="R12" s="45"/>
    </row>
    <row r="13" spans="1:18" ht="19.5" customHeight="1">
      <c r="A13" s="31">
        <f>IFERROR(VALUE(IF(LEN(IFERROR(VALUE(MID(TRIM(SUBSTITUTE(SUBSTITUTE(MID(Общий!B13,SEARCH("Karcher",Общий!B13,1),19),".",""),"-","")),SEARCH("Karcher",TRIM(SUBSTITUTE(SUBSTITUTE(MID(Общий!B13,SEARCH("Karcher",Общий!B13,1),19),".",""),"-","")),1)+8,8)),VALUE(LEFT(SUBSTITUTE(SUBSTITUTE(Общий!B13,".",""),"-",""),8))))=7,CONCATENATE(IFERROR(VALUE(MID(TRIM(SUBSTITUTE(SUBSTITUTE(MID(Общий!B13,SEARCH("Karcher",Общий!B13,1),19),".",""),"-","")),SEARCH("Karcher",TRIM(SUBSTITUTE(SUBSTITUTE(MID(Общий!B13,SEARCH("Karcher",Общий!B13,1),19),".",""),"-","")),1)+8,8)),VALUE(LEFT(SUBSTITUTE(SUBSTITUTE(Общий!B13,".",""),"-",""),8))),"0"),IFERROR(VALUE(MID(TRIM(SUBSTITUTE(SUBSTITUTE(MID(Общий!B13,SEARCH("Karcher",Общий!B13,1),19),".",""),"-","")),SEARCH("Karcher",TRIM(SUBSTITUTE(SUBSTITUTE(MID(Общий!B13,SEARCH("Karcher",Общий!B13,1),19),".",""),"-","")),1)+8,8)),VALUE(LEFT(SUBSTITUTE(SUBSTITUTE(Общий!B13,".",""),"-",""),8))))),0)</f>
        <v>0</v>
      </c>
      <c r="B13" s="25">
        <f>IFERROR(CONCATENATE(VALUE(IF(LEN(IFERROR(VALUE(MID(TRIM(SUBSTITUTE(SUBSTITUTE(MID(Общий!B13,SEARCH("Karcher",Общий!B13,1),19),".",""),"-","")),SEARCH("Karcher",TRIM(SUBSTITUTE(SUBSTITUTE(MID(Общий!B13,SEARCH("Karcher",Общий!B13,1),19),".",""),"-","")),1)+8,8)),VALUE(LEFT(SUBSTITUTE(SUBSTITUTE(Общий!B13,".",""),"-",""),8))))=7,CONCATENATE(IFERROR(VALUE(MID(TRIM(SUBSTITUTE(SUBSTITUTE(MID(Общий!B13,SEARCH("Karcher",Общий!B13,1),19),".",""),"-","")),SEARCH("Karcher",TRIM(SUBSTITUTE(SUBSTITUTE(MID(Общий!B13,SEARCH("Karcher",Общий!B13,1),19),".",""),"-","")),1)+8,8)),VALUE(LEFT(SUBSTITUTE(SUBSTITUTE(Общий!B13,".",""),"-",""),8))),"0"),IFERROR(VALUE(MID(TRIM(SUBSTITUTE(SUBSTITUTE(MID(Общий!B13,SEARCH("Karcher",Общий!B13,1),19),".",""),"-","")),SEARCH("Karcher",TRIM(SUBSTITUTE(SUBSTITUTE(MID(Общий!B13,SEARCH("Karcher",Общий!B13,1),19),".",""),"-","")),1)+8,8)),VALUE(LEFT(SUBSTITUTE(SUBSTITUTE(Общий!B13,".",""),"-",""),8)))))," ",Общий!C13),0)</f>
        <v>0</v>
      </c>
      <c r="C13" s="29" t="str">
        <f>Общий!A13</f>
        <v>5</v>
      </c>
      <c r="D13" s="27" t="str">
        <f>Общий!B13</f>
        <v xml:space="preserve"> код :</v>
      </c>
      <c r="E13" s="28">
        <f>Общий!C13</f>
        <v>0</v>
      </c>
      <c r="F13" s="21"/>
      <c r="G13" s="56" t="s">
        <v>726</v>
      </c>
      <c r="H13" s="57"/>
      <c r="I13" s="58"/>
      <c r="J13" s="60">
        <v>10</v>
      </c>
      <c r="K13" s="16"/>
      <c r="N13" s="45"/>
      <c r="O13" s="45"/>
      <c r="P13" s="45"/>
      <c r="Q13" s="45"/>
      <c r="R13" s="45"/>
    </row>
    <row r="14" spans="1:18" ht="19.5" customHeight="1">
      <c r="A14" s="31">
        <f>IFERROR(VALUE(IF(LEN(IFERROR(VALUE(MID(TRIM(SUBSTITUTE(SUBSTITUTE(MID(Общий!B14,SEARCH("Karcher",Общий!B14,1),19),".",""),"-","")),SEARCH("Karcher",TRIM(SUBSTITUTE(SUBSTITUTE(MID(Общий!B14,SEARCH("Karcher",Общий!B14,1),19),".",""),"-","")),1)+8,8)),VALUE(LEFT(SUBSTITUTE(SUBSTITUTE(Общий!B14,".",""),"-",""),8))))=7,CONCATENATE(IFERROR(VALUE(MID(TRIM(SUBSTITUTE(SUBSTITUTE(MID(Общий!B14,SEARCH("Karcher",Общий!B14,1),19),".",""),"-","")),SEARCH("Karcher",TRIM(SUBSTITUTE(SUBSTITUTE(MID(Общий!B14,SEARCH("Karcher",Общий!B14,1),19),".",""),"-","")),1)+8,8)),VALUE(LEFT(SUBSTITUTE(SUBSTITUTE(Общий!B14,".",""),"-",""),8))),"0"),IFERROR(VALUE(MID(TRIM(SUBSTITUTE(SUBSTITUTE(MID(Общий!B14,SEARCH("Karcher",Общий!B14,1),19),".",""),"-","")),SEARCH("Karcher",TRIM(SUBSTITUTE(SUBSTITUTE(MID(Общий!B14,SEARCH("Karcher",Общий!B14,1),19),".",""),"-","")),1)+8,8)),VALUE(LEFT(SUBSTITUTE(SUBSTITUTE(Общий!B14,".",""),"-",""),8))))),0)</f>
        <v>63654933</v>
      </c>
      <c r="B14" s="25" t="str">
        <f>IFERROR(CONCATENATE(VALUE(IF(LEN(IFERROR(VALUE(MID(TRIM(SUBSTITUTE(SUBSTITUTE(MID(Общий!B14,SEARCH("Karcher",Общий!B14,1),19),".",""),"-","")),SEARCH("Karcher",TRIM(SUBSTITUTE(SUBSTITUTE(MID(Общий!B14,SEARCH("Karcher",Общий!B14,1),19),".",""),"-","")),1)+8,8)),VALUE(LEFT(SUBSTITUTE(SUBSTITUTE(Общий!B14,".",""),"-",""),8))))=7,CONCATENATE(IFERROR(VALUE(MID(TRIM(SUBSTITUTE(SUBSTITUTE(MID(Общий!B14,SEARCH("Karcher",Общий!B14,1),19),".",""),"-","")),SEARCH("Karcher",TRIM(SUBSTITUTE(SUBSTITUTE(MID(Общий!B14,SEARCH("Karcher",Общий!B14,1),19),".",""),"-","")),1)+8,8)),VALUE(LEFT(SUBSTITUTE(SUBSTITUTE(Общий!B14,".",""),"-",""),8))),"0"),IFERROR(VALUE(MID(TRIM(SUBSTITUTE(SUBSTITUTE(MID(Общий!B14,SEARCH("Karcher",Общий!B14,1),19),".",""),"-","")),SEARCH("Karcher",TRIM(SUBSTITUTE(SUBSTITUTE(MID(Общий!B14,SEARCH("Karcher",Общий!B14,1),19),".",""),"-","")),1)+8,8)),VALUE(LEFT(SUBSTITUTE(SUBSTITUTE(Общий!B14,".",""),"-",""),8)))))," ",Общий!C14),0)</f>
        <v>63654933 16</v>
      </c>
      <c r="C14" s="29" t="str">
        <f>Общий!A14</f>
        <v>6</v>
      </c>
      <c r="D14" s="27" t="str">
        <f>Общий!B14</f>
        <v>63654933 *Сальник ВД Karcher код : 005316</v>
      </c>
      <c r="E14" s="28">
        <f>Общий!C14</f>
        <v>16</v>
      </c>
      <c r="F14" s="21"/>
      <c r="G14" s="56" t="s">
        <v>727</v>
      </c>
      <c r="H14" s="57"/>
      <c r="I14" s="58"/>
      <c r="J14" s="60">
        <v>5</v>
      </c>
      <c r="K14" s="16"/>
      <c r="N14" s="45"/>
      <c r="O14" s="45"/>
      <c r="P14" s="45"/>
      <c r="Q14" s="45"/>
      <c r="R14" s="45"/>
    </row>
    <row r="15" spans="1:18" ht="19.5" customHeight="1">
      <c r="A15" s="31">
        <f>IFERROR(VALUE(IF(LEN(IFERROR(VALUE(MID(TRIM(SUBSTITUTE(SUBSTITUTE(MID(Общий!B15,SEARCH("Karcher",Общий!B15,1),19),".",""),"-","")),SEARCH("Karcher",TRIM(SUBSTITUTE(SUBSTITUTE(MID(Общий!B15,SEARCH("Karcher",Общий!B15,1),19),".",""),"-","")),1)+8,8)),VALUE(LEFT(SUBSTITUTE(SUBSTITUTE(Общий!B15,".",""),"-",""),8))))=7,CONCATENATE(IFERROR(VALUE(MID(TRIM(SUBSTITUTE(SUBSTITUTE(MID(Общий!B15,SEARCH("Karcher",Общий!B15,1),19),".",""),"-","")),SEARCH("Karcher",TRIM(SUBSTITUTE(SUBSTITUTE(MID(Общий!B15,SEARCH("Karcher",Общий!B15,1),19),".",""),"-","")),1)+8,8)),VALUE(LEFT(SUBSTITUTE(SUBSTITUTE(Общий!B15,".",""),"-",""),8))),"0"),IFERROR(VALUE(MID(TRIM(SUBSTITUTE(SUBSTITUTE(MID(Общий!B15,SEARCH("Karcher",Общий!B15,1),19),".",""),"-","")),SEARCH("Karcher",TRIM(SUBSTITUTE(SUBSTITUTE(MID(Общий!B15,SEARCH("Karcher",Общий!B15,1),19),".",""),"-","")),1)+8,8)),VALUE(LEFT(SUBSTITUTE(SUBSTITUTE(Общий!B15,".",""),"-",""),8))))),0)</f>
        <v>63660430</v>
      </c>
      <c r="B15" s="25" t="str">
        <f>IFERROR(CONCATENATE(VALUE(IF(LEN(IFERROR(VALUE(MID(TRIM(SUBSTITUTE(SUBSTITUTE(MID(Общий!B15,SEARCH("Karcher",Общий!B15,1),19),".",""),"-","")),SEARCH("Karcher",TRIM(SUBSTITUTE(SUBSTITUTE(MID(Общий!B15,SEARCH("Karcher",Общий!B15,1),19),".",""),"-","")),1)+8,8)),VALUE(LEFT(SUBSTITUTE(SUBSTITUTE(Общий!B15,".",""),"-",""),8))))=7,CONCATENATE(IFERROR(VALUE(MID(TRIM(SUBSTITUTE(SUBSTITUTE(MID(Общий!B15,SEARCH("Karcher",Общий!B15,1),19),".",""),"-","")),SEARCH("Karcher",TRIM(SUBSTITUTE(SUBSTITUTE(MID(Общий!B15,SEARCH("Karcher",Общий!B15,1),19),".",""),"-","")),1)+8,8)),VALUE(LEFT(SUBSTITUTE(SUBSTITUTE(Общий!B15,".",""),"-",""),8))),"0"),IFERROR(VALUE(MID(TRIM(SUBSTITUTE(SUBSTITUTE(MID(Общий!B15,SEARCH("Karcher",Общий!B15,1),19),".",""),"-","")),SEARCH("Karcher",TRIM(SUBSTITUTE(SUBSTITUTE(MID(Общий!B15,SEARCH("Karcher",Общий!B15,1),19),".",""),"-","")),1)+8,8)),VALUE(LEFT(SUBSTITUTE(SUBSTITUTE(Общий!B15,".",""),"-",""),8)))))," ",Общий!C15),0)</f>
        <v>63660430 1</v>
      </c>
      <c r="C15" s="29" t="str">
        <f>Общий!A15</f>
        <v>7</v>
      </c>
      <c r="D15" s="27" t="str">
        <f>Общий!B15</f>
        <v>6366043 Уплотнительный профиль Karcher код : 030786</v>
      </c>
      <c r="E15" s="28">
        <f>Общий!C15</f>
        <v>1</v>
      </c>
      <c r="F15" s="21"/>
      <c r="G15" s="56" t="s">
        <v>728</v>
      </c>
      <c r="H15" s="57"/>
      <c r="I15" s="58"/>
      <c r="J15" s="60">
        <v>2</v>
      </c>
      <c r="K15" s="16"/>
      <c r="N15" s="45"/>
      <c r="O15" s="45"/>
      <c r="P15" s="45"/>
      <c r="Q15" s="45"/>
      <c r="R15" s="45"/>
    </row>
    <row r="16" spans="1:18" ht="19.5" customHeight="1">
      <c r="A16" s="31">
        <f>IFERROR(VALUE(IF(LEN(IFERROR(VALUE(MID(TRIM(SUBSTITUTE(SUBSTITUTE(MID(Общий!B16,SEARCH("Karcher",Общий!B16,1),19),".",""),"-","")),SEARCH("Karcher",TRIM(SUBSTITUTE(SUBSTITUTE(MID(Общий!B16,SEARCH("Karcher",Общий!B16,1),19),".",""),"-","")),1)+8,8)),VALUE(LEFT(SUBSTITUTE(SUBSTITUTE(Общий!B16,".",""),"-",""),8))))=7,CONCATENATE(IFERROR(VALUE(MID(TRIM(SUBSTITUTE(SUBSTITUTE(MID(Общий!B16,SEARCH("Karcher",Общий!B16,1),19),".",""),"-","")),SEARCH("Karcher",TRIM(SUBSTITUTE(SUBSTITUTE(MID(Общий!B16,SEARCH("Karcher",Общий!B16,1),19),".",""),"-","")),1)+8,8)),VALUE(LEFT(SUBSTITUTE(SUBSTITUTE(Общий!B16,".",""),"-",""),8))),"0"),IFERROR(VALUE(MID(TRIM(SUBSTITUTE(SUBSTITUTE(MID(Общий!B16,SEARCH("Karcher",Общий!B16,1),19),".",""),"-","")),SEARCH("Karcher",TRIM(SUBSTITUTE(SUBSTITUTE(MID(Общий!B16,SEARCH("Karcher",Общий!B16,1),19),".",""),"-","")),1)+8,8)),VALUE(LEFT(SUBSTITUTE(SUBSTITUTE(Общий!B16,".",""),"-",""),8))))),0)</f>
        <v>0</v>
      </c>
      <c r="B16" s="25">
        <f>IFERROR(CONCATENATE(VALUE(IF(LEN(IFERROR(VALUE(MID(TRIM(SUBSTITUTE(SUBSTITUTE(MID(Общий!B16,SEARCH("Karcher",Общий!B16,1),19),".",""),"-","")),SEARCH("Karcher",TRIM(SUBSTITUTE(SUBSTITUTE(MID(Общий!B16,SEARCH("Karcher",Общий!B16,1),19),".",""),"-","")),1)+8,8)),VALUE(LEFT(SUBSTITUTE(SUBSTITUTE(Общий!B16,".",""),"-",""),8))))=7,CONCATENATE(IFERROR(VALUE(MID(TRIM(SUBSTITUTE(SUBSTITUTE(MID(Общий!B16,SEARCH("Karcher",Общий!B16,1),19),".",""),"-","")),SEARCH("Karcher",TRIM(SUBSTITUTE(SUBSTITUTE(MID(Общий!B16,SEARCH("Karcher",Общий!B16,1),19),".",""),"-","")),1)+8,8)),VALUE(LEFT(SUBSTITUTE(SUBSTITUTE(Общий!B16,".",""),"-",""),8))),"0"),IFERROR(VALUE(MID(TRIM(SUBSTITUTE(SUBSTITUTE(MID(Общий!B16,SEARCH("Karcher",Общий!B16,1),19),".",""),"-","")),SEARCH("Karcher",TRIM(SUBSTITUTE(SUBSTITUTE(MID(Общий!B16,SEARCH("Karcher",Общий!B16,1),19),".",""),"-","")),1)+8,8)),VALUE(LEFT(SUBSTITUTE(SUBSTITUTE(Общий!B16,".",""),"-",""),8)))))," ",Общий!C16),0)</f>
        <v>0</v>
      </c>
      <c r="C16" s="29" t="str">
        <f>Общий!A16</f>
        <v>8</v>
      </c>
      <c r="D16" s="27" t="str">
        <f>Общий!B16</f>
        <v xml:space="preserve"> код :</v>
      </c>
      <c r="E16" s="28">
        <f>Общий!C16</f>
        <v>0</v>
      </c>
      <c r="F16" s="21"/>
      <c r="G16" s="56" t="s">
        <v>729</v>
      </c>
      <c r="H16" s="57"/>
      <c r="I16" s="58"/>
      <c r="J16" s="59">
        <v>2</v>
      </c>
      <c r="K16" s="16"/>
    </row>
    <row r="17" spans="1:11" ht="19.5" customHeight="1">
      <c r="A17" s="31">
        <f>IFERROR(VALUE(IF(LEN(IFERROR(VALUE(MID(TRIM(SUBSTITUTE(SUBSTITUTE(MID(Общий!B17,SEARCH("Karcher",Общий!B17,1),19),".",""),"-","")),SEARCH("Karcher",TRIM(SUBSTITUTE(SUBSTITUTE(MID(Общий!B17,SEARCH("Karcher",Общий!B17,1),19),".",""),"-","")),1)+8,8)),VALUE(LEFT(SUBSTITUTE(SUBSTITUTE(Общий!B17,".",""),"-",""),8))))=7,CONCATENATE(IFERROR(VALUE(MID(TRIM(SUBSTITUTE(SUBSTITUTE(MID(Общий!B17,SEARCH("Karcher",Общий!B17,1),19),".",""),"-","")),SEARCH("Karcher",TRIM(SUBSTITUTE(SUBSTITUTE(MID(Общий!B17,SEARCH("Karcher",Общий!B17,1),19),".",""),"-","")),1)+8,8)),VALUE(LEFT(SUBSTITUTE(SUBSTITUTE(Общий!B17,".",""),"-",""),8))),"0"),IFERROR(VALUE(MID(TRIM(SUBSTITUTE(SUBSTITUTE(MID(Общий!B17,SEARCH("Karcher",Общий!B17,1),19),".",""),"-","")),SEARCH("Karcher",TRIM(SUBSTITUTE(SUBSTITUTE(MID(Общий!B17,SEARCH("Karcher",Общий!B17,1),19),".",""),"-","")),1)+8,8)),VALUE(LEFT(SUBSTITUTE(SUBSTITUTE(Общий!B17,".",""),"-",""),8))))),0)</f>
        <v>40393620</v>
      </c>
      <c r="B17" s="25" t="str">
        <f>IFERROR(CONCATENATE(VALUE(IF(LEN(IFERROR(VALUE(MID(TRIM(SUBSTITUTE(SUBSTITUTE(MID(Общий!B17,SEARCH("Karcher",Общий!B17,1),19),".",""),"-","")),SEARCH("Karcher",TRIM(SUBSTITUTE(SUBSTITUTE(MID(Общий!B17,SEARCH("Karcher",Общий!B17,1),19),".",""),"-","")),1)+8,8)),VALUE(LEFT(SUBSTITUTE(SUBSTITUTE(Общий!B17,".",""),"-",""),8))))=7,CONCATENATE(IFERROR(VALUE(MID(TRIM(SUBSTITUTE(SUBSTITUTE(MID(Общий!B17,SEARCH("Karcher",Общий!B17,1),19),".",""),"-","")),SEARCH("Karcher",TRIM(SUBSTITUTE(SUBSTITUTE(MID(Общий!B17,SEARCH("Karcher",Общий!B17,1),19),".",""),"-","")),1)+8,8)),VALUE(LEFT(SUBSTITUTE(SUBSTITUTE(Общий!B17,".",""),"-",""),8))),"0"),IFERROR(VALUE(MID(TRIM(SUBSTITUTE(SUBSTITUTE(MID(Общий!B17,SEARCH("Karcher",Общий!B17,1),19),".",""),"-","")),SEARCH("Karcher",TRIM(SUBSTITUTE(SUBSTITUTE(MID(Общий!B17,SEARCH("Karcher",Общий!B17,1),19),".",""),"-","")),1)+8,8)),VALUE(LEFT(SUBSTITUTE(SUBSTITUTE(Общий!B17,".",""),"-",""),8)))))," ",Общий!C17),0)</f>
        <v>40393620 1</v>
      </c>
      <c r="C17" s="29" t="str">
        <f>Общий!A17</f>
        <v>9</v>
      </c>
      <c r="D17" s="27" t="str">
        <f>Общий!B17</f>
        <v>4039362 Набор всасывающих губок 118см Linatex Karcher код : 030523</v>
      </c>
      <c r="E17" s="28">
        <f>Общий!C17</f>
        <v>1</v>
      </c>
      <c r="F17" s="21"/>
      <c r="G17" s="56" t="s">
        <v>730</v>
      </c>
      <c r="H17" s="57"/>
      <c r="I17" s="58"/>
      <c r="J17" s="60">
        <v>3</v>
      </c>
      <c r="K17" s="16"/>
    </row>
    <row r="18" spans="1:11" ht="19.5" customHeight="1">
      <c r="A18" s="31">
        <f>IFERROR(VALUE(IF(LEN(IFERROR(VALUE(MID(TRIM(SUBSTITUTE(SUBSTITUTE(MID(Общий!B18,SEARCH("Karcher",Общий!B18,1),19),".",""),"-","")),SEARCH("Karcher",TRIM(SUBSTITUTE(SUBSTITUTE(MID(Общий!B18,SEARCH("Karcher",Общий!B18,1),19),".",""),"-","")),1)+8,8)),VALUE(LEFT(SUBSTITUTE(SUBSTITUTE(Общий!B18,".",""),"-",""),8))))=7,CONCATENATE(IFERROR(VALUE(MID(TRIM(SUBSTITUTE(SUBSTITUTE(MID(Общий!B18,SEARCH("Karcher",Общий!B18,1),19),".",""),"-","")),SEARCH("Karcher",TRIM(SUBSTITUTE(SUBSTITUTE(MID(Общий!B18,SEARCH("Karcher",Общий!B18,1),19),".",""),"-","")),1)+8,8)),VALUE(LEFT(SUBSTITUTE(SUBSTITUTE(Общий!B18,".",""),"-",""),8))),"0"),IFERROR(VALUE(MID(TRIM(SUBSTITUTE(SUBSTITUTE(MID(Общий!B18,SEARCH("Karcher",Общий!B18,1),19),".",""),"-","")),SEARCH("Karcher",TRIM(SUBSTITUTE(SUBSTITUTE(MID(Общий!B18,SEARCH("Karcher",Общий!B18,1),19),".",""),"-","")),1)+8,8)),VALUE(LEFT(SUBSTITUTE(SUBSTITUTE(Общий!B18,".",""),"-",""),8))))),0)</f>
        <v>0</v>
      </c>
      <c r="B18" s="25">
        <f>IFERROR(CONCATENATE(VALUE(IF(LEN(IFERROR(VALUE(MID(TRIM(SUBSTITUTE(SUBSTITUTE(MID(Общий!B18,SEARCH("Karcher",Общий!B18,1),19),".",""),"-","")),SEARCH("Karcher",TRIM(SUBSTITUTE(SUBSTITUTE(MID(Общий!B18,SEARCH("Karcher",Общий!B18,1),19),".",""),"-","")),1)+8,8)),VALUE(LEFT(SUBSTITUTE(SUBSTITUTE(Общий!B18,".",""),"-",""),8))))=7,CONCATENATE(IFERROR(VALUE(MID(TRIM(SUBSTITUTE(SUBSTITUTE(MID(Общий!B18,SEARCH("Karcher",Общий!B18,1),19),".",""),"-","")),SEARCH("Karcher",TRIM(SUBSTITUTE(SUBSTITUTE(MID(Общий!B18,SEARCH("Karcher",Общий!B18,1),19),".",""),"-","")),1)+8,8)),VALUE(LEFT(SUBSTITUTE(SUBSTITUTE(Общий!B18,".",""),"-",""),8))),"0"),IFERROR(VALUE(MID(TRIM(SUBSTITUTE(SUBSTITUTE(MID(Общий!B18,SEARCH("Karcher",Общий!B18,1),19),".",""),"-","")),SEARCH("Karcher",TRIM(SUBSTITUTE(SUBSTITUTE(MID(Общий!B18,SEARCH("Karcher",Общий!B18,1),19),".",""),"-","")),1)+8,8)),VALUE(LEFT(SUBSTITUTE(SUBSTITUTE(Общий!B18,".",""),"-",""),8)))))," ",Общий!C18),0)</f>
        <v>0</v>
      </c>
      <c r="C18" s="29" t="str">
        <f>Общий!A18</f>
        <v>10</v>
      </c>
      <c r="D18" s="27" t="str">
        <f>Общий!B18</f>
        <v xml:space="preserve"> код :</v>
      </c>
      <c r="E18" s="28">
        <f>Общий!C18</f>
        <v>0</v>
      </c>
      <c r="F18" s="21"/>
      <c r="G18" s="56" t="s">
        <v>731</v>
      </c>
      <c r="H18" s="57"/>
      <c r="I18" s="58"/>
      <c r="J18" s="60">
        <v>1</v>
      </c>
      <c r="K18" s="16"/>
    </row>
    <row r="19" spans="1:11" ht="19.5" customHeight="1">
      <c r="A19" s="31">
        <f>IFERROR(VALUE(IF(LEN(IFERROR(VALUE(MID(TRIM(SUBSTITUTE(SUBSTITUTE(MID(Общий!B19,SEARCH("Karcher",Общий!B19,1),19),".",""),"-","")),SEARCH("Karcher",TRIM(SUBSTITUTE(SUBSTITUTE(MID(Общий!B19,SEARCH("Karcher",Общий!B19,1),19),".",""),"-","")),1)+8,8)),VALUE(LEFT(SUBSTITUTE(SUBSTITUTE(Общий!B19,".",""),"-",""),8))))=7,CONCATENATE(IFERROR(VALUE(MID(TRIM(SUBSTITUTE(SUBSTITUTE(MID(Общий!B19,SEARCH("Karcher",Общий!B19,1),19),".",""),"-","")),SEARCH("Karcher",TRIM(SUBSTITUTE(SUBSTITUTE(MID(Общий!B19,SEARCH("Karcher",Общий!B19,1),19),".",""),"-","")),1)+8,8)),VALUE(LEFT(SUBSTITUTE(SUBSTITUTE(Общий!B19,".",""),"-",""),8))),"0"),IFERROR(VALUE(MID(TRIM(SUBSTITUTE(SUBSTITUTE(MID(Общий!B19,SEARCH("Karcher",Общий!B19,1),19),".",""),"-","")),SEARCH("Karcher",TRIM(SUBSTITUTE(SUBSTITUTE(MID(Общий!B19,SEARCH("Karcher",Общий!B19,1),19),".",""),"-","")),1)+8,8)),VALUE(LEFT(SUBSTITUTE(SUBSTITUTE(Общий!B19,".",""),"-",""),8))))),0)</f>
        <v>45801393</v>
      </c>
      <c r="B19" s="25" t="str">
        <f>IFERROR(CONCATENATE(VALUE(IF(LEN(IFERROR(VALUE(MID(TRIM(SUBSTITUTE(SUBSTITUTE(MID(Общий!B19,SEARCH("Karcher",Общий!B19,1),19),".",""),"-","")),SEARCH("Karcher",TRIM(SUBSTITUTE(SUBSTITUTE(MID(Общий!B19,SEARCH("Karcher",Общий!B19,1),19),".",""),"-","")),1)+8,8)),VALUE(LEFT(SUBSTITUTE(SUBSTITUTE(Общий!B19,".",""),"-",""),8))))=7,CONCATENATE(IFERROR(VALUE(MID(TRIM(SUBSTITUTE(SUBSTITUTE(MID(Общий!B19,SEARCH("Karcher",Общий!B19,1),19),".",""),"-","")),SEARCH("Karcher",TRIM(SUBSTITUTE(SUBSTITUTE(MID(Общий!B19,SEARCH("Karcher",Общий!B19,1),19),".",""),"-","")),1)+8,8)),VALUE(LEFT(SUBSTITUTE(SUBSTITUTE(Общий!B19,".",""),"-",""),8))),"0"),IFERROR(VALUE(MID(TRIM(SUBSTITUTE(SUBSTITUTE(MID(Общий!B19,SEARCH("Karcher",Общий!B19,1),19),".",""),"-","")),SEARCH("Karcher",TRIM(SUBSTITUTE(SUBSTITUTE(MID(Общий!B19,SEARCH("Karcher",Общий!B19,1),19),".",""),"-","")),1)+8,8)),VALUE(LEFT(SUBSTITUTE(SUBSTITUTE(Общий!B19,".",""),"-",""),8)))))," ",Общий!C19),0)</f>
        <v>45801393 1</v>
      </c>
      <c r="C19" s="29" t="str">
        <f>Общий!A19</f>
        <v>11</v>
      </c>
      <c r="D19" s="27" t="str">
        <f>Общий!B19</f>
        <v>45801393 Пусковой клапан на замену Karcher (OLD 45800763) *3* код : 005067</v>
      </c>
      <c r="E19" s="28">
        <f>Общий!C19</f>
        <v>1</v>
      </c>
      <c r="F19" s="21"/>
      <c r="G19" s="56" t="s">
        <v>732</v>
      </c>
      <c r="H19" s="57"/>
      <c r="I19" s="58"/>
      <c r="J19" s="60">
        <v>3</v>
      </c>
      <c r="K19" s="16"/>
    </row>
    <row r="20" spans="1:11" ht="19.5" customHeight="1">
      <c r="A20" s="31">
        <f>IFERROR(VALUE(IF(LEN(IFERROR(VALUE(MID(TRIM(SUBSTITUTE(SUBSTITUTE(MID(Общий!B20,SEARCH("Karcher",Общий!B20,1),19),".",""),"-","")),SEARCH("Karcher",TRIM(SUBSTITUTE(SUBSTITUTE(MID(Общий!B20,SEARCH("Karcher",Общий!B20,1),19),".",""),"-","")),1)+8,8)),VALUE(LEFT(SUBSTITUTE(SUBSTITUTE(Общий!B20,".",""),"-",""),8))))=7,CONCATENATE(IFERROR(VALUE(MID(TRIM(SUBSTITUTE(SUBSTITUTE(MID(Общий!B20,SEARCH("Karcher",Общий!B20,1),19),".",""),"-","")),SEARCH("Karcher",TRIM(SUBSTITUTE(SUBSTITUTE(MID(Общий!B20,SEARCH("Karcher",Общий!B20,1),19),".",""),"-","")),1)+8,8)),VALUE(LEFT(SUBSTITUTE(SUBSTITUTE(Общий!B20,".",""),"-",""),8))),"0"),IFERROR(VALUE(MID(TRIM(SUBSTITUTE(SUBSTITUTE(MID(Общий!B20,SEARCH("Karcher",Общий!B20,1),19),".",""),"-","")),SEARCH("Karcher",TRIM(SUBSTITUTE(SUBSTITUTE(MID(Общий!B20,SEARCH("Karcher",Общий!B20,1),19),".",""),"-","")),1)+8,8)),VALUE(LEFT(SUBSTITUTE(SUBSTITUTE(Общий!B20,".",""),"-",""),8))))),0)</f>
        <v>45801393</v>
      </c>
      <c r="B20" s="25" t="str">
        <f>IFERROR(CONCATENATE(VALUE(IF(LEN(IFERROR(VALUE(MID(TRIM(SUBSTITUTE(SUBSTITUTE(MID(Общий!B20,SEARCH("Karcher",Общий!B20,1),19),".",""),"-","")),SEARCH("Karcher",TRIM(SUBSTITUTE(SUBSTITUTE(MID(Общий!B20,SEARCH("Karcher",Общий!B20,1),19),".",""),"-","")),1)+8,8)),VALUE(LEFT(SUBSTITUTE(SUBSTITUTE(Общий!B20,".",""),"-",""),8))))=7,CONCATENATE(IFERROR(VALUE(MID(TRIM(SUBSTITUTE(SUBSTITUTE(MID(Общий!B20,SEARCH("Karcher",Общий!B20,1),19),".",""),"-","")),SEARCH("Karcher",TRIM(SUBSTITUTE(SUBSTITUTE(MID(Общий!B20,SEARCH("Karcher",Общий!B20,1),19),".",""),"-","")),1)+8,8)),VALUE(LEFT(SUBSTITUTE(SUBSTITUTE(Общий!B20,".",""),"-",""),8))),"0"),IFERROR(VALUE(MID(TRIM(SUBSTITUTE(SUBSTITUTE(MID(Общий!B20,SEARCH("Karcher",Общий!B20,1),19),".",""),"-","")),SEARCH("Karcher",TRIM(SUBSTITUTE(SUBSTITUTE(MID(Общий!B20,SEARCH("Karcher",Общий!B20,1),19),".",""),"-","")),1)+8,8)),VALUE(LEFT(SUBSTITUTE(SUBSTITUTE(Общий!B20,".",""),"-",""),8)))))," ",Общий!C20),0)</f>
        <v>45801393 1</v>
      </c>
      <c r="C20" s="29" t="str">
        <f>Общий!A20</f>
        <v>12</v>
      </c>
      <c r="D20" s="27" t="str">
        <f>Общий!B20</f>
        <v>45801393 Пусковой клапан на замену Karcher (OLD 45800763) *3* код : 005067</v>
      </c>
      <c r="E20" s="28">
        <f>Общий!C20</f>
        <v>1</v>
      </c>
      <c r="F20" s="21"/>
      <c r="G20" s="56" t="s">
        <v>733</v>
      </c>
      <c r="H20" s="57"/>
      <c r="I20" s="58"/>
      <c r="J20" s="60">
        <v>1</v>
      </c>
      <c r="K20" s="16"/>
    </row>
    <row r="21" spans="1:11" ht="19.5" customHeight="1">
      <c r="A21" s="31">
        <f>IFERROR(VALUE(IF(LEN(IFERROR(VALUE(MID(TRIM(SUBSTITUTE(SUBSTITUTE(MID(Общий!B21,SEARCH("Karcher",Общий!B21,1),19),".",""),"-","")),SEARCH("Karcher",TRIM(SUBSTITUTE(SUBSTITUTE(MID(Общий!B21,SEARCH("Karcher",Общий!B21,1),19),".",""),"-","")),1)+8,8)),VALUE(LEFT(SUBSTITUTE(SUBSTITUTE(Общий!B21,".",""),"-",""),8))))=7,CONCATENATE(IFERROR(VALUE(MID(TRIM(SUBSTITUTE(SUBSTITUTE(MID(Общий!B21,SEARCH("Karcher",Общий!B21,1),19),".",""),"-","")),SEARCH("Karcher",TRIM(SUBSTITUTE(SUBSTITUTE(MID(Общий!B21,SEARCH("Karcher",Общий!B21,1),19),".",""),"-","")),1)+8,8)),VALUE(LEFT(SUBSTITUTE(SUBSTITUTE(Общий!B21,".",""),"-",""),8))),"0"),IFERROR(VALUE(MID(TRIM(SUBSTITUTE(SUBSTITUTE(MID(Общий!B21,SEARCH("Karcher",Общий!B21,1),19),".",""),"-","")),SEARCH("Karcher",TRIM(SUBSTITUTE(SUBSTITUTE(MID(Общий!B21,SEARCH("Karcher",Общий!B21,1),19),".",""),"-","")),1)+8,8)),VALUE(LEFT(SUBSTITUTE(SUBSTITUTE(Общий!B21,".",""),"-",""),8))))),0)</f>
        <v>63900280</v>
      </c>
      <c r="B21" s="25" t="str">
        <f>IFERROR(CONCATENATE(VALUE(IF(LEN(IFERROR(VALUE(MID(TRIM(SUBSTITUTE(SUBSTITUTE(MID(Общий!B21,SEARCH("Karcher",Общий!B21,1),19),".",""),"-","")),SEARCH("Karcher",TRIM(SUBSTITUTE(SUBSTITUTE(MID(Общий!B21,SEARCH("Karcher",Общий!B21,1),19),".",""),"-","")),1)+8,8)),VALUE(LEFT(SUBSTITUTE(SUBSTITUTE(Общий!B21,".",""),"-",""),8))))=7,CONCATENATE(IFERROR(VALUE(MID(TRIM(SUBSTITUTE(SUBSTITUTE(MID(Общий!B21,SEARCH("Karcher",Общий!B21,1),19),".",""),"-","")),SEARCH("Karcher",TRIM(SUBSTITUTE(SUBSTITUTE(MID(Общий!B21,SEARCH("Karcher",Общий!B21,1),19),".",""),"-","")),1)+8,8)),VALUE(LEFT(SUBSTITUTE(SUBSTITUTE(Общий!B21,".",""),"-",""),8))),"0"),IFERROR(VALUE(MID(TRIM(SUBSTITUTE(SUBSTITUTE(MID(Общий!B21,SEARCH("Karcher",Общий!B21,1),19),".",""),"-","")),SEARCH("Karcher",TRIM(SUBSTITUTE(SUBSTITUTE(MID(Общий!B21,SEARCH("Karcher",Общий!B21,1),19),".",""),"-","")),1)+8,8)),VALUE(LEFT(SUBSTITUTE(SUBSTITUTE(Общий!B21,".",""),"-",""),8)))))," ",Общий!C21),0)</f>
        <v>63900280 1</v>
      </c>
      <c r="C21" s="29" t="str">
        <f>Общий!A21</f>
        <v>13</v>
      </c>
      <c r="D21" s="27" t="str">
        <f>Общий!B21</f>
        <v>Комплект для чистки труб 20м для АВД проф без сопла Karcher 6.390-028 код : 001255</v>
      </c>
      <c r="E21" s="28">
        <f>Общий!C21</f>
        <v>1</v>
      </c>
      <c r="F21" s="21"/>
      <c r="G21" s="56" t="s">
        <v>734</v>
      </c>
      <c r="H21" s="57"/>
      <c r="I21" s="58"/>
      <c r="J21" s="60">
        <v>3</v>
      </c>
      <c r="K21" s="16"/>
    </row>
    <row r="22" spans="1:11" ht="19.5" customHeight="1">
      <c r="A22" s="31">
        <f>IFERROR(VALUE(IF(LEN(IFERROR(VALUE(MID(TRIM(SUBSTITUTE(SUBSTITUTE(MID(Общий!B22,SEARCH("Karcher",Общий!B22,1),19),".",""),"-","")),SEARCH("Karcher",TRIM(SUBSTITUTE(SUBSTITUTE(MID(Общий!B22,SEARCH("Karcher",Общий!B22,1),19),".",""),"-","")),1)+8,8)),VALUE(LEFT(SUBSTITUTE(SUBSTITUTE(Общий!B22,".",""),"-",""),8))))=7,CONCATENATE(IFERROR(VALUE(MID(TRIM(SUBSTITUTE(SUBSTITUTE(MID(Общий!B22,SEARCH("Karcher",Общий!B22,1),19),".",""),"-","")),SEARCH("Karcher",TRIM(SUBSTITUTE(SUBSTITUTE(MID(Общий!B22,SEARCH("Karcher",Общий!B22,1),19),".",""),"-","")),1)+8,8)),VALUE(LEFT(SUBSTITUTE(SUBSTITUTE(Общий!B22,".",""),"-",""),8))),"0"),IFERROR(VALUE(MID(TRIM(SUBSTITUTE(SUBSTITUTE(MID(Общий!B22,SEARCH("Karcher",Общий!B22,1),19),".",""),"-","")),SEARCH("Karcher",TRIM(SUBSTITUTE(SUBSTITUTE(MID(Общий!B22,SEARCH("Karcher",Общий!B22,1),19),".",""),"-","")),1)+8,8)),VALUE(LEFT(SUBSTITUTE(SUBSTITUTE(Общий!B22,".",""),"-",""),8))))),0)</f>
        <v>0</v>
      </c>
      <c r="B22" s="25">
        <f>IFERROR(CONCATENATE(VALUE(IF(LEN(IFERROR(VALUE(MID(TRIM(SUBSTITUTE(SUBSTITUTE(MID(Общий!B22,SEARCH("Karcher",Общий!B22,1),19),".",""),"-","")),SEARCH("Karcher",TRIM(SUBSTITUTE(SUBSTITUTE(MID(Общий!B22,SEARCH("Karcher",Общий!B22,1),19),".",""),"-","")),1)+8,8)),VALUE(LEFT(SUBSTITUTE(SUBSTITUTE(Общий!B22,".",""),"-",""),8))))=7,CONCATENATE(IFERROR(VALUE(MID(TRIM(SUBSTITUTE(SUBSTITUTE(MID(Общий!B22,SEARCH("Karcher",Общий!B22,1),19),".",""),"-","")),SEARCH("Karcher",TRIM(SUBSTITUTE(SUBSTITUTE(MID(Общий!B22,SEARCH("Karcher",Общий!B22,1),19),".",""),"-","")),1)+8,8)),VALUE(LEFT(SUBSTITUTE(SUBSTITUTE(Общий!B22,".",""),"-",""),8))),"0"),IFERROR(VALUE(MID(TRIM(SUBSTITUTE(SUBSTITUTE(MID(Общий!B22,SEARCH("Karcher",Общий!B22,1),19),".",""),"-","")),SEARCH("Karcher",TRIM(SUBSTITUTE(SUBSTITUTE(MID(Общий!B22,SEARCH("Karcher",Общий!B22,1),19),".",""),"-","")),1)+8,8)),VALUE(LEFT(SUBSTITUTE(SUBSTITUTE(Общий!B22,".",""),"-",""),8)))))," ",Общий!C22),0)</f>
        <v>0</v>
      </c>
      <c r="C22" s="29" t="str">
        <f>Общий!A22</f>
        <v>14</v>
      </c>
      <c r="D22" s="27" t="str">
        <f>Общий!B22</f>
        <v xml:space="preserve"> код :</v>
      </c>
      <c r="E22" s="28">
        <f>Общий!C22</f>
        <v>0</v>
      </c>
      <c r="F22" s="21"/>
      <c r="G22" s="56" t="s">
        <v>735</v>
      </c>
      <c r="H22" s="57"/>
      <c r="I22" s="58"/>
      <c r="J22" s="60">
        <v>5</v>
      </c>
      <c r="K22" s="16"/>
    </row>
    <row r="23" spans="1:11" ht="19.5" customHeight="1">
      <c r="A23" s="31">
        <f>IFERROR(VALUE(IF(LEN(IFERROR(VALUE(MID(TRIM(SUBSTITUTE(SUBSTITUTE(MID(Общий!B23,SEARCH("Karcher",Общий!B23,1),19),".",""),"-","")),SEARCH("Karcher",TRIM(SUBSTITUTE(SUBSTITUTE(MID(Общий!B23,SEARCH("Karcher",Общий!B23,1),19),".",""),"-","")),1)+8,8)),VALUE(LEFT(SUBSTITUTE(SUBSTITUTE(Общий!B23,".",""),"-",""),8))))=7,CONCATENATE(IFERROR(VALUE(MID(TRIM(SUBSTITUTE(SUBSTITUTE(MID(Общий!B23,SEARCH("Karcher",Общий!B23,1),19),".",""),"-","")),SEARCH("Karcher",TRIM(SUBSTITUTE(SUBSTITUTE(MID(Общий!B23,SEARCH("Karcher",Общий!B23,1),19),".",""),"-","")),1)+8,8)),VALUE(LEFT(SUBSTITUTE(SUBSTITUTE(Общий!B23,".",""),"-",""),8))),"0"),IFERROR(VALUE(MID(TRIM(SUBSTITUTE(SUBSTITUTE(MID(Общий!B23,SEARCH("Karcher",Общий!B23,1),19),".",""),"-","")),SEARCH("Karcher",TRIM(SUBSTITUTE(SUBSTITUTE(MID(Общий!B23,SEARCH("Karcher",Общий!B23,1),19),".",""),"-","")),1)+8,8)),VALUE(LEFT(SUBSTITUTE(SUBSTITUTE(Общий!B23,".",""),"-",""),8))))),0)</f>
        <v>28632400</v>
      </c>
      <c r="B23" s="25" t="str">
        <f>IFERROR(CONCATENATE(VALUE(IF(LEN(IFERROR(VALUE(MID(TRIM(SUBSTITUTE(SUBSTITUTE(MID(Общий!B23,SEARCH("Karcher",Общий!B23,1),19),".",""),"-","")),SEARCH("Karcher",TRIM(SUBSTITUTE(SUBSTITUTE(MID(Общий!B23,SEARCH("Karcher",Общий!B23,1),19),".",""),"-","")),1)+8,8)),VALUE(LEFT(SUBSTITUTE(SUBSTITUTE(Общий!B23,".",""),"-",""),8))))=7,CONCATENATE(IFERROR(VALUE(MID(TRIM(SUBSTITUTE(SUBSTITUTE(MID(Общий!B23,SEARCH("Karcher",Общий!B23,1),19),".",""),"-","")),SEARCH("Karcher",TRIM(SUBSTITUTE(SUBSTITUTE(MID(Общий!B23,SEARCH("Karcher",Общий!B23,1),19),".",""),"-","")),1)+8,8)),VALUE(LEFT(SUBSTITUTE(SUBSTITUTE(Общий!B23,".",""),"-",""),8))),"0"),IFERROR(VALUE(MID(TRIM(SUBSTITUTE(SUBSTITUTE(MID(Общий!B23,SEARCH("Karcher",Общий!B23,1),19),".",""),"-","")),SEARCH("Karcher",TRIM(SUBSTITUTE(SUBSTITUTE(MID(Общий!B23,SEARCH("Karcher",Общий!B23,1),19),".",""),"-","")),1)+8,8)),VALUE(LEFT(SUBSTITUTE(SUBSTITUTE(Общий!B23,".",""),"-",""),8)))))," ",Общий!C23),0)</f>
        <v>28632400 2</v>
      </c>
      <c r="C23" s="29" t="str">
        <f>Общий!A23</f>
        <v>15</v>
      </c>
      <c r="D23" s="27" t="str">
        <f>Общий!B23</f>
        <v>Фильтр отработанного воздуха VC5 Karcher 2.863-240 код : 001432</v>
      </c>
      <c r="E23" s="28">
        <f>Общий!C23</f>
        <v>2</v>
      </c>
      <c r="F23" s="21"/>
      <c r="G23" s="56" t="s">
        <v>736</v>
      </c>
      <c r="H23" s="57"/>
      <c r="I23" s="58"/>
      <c r="J23" s="60">
        <v>5</v>
      </c>
      <c r="K23" s="16"/>
    </row>
    <row r="24" spans="1:11" ht="19.5" customHeight="1">
      <c r="A24" s="31">
        <f>IFERROR(VALUE(IF(LEN(IFERROR(VALUE(MID(TRIM(SUBSTITUTE(SUBSTITUTE(MID(Общий!B24,SEARCH("Karcher",Общий!B24,1),19),".",""),"-","")),SEARCH("Karcher",TRIM(SUBSTITUTE(SUBSTITUTE(MID(Общий!B24,SEARCH("Karcher",Общий!B24,1),19),".",""),"-","")),1)+8,8)),VALUE(LEFT(SUBSTITUTE(SUBSTITUTE(Общий!B24,".",""),"-",""),8))))=7,CONCATENATE(IFERROR(VALUE(MID(TRIM(SUBSTITUTE(SUBSTITUTE(MID(Общий!B24,SEARCH("Karcher",Общий!B24,1),19),".",""),"-","")),SEARCH("Karcher",TRIM(SUBSTITUTE(SUBSTITUTE(MID(Общий!B24,SEARCH("Karcher",Общий!B24,1),19),".",""),"-","")),1)+8,8)),VALUE(LEFT(SUBSTITUTE(SUBSTITUTE(Общий!B24,".",""),"-",""),8))),"0"),IFERROR(VALUE(MID(TRIM(SUBSTITUTE(SUBSTITUTE(MID(Общий!B24,SEARCH("Karcher",Общий!B24,1),19),".",""),"-","")),SEARCH("Karcher",TRIM(SUBSTITUTE(SUBSTITUTE(MID(Общий!B24,SEARCH("Karcher",Общий!B24,1),19),".",""),"-","")),1)+8,8)),VALUE(LEFT(SUBSTITUTE(SUBSTITUTE(Общий!B24,".",""),"-",""),8))))),0)</f>
        <v>64146310</v>
      </c>
      <c r="B24" s="25" t="str">
        <f>IFERROR(CONCATENATE(VALUE(IF(LEN(IFERROR(VALUE(MID(TRIM(SUBSTITUTE(SUBSTITUTE(MID(Общий!B24,SEARCH("Karcher",Общий!B24,1),19),".",""),"-","")),SEARCH("Karcher",TRIM(SUBSTITUTE(SUBSTITUTE(MID(Общий!B24,SEARCH("Karcher",Общий!B24,1),19),".",""),"-","")),1)+8,8)),VALUE(LEFT(SUBSTITUTE(SUBSTITUTE(Общий!B24,".",""),"-",""),8))))=7,CONCATENATE(IFERROR(VALUE(MID(TRIM(SUBSTITUTE(SUBSTITUTE(MID(Общий!B24,SEARCH("Karcher",Общий!B24,1),19),".",""),"-","")),SEARCH("Karcher",TRIM(SUBSTITUTE(SUBSTITUTE(MID(Общий!B24,SEARCH("Karcher",Общий!B24,1),19),".",""),"-","")),1)+8,8)),VALUE(LEFT(SUBSTITUTE(SUBSTITUTE(Общий!B24,".",""),"-",""),8))),"0"),IFERROR(VALUE(MID(TRIM(SUBSTITUTE(SUBSTITUTE(MID(Общий!B24,SEARCH("Karcher",Общий!B24,1),19),".",""),"-","")),SEARCH("Karcher",TRIM(SUBSTITUTE(SUBSTITUTE(MID(Общий!B24,SEARCH("Karcher",Общий!B24,1),19),".",""),"-","")),1)+8,8)),VALUE(LEFT(SUBSTITUTE(SUBSTITUTE(Общий!B24,".",""),"-",""),8)))))," ",Общий!C24),0)</f>
        <v>64146310 3</v>
      </c>
      <c r="C24" s="29" t="str">
        <f>Общий!A24</f>
        <v>16</v>
      </c>
      <c r="D24" s="27" t="str">
        <f>Общий!B24</f>
        <v>Фильтр плоский защиты электродвигателя (серия DS) Karcher 6.414-631 код : 001463</v>
      </c>
      <c r="E24" s="28">
        <f>Общий!C24</f>
        <v>3</v>
      </c>
      <c r="F24" s="21"/>
      <c r="G24" s="56" t="s">
        <v>737</v>
      </c>
      <c r="H24" s="57"/>
      <c r="I24" s="58"/>
      <c r="J24" s="60">
        <v>1</v>
      </c>
      <c r="K24" s="16"/>
    </row>
    <row r="25" spans="1:11" ht="19.5" customHeight="1">
      <c r="A25" s="31">
        <f>IFERROR(VALUE(IF(LEN(IFERROR(VALUE(MID(TRIM(SUBSTITUTE(SUBSTITUTE(MID(Общий!B25,SEARCH("Karcher",Общий!B25,1),19),".",""),"-","")),SEARCH("Karcher",TRIM(SUBSTITUTE(SUBSTITUTE(MID(Общий!B25,SEARCH("Karcher",Общий!B25,1),19),".",""),"-","")),1)+8,8)),VALUE(LEFT(SUBSTITUTE(SUBSTITUTE(Общий!B25,".",""),"-",""),8))))=7,CONCATENATE(IFERROR(VALUE(MID(TRIM(SUBSTITUTE(SUBSTITUTE(MID(Общий!B25,SEARCH("Karcher",Общий!B25,1),19),".",""),"-","")),SEARCH("Karcher",TRIM(SUBSTITUTE(SUBSTITUTE(MID(Общий!B25,SEARCH("Karcher",Общий!B25,1),19),".",""),"-","")),1)+8,8)),VALUE(LEFT(SUBSTITUTE(SUBSTITUTE(Общий!B25,".",""),"-",""),8))),"0"),IFERROR(VALUE(MID(TRIM(SUBSTITUTE(SUBSTITUTE(MID(Общий!B25,SEARCH("Karcher",Общий!B25,1),19),".",""),"-","")),SEARCH("Karcher",TRIM(SUBSTITUTE(SUBSTITUTE(MID(Общий!B25,SEARCH("Karcher",Общий!B25,1),19),".",""),"-","")),1)+8,8)),VALUE(LEFT(SUBSTITUTE(SUBSTITUTE(Общий!B25,".",""),"-",""),8))))),0)</f>
        <v>90805030</v>
      </c>
      <c r="B25" s="25" t="str">
        <f>IFERROR(CONCATENATE(VALUE(IF(LEN(IFERROR(VALUE(MID(TRIM(SUBSTITUTE(SUBSTITUTE(MID(Общий!B25,SEARCH("Karcher",Общий!B25,1),19),".",""),"-","")),SEARCH("Karcher",TRIM(SUBSTITUTE(SUBSTITUTE(MID(Общий!B25,SEARCH("Karcher",Общий!B25,1),19),".",""),"-","")),1)+8,8)),VALUE(LEFT(SUBSTITUTE(SUBSTITUTE(Общий!B25,".",""),"-",""),8))))=7,CONCATENATE(IFERROR(VALUE(MID(TRIM(SUBSTITUTE(SUBSTITUTE(MID(Общий!B25,SEARCH("Karcher",Общий!B25,1),19),".",""),"-","")),SEARCH("Karcher",TRIM(SUBSTITUTE(SUBSTITUTE(MID(Общий!B25,SEARCH("Karcher",Общий!B25,1),19),".",""),"-","")),1)+8,8)),VALUE(LEFT(SUBSTITUTE(SUBSTITUTE(Общий!B25,".",""),"-",""),8))),"0"),IFERROR(VALUE(MID(TRIM(SUBSTITUTE(SUBSTITUTE(MID(Общий!B25,SEARCH("Karcher",Общий!B25,1),19),".",""),"-","")),SEARCH("Karcher",TRIM(SUBSTITUTE(SUBSTITUTE(MID(Общий!B25,SEARCH("Karcher",Общий!B25,1),19),".",""),"-","")),1)+8,8)),VALUE(LEFT(SUBSTITUTE(SUBSTITUTE(Общий!B25,".",""),"-",""),8)))))," ",Общий!C25),0)</f>
        <v>90805030 2</v>
      </c>
      <c r="C25" s="29" t="str">
        <f>Общий!A25</f>
        <v>17</v>
      </c>
      <c r="D25" s="27" t="str">
        <f>Общий!B25</f>
        <v>9080503 Кольцо 113 х 5 Karcher код : 005108</v>
      </c>
      <c r="E25" s="28">
        <f>Общий!C25</f>
        <v>2</v>
      </c>
      <c r="F25" s="21"/>
      <c r="G25" s="56" t="s">
        <v>738</v>
      </c>
      <c r="H25" s="57"/>
      <c r="I25" s="58"/>
      <c r="J25" s="60">
        <v>9</v>
      </c>
      <c r="K25" s="16"/>
    </row>
    <row r="26" spans="1:11" ht="19.5" customHeight="1">
      <c r="A26" s="31">
        <f>IFERROR(VALUE(IF(LEN(IFERROR(VALUE(MID(TRIM(SUBSTITUTE(SUBSTITUTE(MID(Общий!B26,SEARCH("Karcher",Общий!B26,1),19),".",""),"-","")),SEARCH("Karcher",TRIM(SUBSTITUTE(SUBSTITUTE(MID(Общий!B26,SEARCH("Karcher",Общий!B26,1),19),".",""),"-","")),1)+8,8)),VALUE(LEFT(SUBSTITUTE(SUBSTITUTE(Общий!B26,".",""),"-",""),8))))=7,CONCATENATE(IFERROR(VALUE(MID(TRIM(SUBSTITUTE(SUBSTITUTE(MID(Общий!B26,SEARCH("Karcher",Общий!B26,1),19),".",""),"-","")),SEARCH("Karcher",TRIM(SUBSTITUTE(SUBSTITUTE(MID(Общий!B26,SEARCH("Karcher",Общий!B26,1),19),".",""),"-","")),1)+8,8)),VALUE(LEFT(SUBSTITUTE(SUBSTITUTE(Общий!B26,".",""),"-",""),8))),"0"),IFERROR(VALUE(MID(TRIM(SUBSTITUTE(SUBSTITUTE(MID(Общий!B26,SEARCH("Karcher",Общий!B26,1),19),".",""),"-","")),SEARCH("Karcher",TRIM(SUBSTITUTE(SUBSTITUTE(MID(Общий!B26,SEARCH("Karcher",Общий!B26,1),19),".",""),"-","")),1)+8,8)),VALUE(LEFT(SUBSTITUTE(SUBSTITUTE(Общий!B26,".",""),"-",""),8))))),0)</f>
        <v>90805040</v>
      </c>
      <c r="B26" s="25" t="str">
        <f>IFERROR(CONCATENATE(VALUE(IF(LEN(IFERROR(VALUE(MID(TRIM(SUBSTITUTE(SUBSTITUTE(MID(Общий!B26,SEARCH("Karcher",Общий!B26,1),19),".",""),"-","")),SEARCH("Karcher",TRIM(SUBSTITUTE(SUBSTITUTE(MID(Общий!B26,SEARCH("Karcher",Общий!B26,1),19),".",""),"-","")),1)+8,8)),VALUE(LEFT(SUBSTITUTE(SUBSTITUTE(Общий!B26,".",""),"-",""),8))))=7,CONCATENATE(IFERROR(VALUE(MID(TRIM(SUBSTITUTE(SUBSTITUTE(MID(Общий!B26,SEARCH("Karcher",Общий!B26,1),19),".",""),"-","")),SEARCH("Karcher",TRIM(SUBSTITUTE(SUBSTITUTE(MID(Общий!B26,SEARCH("Karcher",Общий!B26,1),19),".",""),"-","")),1)+8,8)),VALUE(LEFT(SUBSTITUTE(SUBSTITUTE(Общий!B26,".",""),"-",""),8))),"0"),IFERROR(VALUE(MID(TRIM(SUBSTITUTE(SUBSTITUTE(MID(Общий!B26,SEARCH("Karcher",Общий!B26,1),19),".",""),"-","")),SEARCH("Karcher",TRIM(SUBSTITUTE(SUBSTITUTE(MID(Общий!B26,SEARCH("Karcher",Общий!B26,1),19),".",""),"-","")),1)+8,8)),VALUE(LEFT(SUBSTITUTE(SUBSTITUTE(Общий!B26,".",""),"-",""),8)))))," ",Общий!C26),0)</f>
        <v>90805040 1</v>
      </c>
      <c r="C26" s="29" t="str">
        <f>Общий!A26</f>
        <v>18</v>
      </c>
      <c r="D26" s="27" t="str">
        <f>Общий!B26</f>
        <v>9080504 Уплотнительное кольцо 124x3 EPDM 70 Karcher код : 005109</v>
      </c>
      <c r="E26" s="28">
        <f>Общий!C26</f>
        <v>1</v>
      </c>
      <c r="F26" s="21"/>
      <c r="G26" s="56" t="s">
        <v>739</v>
      </c>
      <c r="H26" s="57"/>
      <c r="I26" s="58"/>
      <c r="J26" s="60">
        <v>2</v>
      </c>
      <c r="K26" s="16"/>
    </row>
    <row r="27" spans="1:11" ht="19.5" customHeight="1">
      <c r="A27" s="31">
        <f>IFERROR(VALUE(IF(LEN(IFERROR(VALUE(MID(TRIM(SUBSTITUTE(SUBSTITUTE(MID(Общий!B27,SEARCH("Karcher",Общий!B27,1),19),".",""),"-","")),SEARCH("Karcher",TRIM(SUBSTITUTE(SUBSTITUTE(MID(Общий!B27,SEARCH("Karcher",Общий!B27,1),19),".",""),"-","")),1)+8,8)),VALUE(LEFT(SUBSTITUTE(SUBSTITUTE(Общий!B27,".",""),"-",""),8))))=7,CONCATENATE(IFERROR(VALUE(MID(TRIM(SUBSTITUTE(SUBSTITUTE(MID(Общий!B27,SEARCH("Karcher",Общий!B27,1),19),".",""),"-","")),SEARCH("Karcher",TRIM(SUBSTITUTE(SUBSTITUTE(MID(Общий!B27,SEARCH("Karcher",Общий!B27,1),19),".",""),"-","")),1)+8,8)),VALUE(LEFT(SUBSTITUTE(SUBSTITUTE(Общий!B27,".",""),"-",""),8))),"0"),IFERROR(VALUE(MID(TRIM(SUBSTITUTE(SUBSTITUTE(MID(Общий!B27,SEARCH("Karcher",Общий!B27,1),19),".",""),"-","")),SEARCH("Karcher",TRIM(SUBSTITUTE(SUBSTITUTE(MID(Общий!B27,SEARCH("Karcher",Общий!B27,1),19),".",""),"-","")),1)+8,8)),VALUE(LEFT(SUBSTITUTE(SUBSTITUTE(Общий!B27,".",""),"-",""),8))))),0)</f>
        <v>90805050</v>
      </c>
      <c r="B27" s="25" t="str">
        <f>IFERROR(CONCATENATE(VALUE(IF(LEN(IFERROR(VALUE(MID(TRIM(SUBSTITUTE(SUBSTITUTE(MID(Общий!B27,SEARCH("Karcher",Общий!B27,1),19),".",""),"-","")),SEARCH("Karcher",TRIM(SUBSTITUTE(SUBSTITUTE(MID(Общий!B27,SEARCH("Karcher",Общий!B27,1),19),".",""),"-","")),1)+8,8)),VALUE(LEFT(SUBSTITUTE(SUBSTITUTE(Общий!B27,".",""),"-",""),8))))=7,CONCATENATE(IFERROR(VALUE(MID(TRIM(SUBSTITUTE(SUBSTITUTE(MID(Общий!B27,SEARCH("Karcher",Общий!B27,1),19),".",""),"-","")),SEARCH("Karcher",TRIM(SUBSTITUTE(SUBSTITUTE(MID(Общий!B27,SEARCH("Karcher",Общий!B27,1),19),".",""),"-","")),1)+8,8)),VALUE(LEFT(SUBSTITUTE(SUBSTITUTE(Общий!B27,".",""),"-",""),8))),"0"),IFERROR(VALUE(MID(TRIM(SUBSTITUTE(SUBSTITUTE(MID(Общий!B27,SEARCH("Karcher",Общий!B27,1),19),".",""),"-","")),SEARCH("Karcher",TRIM(SUBSTITUTE(SUBSTITUTE(MID(Общий!B27,SEARCH("Karcher",Общий!B27,1),19),".",""),"-","")),1)+8,8)),VALUE(LEFT(SUBSTITUTE(SUBSTITUTE(Общий!B27,".",""),"-",""),8)))))," ",Общий!C27),0)</f>
        <v>90805050 2</v>
      </c>
      <c r="C27" s="29" t="str">
        <f>Общий!A27</f>
        <v>19</v>
      </c>
      <c r="D27" s="27" t="str">
        <f>Общий!B27</f>
        <v>9080505 Уплотнительное кольцо 142.2x3 EPDM 70 Karcher код : 005110</v>
      </c>
      <c r="E27" s="28">
        <f>Общий!C27</f>
        <v>2</v>
      </c>
      <c r="F27" s="21"/>
      <c r="G27" s="56" t="s">
        <v>740</v>
      </c>
      <c r="H27" s="57"/>
      <c r="I27" s="58"/>
      <c r="J27" s="60">
        <v>3</v>
      </c>
      <c r="K27" s="16"/>
    </row>
    <row r="28" spans="1:11" ht="19.5" customHeight="1">
      <c r="A28" s="31">
        <f>IFERROR(VALUE(IF(LEN(IFERROR(VALUE(MID(TRIM(SUBSTITUTE(SUBSTITUTE(MID(Общий!B28,SEARCH("Karcher",Общий!B28,1),19),".",""),"-","")),SEARCH("Karcher",TRIM(SUBSTITUTE(SUBSTITUTE(MID(Общий!B28,SEARCH("Karcher",Общий!B28,1),19),".",""),"-","")),1)+8,8)),VALUE(LEFT(SUBSTITUTE(SUBSTITUTE(Общий!B28,".",""),"-",""),8))))=7,CONCATENATE(IFERROR(VALUE(MID(TRIM(SUBSTITUTE(SUBSTITUTE(MID(Общий!B28,SEARCH("Karcher",Общий!B28,1),19),".",""),"-","")),SEARCH("Karcher",TRIM(SUBSTITUTE(SUBSTITUTE(MID(Общий!B28,SEARCH("Karcher",Общий!B28,1),19),".",""),"-","")),1)+8,8)),VALUE(LEFT(SUBSTITUTE(SUBSTITUTE(Общий!B28,".",""),"-",""),8))),"0"),IFERROR(VALUE(MID(TRIM(SUBSTITUTE(SUBSTITUTE(MID(Общий!B28,SEARCH("Karcher",Общий!B28,1),19),".",""),"-","")),SEARCH("Karcher",TRIM(SUBSTITUTE(SUBSTITUTE(MID(Общий!B28,SEARCH("Karcher",Общий!B28,1),19),".",""),"-","")),1)+8,8)),VALUE(LEFT(SUBSTITUTE(SUBSTITUTE(Общий!B28,".",""),"-",""),8))))),0)</f>
        <v>28633190</v>
      </c>
      <c r="B28" s="25" t="str">
        <f>IFERROR(CONCATENATE(VALUE(IF(LEN(IFERROR(VALUE(MID(TRIM(SUBSTITUTE(SUBSTITUTE(MID(Общий!B28,SEARCH("Karcher",Общий!B28,1),19),".",""),"-","")),SEARCH("Karcher",TRIM(SUBSTITUTE(SUBSTITUTE(MID(Общий!B28,SEARCH("Karcher",Общий!B28,1),19),".",""),"-","")),1)+8,8)),VALUE(LEFT(SUBSTITUTE(SUBSTITUTE(Общий!B28,".",""),"-",""),8))))=7,CONCATENATE(IFERROR(VALUE(MID(TRIM(SUBSTITUTE(SUBSTITUTE(MID(Общий!B28,SEARCH("Karcher",Общий!B28,1),19),".",""),"-","")),SEARCH("Karcher",TRIM(SUBSTITUTE(SUBSTITUTE(MID(Общий!B28,SEARCH("Karcher",Общий!B28,1),19),".",""),"-","")),1)+8,8)),VALUE(LEFT(SUBSTITUTE(SUBSTITUTE(Общий!B28,".",""),"-",""),8))),"0"),IFERROR(VALUE(MID(TRIM(SUBSTITUTE(SUBSTITUTE(MID(Общий!B28,SEARCH("Karcher",Общий!B28,1),19),".",""),"-","")),SEARCH("Karcher",TRIM(SUBSTITUTE(SUBSTITUTE(MID(Общий!B28,SEARCH("Karcher",Общий!B28,1),19),".",""),"-","")),1)+8,8)),VALUE(LEFT(SUBSTITUTE(SUBSTITUTE(Общий!B28,".",""),"-",""),8)))))," ",Общий!C28),0)</f>
        <v>28633190 2</v>
      </c>
      <c r="C28" s="29" t="str">
        <f>Общий!A28</f>
        <v>20</v>
      </c>
      <c r="D28" s="27" t="str">
        <f>Общий!B28</f>
        <v>Входной воздушный фильтр VC 4,6,7 Karcher 2.863-319 код : 000606</v>
      </c>
      <c r="E28" s="28">
        <f>Общий!C28</f>
        <v>2</v>
      </c>
      <c r="F28" s="21"/>
      <c r="G28" s="56" t="s">
        <v>741</v>
      </c>
      <c r="H28" s="57"/>
      <c r="I28" s="58"/>
      <c r="J28" s="60">
        <v>3</v>
      </c>
      <c r="K28" s="16"/>
    </row>
    <row r="29" spans="1:11" ht="19.5" customHeight="1">
      <c r="A29" s="31">
        <f>IFERROR(VALUE(IF(LEN(IFERROR(VALUE(MID(TRIM(SUBSTITUTE(SUBSTITUTE(MID(Общий!B29,SEARCH("Karcher",Общий!B29,1),19),".",""),"-","")),SEARCH("Karcher",TRIM(SUBSTITUTE(SUBSTITUTE(MID(Общий!B29,SEARCH("Karcher",Общий!B29,1),19),".",""),"-","")),1)+8,8)),VALUE(LEFT(SUBSTITUTE(SUBSTITUTE(Общий!B29,".",""),"-",""),8))))=7,CONCATENATE(IFERROR(VALUE(MID(TRIM(SUBSTITUTE(SUBSTITUTE(MID(Общий!B29,SEARCH("Karcher",Общий!B29,1),19),".",""),"-","")),SEARCH("Karcher",TRIM(SUBSTITUTE(SUBSTITUTE(MID(Общий!B29,SEARCH("Karcher",Общий!B29,1),19),".",""),"-","")),1)+8,8)),VALUE(LEFT(SUBSTITUTE(SUBSTITUTE(Общий!B29,".",""),"-",""),8))),"0"),IFERROR(VALUE(MID(TRIM(SUBSTITUTE(SUBSTITUTE(MID(Общий!B29,SEARCH("Karcher",Общий!B29,1),19),".",""),"-","")),SEARCH("Karcher",TRIM(SUBSTITUTE(SUBSTITUTE(MID(Общий!B29,SEARCH("Karcher",Общий!B29,1),19),".",""),"-","")),1)+8,8)),VALUE(LEFT(SUBSTITUTE(SUBSTITUTE(Общий!B29,".",""),"-",""),8))))),0)</f>
        <v>0</v>
      </c>
      <c r="B29" s="25">
        <f>IFERROR(CONCATENATE(VALUE(IF(LEN(IFERROR(VALUE(MID(TRIM(SUBSTITUTE(SUBSTITUTE(MID(Общий!B29,SEARCH("Karcher",Общий!B29,1),19),".",""),"-","")),SEARCH("Karcher",TRIM(SUBSTITUTE(SUBSTITUTE(MID(Общий!B29,SEARCH("Karcher",Общий!B29,1),19),".",""),"-","")),1)+8,8)),VALUE(LEFT(SUBSTITUTE(SUBSTITUTE(Общий!B29,".",""),"-",""),8))))=7,CONCATENATE(IFERROR(VALUE(MID(TRIM(SUBSTITUTE(SUBSTITUTE(MID(Общий!B29,SEARCH("Karcher",Общий!B29,1),19),".",""),"-","")),SEARCH("Karcher",TRIM(SUBSTITUTE(SUBSTITUTE(MID(Общий!B29,SEARCH("Karcher",Общий!B29,1),19),".",""),"-","")),1)+8,8)),VALUE(LEFT(SUBSTITUTE(SUBSTITUTE(Общий!B29,".",""),"-",""),8))),"0"),IFERROR(VALUE(MID(TRIM(SUBSTITUTE(SUBSTITUTE(MID(Общий!B29,SEARCH("Karcher",Общий!B29,1),19),".",""),"-","")),SEARCH("Karcher",TRIM(SUBSTITUTE(SUBSTITUTE(MID(Общий!B29,SEARCH("Karcher",Общий!B29,1),19),".",""),"-","")),1)+8,8)),VALUE(LEFT(SUBSTITUTE(SUBSTITUTE(Общий!B29,".",""),"-",""),8)))))," ",Общий!C29),0)</f>
        <v>0</v>
      </c>
      <c r="C29" s="29" t="str">
        <f>Общий!A29</f>
        <v>21</v>
      </c>
      <c r="D29" s="27" t="str">
        <f>Общий!B29</f>
        <v xml:space="preserve"> код :</v>
      </c>
      <c r="E29" s="28">
        <f>Общий!C29</f>
        <v>0</v>
      </c>
      <c r="F29" s="21"/>
      <c r="G29" s="56" t="s">
        <v>742</v>
      </c>
      <c r="H29" s="57"/>
      <c r="I29" s="58"/>
      <c r="J29" s="59">
        <v>8</v>
      </c>
      <c r="K29" s="16"/>
    </row>
    <row r="30" spans="1:11" ht="19.5" customHeight="1">
      <c r="A30" s="31">
        <f>IFERROR(VALUE(IF(LEN(IFERROR(VALUE(MID(TRIM(SUBSTITUTE(SUBSTITUTE(MID(Общий!B30,SEARCH("Karcher",Общий!B30,1),19),".",""),"-","")),SEARCH("Karcher",TRIM(SUBSTITUTE(SUBSTITUTE(MID(Общий!B30,SEARCH("Karcher",Общий!B30,1),19),".",""),"-","")),1)+8,8)),VALUE(LEFT(SUBSTITUTE(SUBSTITUTE(Общий!B30,".",""),"-",""),8))))=7,CONCATENATE(IFERROR(VALUE(MID(TRIM(SUBSTITUTE(SUBSTITUTE(MID(Общий!B30,SEARCH("Karcher",Общий!B30,1),19),".",""),"-","")),SEARCH("Karcher",TRIM(SUBSTITUTE(SUBSTITUTE(MID(Общий!B30,SEARCH("Karcher",Общий!B30,1),19),".",""),"-","")),1)+8,8)),VALUE(LEFT(SUBSTITUTE(SUBSTITUTE(Общий!B30,".",""),"-",""),8))),"0"),IFERROR(VALUE(MID(TRIM(SUBSTITUTE(SUBSTITUTE(MID(Общий!B30,SEARCH("Karcher",Общий!B30,1),19),".",""),"-","")),SEARCH("Karcher",TRIM(SUBSTITUTE(SUBSTITUTE(MID(Общий!B30,SEARCH("Karcher",Общий!B30,1),19),".",""),"-","")),1)+8,8)),VALUE(LEFT(SUBSTITUTE(SUBSTITUTE(Общий!B30,".",""),"-",""),8))))),0)</f>
        <v>53948340</v>
      </c>
      <c r="B30" s="25" t="str">
        <f>IFERROR(CONCATENATE(VALUE(IF(LEN(IFERROR(VALUE(MID(TRIM(SUBSTITUTE(SUBSTITUTE(MID(Общий!B30,SEARCH("Karcher",Общий!B30,1),19),".",""),"-","")),SEARCH("Karcher",TRIM(SUBSTITUTE(SUBSTITUTE(MID(Общий!B30,SEARCH("Karcher",Общий!B30,1),19),".",""),"-","")),1)+8,8)),VALUE(LEFT(SUBSTITUTE(SUBSTITUTE(Общий!B30,".",""),"-",""),8))))=7,CONCATENATE(IFERROR(VALUE(MID(TRIM(SUBSTITUTE(SUBSTITUTE(MID(Общий!B30,SEARCH("Karcher",Общий!B30,1),19),".",""),"-","")),SEARCH("Karcher",TRIM(SUBSTITUTE(SUBSTITUTE(MID(Общий!B30,SEARCH("Karcher",Общий!B30,1),19),".",""),"-","")),1)+8,8)),VALUE(LEFT(SUBSTITUTE(SUBSTITUTE(Общий!B30,".",""),"-",""),8))),"0"),IFERROR(VALUE(MID(TRIM(SUBSTITUTE(SUBSTITUTE(MID(Общий!B30,SEARCH("Karcher",Общий!B30,1),19),".",""),"-","")),SEARCH("Karcher",TRIM(SUBSTITUTE(SUBSTITUTE(MID(Общий!B30,SEARCH("Karcher",Общий!B30,1),19),".",""),"-","")),1)+8,8)),VALUE(LEFT(SUBSTITUTE(SUBSTITUTE(Общий!B30,".",""),"-",""),8)))))," ",Общий!C30),0)</f>
        <v>53948340 1</v>
      </c>
      <c r="C30" s="29" t="str">
        <f>Общий!A30</f>
        <v>22</v>
      </c>
      <c r="D30" s="27" t="str">
        <f>Общий!B30</f>
        <v>Тыльное ограждение Karcher 5.394-834 код : 006092</v>
      </c>
      <c r="E30" s="28">
        <f>Общий!C30</f>
        <v>1</v>
      </c>
      <c r="F30" s="21"/>
      <c r="G30" s="56" t="s">
        <v>743</v>
      </c>
      <c r="H30" s="57"/>
      <c r="I30" s="58"/>
      <c r="J30" s="60">
        <v>2</v>
      </c>
      <c r="K30" s="16"/>
    </row>
    <row r="31" spans="1:11">
      <c r="A31" s="31">
        <f>IFERROR(VALUE(IF(LEN(IFERROR(VALUE(MID(TRIM(SUBSTITUTE(SUBSTITUTE(MID(Общий!B31,SEARCH("Karcher",Общий!B31,1),19),".",""),"-","")),SEARCH("Karcher",TRIM(SUBSTITUTE(SUBSTITUTE(MID(Общий!B31,SEARCH("Karcher",Общий!B31,1),19),".",""),"-","")),1)+8,8)),VALUE(LEFT(SUBSTITUTE(SUBSTITUTE(Общий!B31,".",""),"-",""),8))))=7,CONCATENATE(IFERROR(VALUE(MID(TRIM(SUBSTITUTE(SUBSTITUTE(MID(Общий!B31,SEARCH("Karcher",Общий!B31,1),19),".",""),"-","")),SEARCH("Karcher",TRIM(SUBSTITUTE(SUBSTITUTE(MID(Общий!B31,SEARCH("Karcher",Общий!B31,1),19),".",""),"-","")),1)+8,8)),VALUE(LEFT(SUBSTITUTE(SUBSTITUTE(Общий!B31,".",""),"-",""),8))),"0"),IFERROR(VALUE(MID(TRIM(SUBSTITUTE(SUBSTITUTE(MID(Общий!B31,SEARCH("Karcher",Общий!B31,1),19),".",""),"-","")),SEARCH("Karcher",TRIM(SUBSTITUTE(SUBSTITUTE(MID(Общий!B31,SEARCH("Karcher",Общий!B31,1),19),".",""),"-","")),1)+8,8)),VALUE(LEFT(SUBSTITUTE(SUBSTITUTE(Общий!B31,".",""),"-",""),8))))),0)</f>
        <v>0</v>
      </c>
      <c r="B31" s="25">
        <f>IFERROR(CONCATENATE(VALUE(IF(LEN(IFERROR(VALUE(MID(TRIM(SUBSTITUTE(SUBSTITUTE(MID(Общий!B31,SEARCH("Karcher",Общий!B31,1),19),".",""),"-","")),SEARCH("Karcher",TRIM(SUBSTITUTE(SUBSTITUTE(MID(Общий!B31,SEARCH("Karcher",Общий!B31,1),19),".",""),"-","")),1)+8,8)),VALUE(LEFT(SUBSTITUTE(SUBSTITUTE(Общий!B31,".",""),"-",""),8))))=7,CONCATENATE(IFERROR(VALUE(MID(TRIM(SUBSTITUTE(SUBSTITUTE(MID(Общий!B31,SEARCH("Karcher",Общий!B31,1),19),".",""),"-","")),SEARCH("Karcher",TRIM(SUBSTITUTE(SUBSTITUTE(MID(Общий!B31,SEARCH("Karcher",Общий!B31,1),19),".",""),"-","")),1)+8,8)),VALUE(LEFT(SUBSTITUTE(SUBSTITUTE(Общий!B31,".",""),"-",""),8))),"0"),IFERROR(VALUE(MID(TRIM(SUBSTITUTE(SUBSTITUTE(MID(Общий!B31,SEARCH("Karcher",Общий!B31,1),19),".",""),"-","")),SEARCH("Karcher",TRIM(SUBSTITUTE(SUBSTITUTE(MID(Общий!B31,SEARCH("Karcher",Общий!B31,1),19),".",""),"-","")),1)+8,8)),VALUE(LEFT(SUBSTITUTE(SUBSTITUTE(Общий!B31,".",""),"-",""),8)))))," ",Общий!C31),0)</f>
        <v>0</v>
      </c>
      <c r="C31" s="29" t="str">
        <f>Общий!A31</f>
        <v>23</v>
      </c>
      <c r="D31" s="27" t="str">
        <f>Общий!B31</f>
        <v xml:space="preserve"> код :</v>
      </c>
      <c r="E31" s="28">
        <f>Общий!C31</f>
        <v>0</v>
      </c>
      <c r="F31" s="21"/>
      <c r="G31" s="56" t="s">
        <v>744</v>
      </c>
      <c r="H31" s="57"/>
      <c r="I31" s="58"/>
      <c r="J31" s="60">
        <v>2</v>
      </c>
      <c r="K31" s="16"/>
    </row>
    <row r="32" spans="1:11" ht="19.5" customHeight="1">
      <c r="A32" s="31">
        <f>IFERROR(VALUE(IF(LEN(IFERROR(VALUE(MID(TRIM(SUBSTITUTE(SUBSTITUTE(MID(Общий!B32,SEARCH("Karcher",Общий!B32,1),19),".",""),"-","")),SEARCH("Karcher",TRIM(SUBSTITUTE(SUBSTITUTE(MID(Общий!B32,SEARCH("Karcher",Общий!B32,1),19),".",""),"-","")),1)+8,8)),VALUE(LEFT(SUBSTITUTE(SUBSTITUTE(Общий!B32,".",""),"-",""),8))))=7,CONCATENATE(IFERROR(VALUE(MID(TRIM(SUBSTITUTE(SUBSTITUTE(MID(Общий!B32,SEARCH("Karcher",Общий!B32,1),19),".",""),"-","")),SEARCH("Karcher",TRIM(SUBSTITUTE(SUBSTITUTE(MID(Общий!B32,SEARCH("Karcher",Общий!B32,1),19),".",""),"-","")),1)+8,8)),VALUE(LEFT(SUBSTITUTE(SUBSTITUTE(Общий!B32,".",""),"-",""),8))),"0"),IFERROR(VALUE(MID(TRIM(SUBSTITUTE(SUBSTITUTE(MID(Общий!B32,SEARCH("Karcher",Общий!B32,1),19),".",""),"-","")),SEARCH("Karcher",TRIM(SUBSTITUTE(SUBSTITUTE(MID(Общий!B32,SEARCH("Karcher",Общий!B32,1),19),".",""),"-","")),1)+8,8)),VALUE(LEFT(SUBSTITUTE(SUBSTITUTE(Общий!B32,".",""),"-",""),8))))),0)</f>
        <v>66315490</v>
      </c>
      <c r="B32" s="25" t="str">
        <f>IFERROR(CONCATENATE(VALUE(IF(LEN(IFERROR(VALUE(MID(TRIM(SUBSTITUTE(SUBSTITUTE(MID(Общий!B32,SEARCH("Karcher",Общий!B32,1),19),".",""),"-","")),SEARCH("Karcher",TRIM(SUBSTITUTE(SUBSTITUTE(MID(Общий!B32,SEARCH("Karcher",Общий!B32,1),19),".",""),"-","")),1)+8,8)),VALUE(LEFT(SUBSTITUTE(SUBSTITUTE(Общий!B32,".",""),"-",""),8))))=7,CONCATENATE(IFERROR(VALUE(MID(TRIM(SUBSTITUTE(SUBSTITUTE(MID(Общий!B32,SEARCH("Karcher",Общий!B32,1),19),".",""),"-","")),SEARCH("Karcher",TRIM(SUBSTITUTE(SUBSTITUTE(MID(Общий!B32,SEARCH("Karcher",Общий!B32,1),19),".",""),"-","")),1)+8,8)),VALUE(LEFT(SUBSTITUTE(SUBSTITUTE(Общий!B32,".",""),"-",""),8))),"0"),IFERROR(VALUE(MID(TRIM(SUBSTITUTE(SUBSTITUTE(MID(Общий!B32,SEARCH("Karcher",Общий!B32,1),19),".",""),"-","")),SEARCH("Karcher",TRIM(SUBSTITUTE(SUBSTITUTE(MID(Общий!B32,SEARCH("Karcher",Общий!B32,1),19),".",""),"-","")),1)+8,8)),VALUE(LEFT(SUBSTITUTE(SUBSTITUTE(Общий!B32,".",""),"-",""),8)))))," ",Общий!C32),0)</f>
        <v>66315490 1</v>
      </c>
      <c r="C32" s="29" t="str">
        <f>Общий!A32</f>
        <v>24</v>
      </c>
      <c r="D32" s="27" t="str">
        <f>Общий!B32</f>
        <v>Выключатель Karcher 6.631-549 код : 030022</v>
      </c>
      <c r="E32" s="28">
        <f>Общий!C32</f>
        <v>1</v>
      </c>
      <c r="F32" s="21"/>
      <c r="G32" s="56" t="s">
        <v>745</v>
      </c>
      <c r="H32" s="57"/>
      <c r="I32" s="58"/>
      <c r="J32" s="60">
        <v>1</v>
      </c>
      <c r="K32" s="16"/>
    </row>
    <row r="33" spans="1:11" ht="19.5" customHeight="1">
      <c r="A33" s="31">
        <f>IFERROR(VALUE(IF(LEN(IFERROR(VALUE(MID(TRIM(SUBSTITUTE(SUBSTITUTE(MID(Общий!B33,SEARCH("Karcher",Общий!B33,1),19),".",""),"-","")),SEARCH("Karcher",TRIM(SUBSTITUTE(SUBSTITUTE(MID(Общий!B33,SEARCH("Karcher",Общий!B33,1),19),".",""),"-","")),1)+8,8)),VALUE(LEFT(SUBSTITUTE(SUBSTITUTE(Общий!B33,".",""),"-",""),8))))=7,CONCATENATE(IFERROR(VALUE(MID(TRIM(SUBSTITUTE(SUBSTITUTE(MID(Общий!B33,SEARCH("Karcher",Общий!B33,1),19),".",""),"-","")),SEARCH("Karcher",TRIM(SUBSTITUTE(SUBSTITUTE(MID(Общий!B33,SEARCH("Karcher",Общий!B33,1),19),".",""),"-","")),1)+8,8)),VALUE(LEFT(SUBSTITUTE(SUBSTITUTE(Общий!B33,".",""),"-",""),8))),"0"),IFERROR(VALUE(MID(TRIM(SUBSTITUTE(SUBSTITUTE(MID(Общий!B33,SEARCH("Karcher",Общий!B33,1),19),".",""),"-","")),SEARCH("Karcher",TRIM(SUBSTITUTE(SUBSTITUTE(MID(Общий!B33,SEARCH("Karcher",Общий!B33,1),19),".",""),"-","")),1)+8,8)),VALUE(LEFT(SUBSTITUTE(SUBSTITUTE(Общий!B33,".",""),"-",""),8))))),0)</f>
        <v>51155210</v>
      </c>
      <c r="B33" s="25" t="str">
        <f>IFERROR(CONCATENATE(VALUE(IF(LEN(IFERROR(VALUE(MID(TRIM(SUBSTITUTE(SUBSTITUTE(MID(Общий!B33,SEARCH("Karcher",Общий!B33,1),19),".",""),"-","")),SEARCH("Karcher",TRIM(SUBSTITUTE(SUBSTITUTE(MID(Общий!B33,SEARCH("Karcher",Общий!B33,1),19),".",""),"-","")),1)+8,8)),VALUE(LEFT(SUBSTITUTE(SUBSTITUTE(Общий!B33,".",""),"-",""),8))))=7,CONCATENATE(IFERROR(VALUE(MID(TRIM(SUBSTITUTE(SUBSTITUTE(MID(Общий!B33,SEARCH("Karcher",Общий!B33,1),19),".",""),"-","")),SEARCH("Karcher",TRIM(SUBSTITUTE(SUBSTITUTE(MID(Общий!B33,SEARCH("Karcher",Общий!B33,1),19),".",""),"-","")),1)+8,8)),VALUE(LEFT(SUBSTITUTE(SUBSTITUTE(Общий!B33,".",""),"-",""),8))),"0"),IFERROR(VALUE(MID(TRIM(SUBSTITUTE(SUBSTITUTE(MID(Общий!B33,SEARCH("Karcher",Общий!B33,1),19),".",""),"-","")),SEARCH("Karcher",TRIM(SUBSTITUTE(SUBSTITUTE(MID(Общий!B33,SEARCH("Karcher",Общий!B33,1),19),".",""),"-","")),1)+8,8)),VALUE(LEFT(SUBSTITUTE(SUBSTITUTE(Общий!B33,".",""),"-",""),8)))))," ",Общий!C33),0)</f>
        <v>51155210 3</v>
      </c>
      <c r="C33" s="29" t="str">
        <f>Общий!A33</f>
        <v>25</v>
      </c>
      <c r="D33" s="27" t="str">
        <f>Общий!B33</f>
        <v>5115521 Шайба Karcher * * код : 030823</v>
      </c>
      <c r="E33" s="28">
        <f>Общий!C33</f>
        <v>3</v>
      </c>
      <c r="F33" s="21"/>
      <c r="G33" s="56" t="s">
        <v>746</v>
      </c>
      <c r="H33" s="57"/>
      <c r="I33" s="58"/>
      <c r="J33" s="60">
        <v>1</v>
      </c>
      <c r="K33" s="16"/>
    </row>
    <row r="34" spans="1:11" ht="19.5" customHeight="1">
      <c r="A34" s="31">
        <f>IFERROR(VALUE(IF(LEN(IFERROR(VALUE(MID(TRIM(SUBSTITUTE(SUBSTITUTE(MID(Общий!B34,SEARCH("Karcher",Общий!B34,1),19),".",""),"-","")),SEARCH("Karcher",TRIM(SUBSTITUTE(SUBSTITUTE(MID(Общий!B34,SEARCH("Karcher",Общий!B34,1),19),".",""),"-","")),1)+8,8)),VALUE(LEFT(SUBSTITUTE(SUBSTITUTE(Общий!B34,".",""),"-",""),8))))=7,CONCATENATE(IFERROR(VALUE(MID(TRIM(SUBSTITUTE(SUBSTITUTE(MID(Общий!B34,SEARCH("Karcher",Общий!B34,1),19),".",""),"-","")),SEARCH("Karcher",TRIM(SUBSTITUTE(SUBSTITUTE(MID(Общий!B34,SEARCH("Karcher",Общий!B34,1),19),".",""),"-","")),1)+8,8)),VALUE(LEFT(SUBSTITUTE(SUBSTITUTE(Общий!B34,".",""),"-",""),8))),"0"),IFERROR(VALUE(MID(TRIM(SUBSTITUTE(SUBSTITUTE(MID(Общий!B34,SEARCH("Karcher",Общий!B34,1),19),".",""),"-","")),SEARCH("Karcher",TRIM(SUBSTITUTE(SUBSTITUTE(MID(Общий!B34,SEARCH("Karcher",Общий!B34,1),19),".",""),"-","")),1)+8,8)),VALUE(LEFT(SUBSTITUTE(SUBSTITUTE(Общий!B34,".",""),"-",""),8))))),0)</f>
        <v>63484090</v>
      </c>
      <c r="B34" s="25" t="str">
        <f>IFERROR(CONCATENATE(VALUE(IF(LEN(IFERROR(VALUE(MID(TRIM(SUBSTITUTE(SUBSTITUTE(MID(Общий!B34,SEARCH("Karcher",Общий!B34,1),19),".",""),"-","")),SEARCH("Karcher",TRIM(SUBSTITUTE(SUBSTITUTE(MID(Общий!B34,SEARCH("Karcher",Общий!B34,1),19),".",""),"-","")),1)+8,8)),VALUE(LEFT(SUBSTITUTE(SUBSTITUTE(Общий!B34,".",""),"-",""),8))))=7,CONCATENATE(IFERROR(VALUE(MID(TRIM(SUBSTITUTE(SUBSTITUTE(MID(Общий!B34,SEARCH("Karcher",Общий!B34,1),19),".",""),"-","")),SEARCH("Karcher",TRIM(SUBSTITUTE(SUBSTITUTE(MID(Общий!B34,SEARCH("Karcher",Общий!B34,1),19),".",""),"-","")),1)+8,8)),VALUE(LEFT(SUBSTITUTE(SUBSTITUTE(Общий!B34,".",""),"-",""),8))),"0"),IFERROR(VALUE(MID(TRIM(SUBSTITUTE(SUBSTITUTE(MID(Общий!B34,SEARCH("Karcher",Общий!B34,1),19),".",""),"-","")),SEARCH("Karcher",TRIM(SUBSTITUTE(SUBSTITUTE(MID(Общий!B34,SEARCH("Karcher",Общий!B34,1),19),".",""),"-","")),1)+8,8)),VALUE(LEFT(SUBSTITUTE(SUBSTITUTE(Общий!B34,".",""),"-",""),8)))))," ",Общий!C34),0)</f>
        <v>63484090 1</v>
      </c>
      <c r="C34" s="29" t="str">
        <f>Общий!A34</f>
        <v>26</v>
      </c>
      <c r="D34" s="27" t="str">
        <f>Общий!B34</f>
        <v>Круглый ремень Karcher 6.348-409 код : 030030</v>
      </c>
      <c r="E34" s="28">
        <f>Общий!C34</f>
        <v>1</v>
      </c>
      <c r="F34" s="21"/>
      <c r="G34" s="56" t="s">
        <v>747</v>
      </c>
      <c r="H34" s="57"/>
      <c r="I34" s="58"/>
      <c r="J34" s="60">
        <v>2</v>
      </c>
      <c r="K34" s="16"/>
    </row>
    <row r="35" spans="1:11" ht="19.5" customHeight="1">
      <c r="A35" s="31">
        <f>IFERROR(VALUE(IF(LEN(IFERROR(VALUE(MID(TRIM(SUBSTITUTE(SUBSTITUTE(MID(Общий!B35,SEARCH("Karcher",Общий!B35,1),19),".",""),"-","")),SEARCH("Karcher",TRIM(SUBSTITUTE(SUBSTITUTE(MID(Общий!B35,SEARCH("Karcher",Общий!B35,1),19),".",""),"-","")),1)+8,8)),VALUE(LEFT(SUBSTITUTE(SUBSTITUTE(Общий!B35,".",""),"-",""),8))))=7,CONCATENATE(IFERROR(VALUE(MID(TRIM(SUBSTITUTE(SUBSTITUTE(MID(Общий!B35,SEARCH("Karcher",Общий!B35,1),19),".",""),"-","")),SEARCH("Karcher",TRIM(SUBSTITUTE(SUBSTITUTE(MID(Общий!B35,SEARCH("Karcher",Общий!B35,1),19),".",""),"-","")),1)+8,8)),VALUE(LEFT(SUBSTITUTE(SUBSTITUTE(Общий!B35,".",""),"-",""),8))),"0"),IFERROR(VALUE(MID(TRIM(SUBSTITUTE(SUBSTITUTE(MID(Общий!B35,SEARCH("Karcher",Общий!B35,1),19),".",""),"-","")),SEARCH("Karcher",TRIM(SUBSTITUTE(SUBSTITUTE(MID(Общий!B35,SEARCH("Karcher",Общий!B35,1),19),".",""),"-","")),1)+8,8)),VALUE(LEFT(SUBSTITUTE(SUBSTITUTE(Общий!B35,".",""),"-",""),8))))),0)</f>
        <v>64012420</v>
      </c>
      <c r="B35" s="25" t="str">
        <f>IFERROR(CONCATENATE(VALUE(IF(LEN(IFERROR(VALUE(MID(TRIM(SUBSTITUTE(SUBSTITUTE(MID(Общий!B35,SEARCH("Karcher",Общий!B35,1),19),".",""),"-","")),SEARCH("Karcher",TRIM(SUBSTITUTE(SUBSTITUTE(MID(Общий!B35,SEARCH("Karcher",Общий!B35,1),19),".",""),"-","")),1)+8,8)),VALUE(LEFT(SUBSTITUTE(SUBSTITUTE(Общий!B35,".",""),"-",""),8))))=7,CONCATENATE(IFERROR(VALUE(MID(TRIM(SUBSTITUTE(SUBSTITUTE(MID(Общий!B35,SEARCH("Karcher",Общий!B35,1),19),".",""),"-","")),SEARCH("Karcher",TRIM(SUBSTITUTE(SUBSTITUTE(MID(Общий!B35,SEARCH("Karcher",Общий!B35,1),19),".",""),"-","")),1)+8,8)),VALUE(LEFT(SUBSTITUTE(SUBSTITUTE(Общий!B35,".",""),"-",""),8))),"0"),IFERROR(VALUE(MID(TRIM(SUBSTITUTE(SUBSTITUTE(MID(Общий!B35,SEARCH("Karcher",Общий!B35,1),19),".",""),"-","")),SEARCH("Karcher",TRIM(SUBSTITUTE(SUBSTITUTE(MID(Общий!B35,SEARCH("Karcher",Общий!B35,1),19),".",""),"-","")),1)+8,8)),VALUE(LEFT(SUBSTITUTE(SUBSTITUTE(Общий!B35,".",""),"-",""),8)))))," ",Общий!C35),0)</f>
        <v>64012420 1</v>
      </c>
      <c r="C35" s="29" t="str">
        <f>Общий!A35</f>
        <v>27</v>
      </c>
      <c r="D35" s="27" t="str">
        <f>Общий!B35</f>
        <v>Фланцевый подшипник Karcher 6.401-242 код : 030031</v>
      </c>
      <c r="E35" s="28">
        <f>Общий!C35</f>
        <v>1</v>
      </c>
      <c r="F35" s="21"/>
      <c r="G35" s="56" t="s">
        <v>748</v>
      </c>
      <c r="H35" s="57"/>
      <c r="I35" s="58"/>
      <c r="J35" s="60">
        <v>2</v>
      </c>
      <c r="K35" s="16"/>
    </row>
    <row r="36" spans="1:11" ht="19.5" customHeight="1">
      <c r="A36" s="31">
        <f>IFERROR(VALUE(IF(LEN(IFERROR(VALUE(MID(TRIM(SUBSTITUTE(SUBSTITUTE(MID(Общий!B36,SEARCH("Karcher",Общий!B36,1),19),".",""),"-","")),SEARCH("Karcher",TRIM(SUBSTITUTE(SUBSTITUTE(MID(Общий!B36,SEARCH("Karcher",Общий!B36,1),19),".",""),"-","")),1)+8,8)),VALUE(LEFT(SUBSTITUTE(SUBSTITUTE(Общий!B36,".",""),"-",""),8))))=7,CONCATENATE(IFERROR(VALUE(MID(TRIM(SUBSTITUTE(SUBSTITUTE(MID(Общий!B36,SEARCH("Karcher",Общий!B36,1),19),".",""),"-","")),SEARCH("Karcher",TRIM(SUBSTITUTE(SUBSTITUTE(MID(Общий!B36,SEARCH("Karcher",Общий!B36,1),19),".",""),"-","")),1)+8,8)),VALUE(LEFT(SUBSTITUTE(SUBSTITUTE(Общий!B36,".",""),"-",""),8))),"0"),IFERROR(VALUE(MID(TRIM(SUBSTITUTE(SUBSTITUTE(MID(Общий!B36,SEARCH("Karcher",Общий!B36,1),19),".",""),"-","")),SEARCH("Karcher",TRIM(SUBSTITUTE(SUBSTITUTE(MID(Общий!B36,SEARCH("Karcher",Общий!B36,1),19),".",""),"-","")),1)+8,8)),VALUE(LEFT(SUBSTITUTE(SUBSTITUTE(Общий!B36,".",""),"-",""),8))))),0)</f>
        <v>97552630</v>
      </c>
      <c r="B36" s="25" t="str">
        <f>IFERROR(CONCATENATE(VALUE(IF(LEN(IFERROR(VALUE(MID(TRIM(SUBSTITUTE(SUBSTITUTE(MID(Общий!B36,SEARCH("Karcher",Общий!B36,1),19),".",""),"-","")),SEARCH("Karcher",TRIM(SUBSTITUTE(SUBSTITUTE(MID(Общий!B36,SEARCH("Karcher",Общий!B36,1),19),".",""),"-","")),1)+8,8)),VALUE(LEFT(SUBSTITUTE(SUBSTITUTE(Общий!B36,".",""),"-",""),8))))=7,CONCATENATE(IFERROR(VALUE(MID(TRIM(SUBSTITUTE(SUBSTITUTE(MID(Общий!B36,SEARCH("Karcher",Общий!B36,1),19),".",""),"-","")),SEARCH("Karcher",TRIM(SUBSTITUTE(SUBSTITUTE(MID(Общий!B36,SEARCH("Karcher",Общий!B36,1),19),".",""),"-","")),1)+8,8)),VALUE(LEFT(SUBSTITUTE(SUBSTITUTE(Общий!B36,".",""),"-",""),8))),"0"),IFERROR(VALUE(MID(TRIM(SUBSTITUTE(SUBSTITUTE(MID(Общий!B36,SEARCH("Karcher",Общий!B36,1),19),".",""),"-","")),SEARCH("Karcher",TRIM(SUBSTITUTE(SUBSTITUTE(MID(Общий!B36,SEARCH("Karcher",Общий!B36,1),19),".",""),"-","")),1)+8,8)),VALUE(LEFT(SUBSTITUTE(SUBSTITUTE(Общий!B36,".",""),"-",""),8)))))," ",Общий!C36),0)</f>
        <v>97552630 4</v>
      </c>
      <c r="C36" s="29" t="str">
        <f>Общий!A36</f>
        <v>28</v>
      </c>
      <c r="D36" s="27" t="str">
        <f>Общий!B36</f>
        <v>Всасывающий шланг D35 для серий WD и NT Classic Karcher 9.755-263 код : 000666</v>
      </c>
      <c r="E36" s="28">
        <f>Общий!C36</f>
        <v>4</v>
      </c>
      <c r="F36" s="21"/>
      <c r="G36" s="56" t="s">
        <v>749</v>
      </c>
      <c r="H36" s="57"/>
      <c r="I36" s="58"/>
      <c r="J36" s="60">
        <v>1</v>
      </c>
      <c r="K36" s="16"/>
    </row>
    <row r="37" spans="1:11" ht="19.5" customHeight="1">
      <c r="A37" s="31">
        <f>IFERROR(VALUE(IF(LEN(IFERROR(VALUE(MID(TRIM(SUBSTITUTE(SUBSTITUTE(MID(Общий!B37,SEARCH("Karcher",Общий!B37,1),19),".",""),"-","")),SEARCH("Karcher",TRIM(SUBSTITUTE(SUBSTITUTE(MID(Общий!B37,SEARCH("Karcher",Общий!B37,1),19),".",""),"-","")),1)+8,8)),VALUE(LEFT(SUBSTITUTE(SUBSTITUTE(Общий!B37,".",""),"-",""),8))))=7,CONCATENATE(IFERROR(VALUE(MID(TRIM(SUBSTITUTE(SUBSTITUTE(MID(Общий!B37,SEARCH("Karcher",Общий!B37,1),19),".",""),"-","")),SEARCH("Karcher",TRIM(SUBSTITUTE(SUBSTITUTE(MID(Общий!B37,SEARCH("Karcher",Общий!B37,1),19),".",""),"-","")),1)+8,8)),VALUE(LEFT(SUBSTITUTE(SUBSTITUTE(Общий!B37,".",""),"-",""),8))),"0"),IFERROR(VALUE(MID(TRIM(SUBSTITUTE(SUBSTITUTE(MID(Общий!B37,SEARCH("Karcher",Общий!B37,1),19),".",""),"-","")),SEARCH("Karcher",TRIM(SUBSTITUTE(SUBSTITUTE(MID(Общий!B37,SEARCH("Karcher",Общий!B37,1),19),".",""),"-","")),1)+8,8)),VALUE(LEFT(SUBSTITUTE(SUBSTITUTE(Общий!B37,".",""),"-",""),8))))),0)</f>
        <v>0</v>
      </c>
      <c r="B37" s="25">
        <f>IFERROR(CONCATENATE(VALUE(IF(LEN(IFERROR(VALUE(MID(TRIM(SUBSTITUTE(SUBSTITUTE(MID(Общий!B37,SEARCH("Karcher",Общий!B37,1),19),".",""),"-","")),SEARCH("Karcher",TRIM(SUBSTITUTE(SUBSTITUTE(MID(Общий!B37,SEARCH("Karcher",Общий!B37,1),19),".",""),"-","")),1)+8,8)),VALUE(LEFT(SUBSTITUTE(SUBSTITUTE(Общий!B37,".",""),"-",""),8))))=7,CONCATENATE(IFERROR(VALUE(MID(TRIM(SUBSTITUTE(SUBSTITUTE(MID(Общий!B37,SEARCH("Karcher",Общий!B37,1),19),".",""),"-","")),SEARCH("Karcher",TRIM(SUBSTITUTE(SUBSTITUTE(MID(Общий!B37,SEARCH("Karcher",Общий!B37,1),19),".",""),"-","")),1)+8,8)),VALUE(LEFT(SUBSTITUTE(SUBSTITUTE(Общий!B37,".",""),"-",""),8))),"0"),IFERROR(VALUE(MID(TRIM(SUBSTITUTE(SUBSTITUTE(MID(Общий!B37,SEARCH("Karcher",Общий!B37,1),19),".",""),"-","")),SEARCH("Karcher",TRIM(SUBSTITUTE(SUBSTITUTE(MID(Общий!B37,SEARCH("Karcher",Общий!B37,1),19),".",""),"-","")),1)+8,8)),VALUE(LEFT(SUBSTITUTE(SUBSTITUTE(Общий!B37,".",""),"-",""),8)))))," ",Общий!C37),0)</f>
        <v>0</v>
      </c>
      <c r="C37" s="29" t="str">
        <f>Общий!A37</f>
        <v>29</v>
      </c>
      <c r="D37" s="27" t="str">
        <f>Общий!B37</f>
        <v xml:space="preserve"> код :</v>
      </c>
      <c r="E37" s="28">
        <f>Общий!C37</f>
        <v>0</v>
      </c>
      <c r="F37" s="21"/>
      <c r="G37" s="56" t="s">
        <v>750</v>
      </c>
      <c r="H37" s="57"/>
      <c r="I37" s="58"/>
      <c r="J37" s="60">
        <v>1</v>
      </c>
      <c r="K37" s="16"/>
    </row>
    <row r="38" spans="1:11" ht="19.5" customHeight="1">
      <c r="A38" s="31">
        <f>IFERROR(VALUE(IF(LEN(IFERROR(VALUE(MID(TRIM(SUBSTITUTE(SUBSTITUTE(MID(Общий!B38,SEARCH("Karcher",Общий!B38,1),19),".",""),"-","")),SEARCH("Karcher",TRIM(SUBSTITUTE(SUBSTITUTE(MID(Общий!B38,SEARCH("Karcher",Общий!B38,1),19),".",""),"-","")),1)+8,8)),VALUE(LEFT(SUBSTITUTE(SUBSTITUTE(Общий!B38,".",""),"-",""),8))))=7,CONCATENATE(IFERROR(VALUE(MID(TRIM(SUBSTITUTE(SUBSTITUTE(MID(Общий!B38,SEARCH("Karcher",Общий!B38,1),19),".",""),"-","")),SEARCH("Karcher",TRIM(SUBSTITUTE(SUBSTITUTE(MID(Общий!B38,SEARCH("Karcher",Общий!B38,1),19),".",""),"-","")),1)+8,8)),VALUE(LEFT(SUBSTITUTE(SUBSTITUTE(Общий!B38,".",""),"-",""),8))),"0"),IFERROR(VALUE(MID(TRIM(SUBSTITUTE(SUBSTITUTE(MID(Общий!B38,SEARCH("Karcher",Общий!B38,1),19),".",""),"-","")),SEARCH("Karcher",TRIM(SUBSTITUTE(SUBSTITUTE(MID(Общий!B38,SEARCH("Karcher",Общий!B38,1),19),".",""),"-","")),1)+8,8)),VALUE(LEFT(SUBSTITUTE(SUBSTITUTE(Общий!B38,".",""),"-",""),8))))),0)</f>
        <v>26427260</v>
      </c>
      <c r="B38" s="25" t="str">
        <f>IFERROR(CONCATENATE(VALUE(IF(LEN(IFERROR(VALUE(MID(TRIM(SUBSTITUTE(SUBSTITUTE(MID(Общий!B38,SEARCH("Karcher",Общий!B38,1),19),".",""),"-","")),SEARCH("Karcher",TRIM(SUBSTITUTE(SUBSTITUTE(MID(Общий!B38,SEARCH("Karcher",Общий!B38,1),19),".",""),"-","")),1)+8,8)),VALUE(LEFT(SUBSTITUTE(SUBSTITUTE(Общий!B38,".",""),"-",""),8))))=7,CONCATENATE(IFERROR(VALUE(MID(TRIM(SUBSTITUTE(SUBSTITUTE(MID(Общий!B38,SEARCH("Karcher",Общий!B38,1),19),".",""),"-","")),SEARCH("Karcher",TRIM(SUBSTITUTE(SUBSTITUTE(MID(Общий!B38,SEARCH("Karcher",Общий!B38,1),19),".",""),"-","")),1)+8,8)),VALUE(LEFT(SUBSTITUTE(SUBSTITUTE(Общий!B38,".",""),"-",""),8))),"0"),IFERROR(VALUE(MID(TRIM(SUBSTITUTE(SUBSTITUTE(MID(Общий!B38,SEARCH("Karcher",Общий!B38,1),19),".",""),"-","")),SEARCH("Karcher",TRIM(SUBSTITUTE(SUBSTITUTE(MID(Общий!B38,SEARCH("Karcher",Общий!B38,1),19),".",""),"-","")),1)+8,8)),VALUE(LEFT(SUBSTITUTE(SUBSTITUTE(Общий!B38,".",""),"-",""),8)))))," ",Общий!C38),0)</f>
        <v>26427260 3</v>
      </c>
      <c r="C38" s="29" t="str">
        <f>Общий!A38</f>
        <v>30</v>
      </c>
      <c r="D38" s="27" t="str">
        <f>Общий!B38</f>
        <v>Струйная трубка VP180 (серия К7) Karcher  2.642-726 код : 000644</v>
      </c>
      <c r="E38" s="28">
        <f>Общий!C38</f>
        <v>3</v>
      </c>
      <c r="F38" s="21"/>
      <c r="G38" s="56" t="s">
        <v>751</v>
      </c>
      <c r="H38" s="57"/>
      <c r="I38" s="58"/>
      <c r="J38" s="60">
        <v>8</v>
      </c>
      <c r="K38" s="16"/>
    </row>
    <row r="39" spans="1:11" ht="19.5" customHeight="1">
      <c r="A39" s="31">
        <f>IFERROR(VALUE(IF(LEN(IFERROR(VALUE(MID(TRIM(SUBSTITUTE(SUBSTITUTE(MID(Общий!B39,SEARCH("Karcher",Общий!B39,1),19),".",""),"-","")),SEARCH("Karcher",TRIM(SUBSTITUTE(SUBSTITUTE(MID(Общий!B39,SEARCH("Karcher",Общий!B39,1),19),".",""),"-","")),1)+8,8)),VALUE(LEFT(SUBSTITUTE(SUBSTITUTE(Общий!B39,".",""),"-",""),8))))=7,CONCATENATE(IFERROR(VALUE(MID(TRIM(SUBSTITUTE(SUBSTITUTE(MID(Общий!B39,SEARCH("Karcher",Общий!B39,1),19),".",""),"-","")),SEARCH("Karcher",TRIM(SUBSTITUTE(SUBSTITUTE(MID(Общий!B39,SEARCH("Karcher",Общий!B39,1),19),".",""),"-","")),1)+8,8)),VALUE(LEFT(SUBSTITUTE(SUBSTITUTE(Общий!B39,".",""),"-",""),8))),"0"),IFERROR(VALUE(MID(TRIM(SUBSTITUTE(SUBSTITUTE(MID(Общий!B39,SEARCH("Karcher",Общий!B39,1),19),".",""),"-","")),SEARCH("Karcher",TRIM(SUBSTITUTE(SUBSTITUTE(MID(Общий!B39,SEARCH("Karcher",Общий!B39,1),19),".",""),"-","")),1)+8,8)),VALUE(LEFT(SUBSTITUTE(SUBSTITUTE(Общий!B39,".",""),"-",""),8))))),0)</f>
        <v>97552630</v>
      </c>
      <c r="B39" s="25" t="str">
        <f>IFERROR(CONCATENATE(VALUE(IF(LEN(IFERROR(VALUE(MID(TRIM(SUBSTITUTE(SUBSTITUTE(MID(Общий!B39,SEARCH("Karcher",Общий!B39,1),19),".",""),"-","")),SEARCH("Karcher",TRIM(SUBSTITUTE(SUBSTITUTE(MID(Общий!B39,SEARCH("Karcher",Общий!B39,1),19),".",""),"-","")),1)+8,8)),VALUE(LEFT(SUBSTITUTE(SUBSTITUTE(Общий!B39,".",""),"-",""),8))))=7,CONCATENATE(IFERROR(VALUE(MID(TRIM(SUBSTITUTE(SUBSTITUTE(MID(Общий!B39,SEARCH("Karcher",Общий!B39,1),19),".",""),"-","")),SEARCH("Karcher",TRIM(SUBSTITUTE(SUBSTITUTE(MID(Общий!B39,SEARCH("Karcher",Общий!B39,1),19),".",""),"-","")),1)+8,8)),VALUE(LEFT(SUBSTITUTE(SUBSTITUTE(Общий!B39,".",""),"-",""),8))),"0"),IFERROR(VALUE(MID(TRIM(SUBSTITUTE(SUBSTITUTE(MID(Общий!B39,SEARCH("Karcher",Общий!B39,1),19),".",""),"-","")),SEARCH("Karcher",TRIM(SUBSTITUTE(SUBSTITUTE(MID(Общий!B39,SEARCH("Karcher",Общий!B39,1),19),".",""),"-","")),1)+8,8)),VALUE(LEFT(SUBSTITUTE(SUBSTITUTE(Общий!B39,".",""),"-",""),8)))))," ",Общий!C39),0)</f>
        <v>97552630 2</v>
      </c>
      <c r="C39" s="29" t="str">
        <f>Общий!A39</f>
        <v>31</v>
      </c>
      <c r="D39" s="27" t="str">
        <f>Общий!B39</f>
        <v>Всасывающий шланг D35 для серий WD и NT Classic Karcher 9.755-263 код : 000666</v>
      </c>
      <c r="E39" s="28">
        <f>Общий!C39</f>
        <v>2</v>
      </c>
      <c r="F39" s="21"/>
      <c r="G39" s="56" t="s">
        <v>751</v>
      </c>
      <c r="H39" s="57"/>
      <c r="I39" s="58"/>
      <c r="J39" s="60">
        <v>22</v>
      </c>
      <c r="K39" s="16"/>
    </row>
    <row r="40" spans="1:11" ht="19.5" customHeight="1">
      <c r="A40" s="31">
        <f>IFERROR(VALUE(IF(LEN(IFERROR(VALUE(MID(TRIM(SUBSTITUTE(SUBSTITUTE(MID(Общий!B40,SEARCH("Karcher",Общий!B40,1),19),".",""),"-","")),SEARCH("Karcher",TRIM(SUBSTITUTE(SUBSTITUTE(MID(Общий!B40,SEARCH("Karcher",Общий!B40,1),19),".",""),"-","")),1)+8,8)),VALUE(LEFT(SUBSTITUTE(SUBSTITUTE(Общий!B40,".",""),"-",""),8))))=7,CONCATENATE(IFERROR(VALUE(MID(TRIM(SUBSTITUTE(SUBSTITUTE(MID(Общий!B40,SEARCH("Karcher",Общий!B40,1),19),".",""),"-","")),SEARCH("Karcher",TRIM(SUBSTITUTE(SUBSTITUTE(MID(Общий!B40,SEARCH("Karcher",Общий!B40,1),19),".",""),"-","")),1)+8,8)),VALUE(LEFT(SUBSTITUTE(SUBSTITUTE(Общий!B40,".",""),"-",""),8))),"0"),IFERROR(VALUE(MID(TRIM(SUBSTITUTE(SUBSTITUTE(MID(Общий!B40,SEARCH("Karcher",Общий!B40,1),19),".",""),"-","")),SEARCH("Karcher",TRIM(SUBSTITUTE(SUBSTITUTE(MID(Общий!B40,SEARCH("Karcher",Общий!B40,1),19),".",""),"-","")),1)+8,8)),VALUE(LEFT(SUBSTITUTE(SUBSTITUTE(Общий!B40,".",""),"-",""),8))))),0)</f>
        <v>28633030</v>
      </c>
      <c r="B40" s="25" t="str">
        <f>IFERROR(CONCATENATE(VALUE(IF(LEN(IFERROR(VALUE(MID(TRIM(SUBSTITUTE(SUBSTITUTE(MID(Общий!B40,SEARCH("Karcher",Общий!B40,1),19),".",""),"-","")),SEARCH("Karcher",TRIM(SUBSTITUTE(SUBSTITUTE(MID(Общий!B40,SEARCH("Karcher",Общий!B40,1),19),".",""),"-","")),1)+8,8)),VALUE(LEFT(SUBSTITUTE(SUBSTITUTE(Общий!B40,".",""),"-",""),8))))=7,CONCATENATE(IFERROR(VALUE(MID(TRIM(SUBSTITUTE(SUBSTITUTE(MID(Общий!B40,SEARCH("Karcher",Общий!B40,1),19),".",""),"-","")),SEARCH("Karcher",TRIM(SUBSTITUTE(SUBSTITUTE(MID(Общий!B40,SEARCH("Karcher",Общий!B40,1),19),".",""),"-","")),1)+8,8)),VALUE(LEFT(SUBSTITUTE(SUBSTITUTE(Общий!B40,".",""),"-",""),8))),"0"),IFERROR(VALUE(MID(TRIM(SUBSTITUTE(SUBSTITUTE(MID(Общий!B40,SEARCH("Karcher",Общий!B40,1),19),".",""),"-","")),SEARCH("Karcher",TRIM(SUBSTITUTE(SUBSTITUTE(MID(Общий!B40,SEARCH("Karcher",Общий!B40,1),19),".",""),"-","")),1)+8,8)),VALUE(LEFT(SUBSTITUTE(SUBSTITUTE(Общий!B40,".",""),"-",""),8)))))," ",Общий!C40),0)</f>
        <v>28633030 5</v>
      </c>
      <c r="C40" s="29" t="str">
        <f>Общий!A40</f>
        <v>32</v>
      </c>
      <c r="D40" s="27" t="str">
        <f>Общий!B40</f>
        <v>Фильтр патронный  для WD2-3 Karcher 2.863-303 код : 001453</v>
      </c>
      <c r="E40" s="28">
        <f>Общий!C40</f>
        <v>5</v>
      </c>
      <c r="F40" s="21"/>
      <c r="G40" s="56" t="s">
        <v>752</v>
      </c>
      <c r="H40" s="57"/>
      <c r="I40" s="58"/>
      <c r="J40" s="60">
        <v>2</v>
      </c>
      <c r="K40" s="16"/>
    </row>
    <row r="41" spans="1:11" ht="19.5" customHeight="1">
      <c r="A41" s="31">
        <f>IFERROR(VALUE(IF(LEN(IFERROR(VALUE(MID(TRIM(SUBSTITUTE(SUBSTITUTE(MID(Общий!B41,SEARCH("Karcher",Общий!B41,1),19),".",""),"-","")),SEARCH("Karcher",TRIM(SUBSTITUTE(SUBSTITUTE(MID(Общий!B41,SEARCH("Karcher",Общий!B41,1),19),".",""),"-","")),1)+8,8)),VALUE(LEFT(SUBSTITUTE(SUBSTITUTE(Общий!B41,".",""),"-",""),8))))=7,CONCATENATE(IFERROR(VALUE(MID(TRIM(SUBSTITUTE(SUBSTITUTE(MID(Общий!B41,SEARCH("Karcher",Общий!B41,1),19),".",""),"-","")),SEARCH("Karcher",TRIM(SUBSTITUTE(SUBSTITUTE(MID(Общий!B41,SEARCH("Karcher",Общий!B41,1),19),".",""),"-","")),1)+8,8)),VALUE(LEFT(SUBSTITUTE(SUBSTITUTE(Общий!B41,".",""),"-",""),8))),"0"),IFERROR(VALUE(MID(TRIM(SUBSTITUTE(SUBSTITUTE(MID(Общий!B41,SEARCH("Karcher",Общий!B41,1),19),".",""),"-","")),SEARCH("Karcher",TRIM(SUBSTITUTE(SUBSTITUTE(MID(Общий!B41,SEARCH("Karcher",Общий!B41,1),19),".",""),"-","")),1)+8,8)),VALUE(LEFT(SUBSTITUTE(SUBSTITUTE(Общий!B41,".",""),"-",""),8))))),0)</f>
        <v>0</v>
      </c>
      <c r="B41" s="25">
        <f>IFERROR(CONCATENATE(VALUE(IF(LEN(IFERROR(VALUE(MID(TRIM(SUBSTITUTE(SUBSTITUTE(MID(Общий!B41,SEARCH("Karcher",Общий!B41,1),19),".",""),"-","")),SEARCH("Karcher",TRIM(SUBSTITUTE(SUBSTITUTE(MID(Общий!B41,SEARCH("Karcher",Общий!B41,1),19),".",""),"-","")),1)+8,8)),VALUE(LEFT(SUBSTITUTE(SUBSTITUTE(Общий!B41,".",""),"-",""),8))))=7,CONCATENATE(IFERROR(VALUE(MID(TRIM(SUBSTITUTE(SUBSTITUTE(MID(Общий!B41,SEARCH("Karcher",Общий!B41,1),19),".",""),"-","")),SEARCH("Karcher",TRIM(SUBSTITUTE(SUBSTITUTE(MID(Общий!B41,SEARCH("Karcher",Общий!B41,1),19),".",""),"-","")),1)+8,8)),VALUE(LEFT(SUBSTITUTE(SUBSTITUTE(Общий!B41,".",""),"-",""),8))),"0"),IFERROR(VALUE(MID(TRIM(SUBSTITUTE(SUBSTITUTE(MID(Общий!B41,SEARCH("Karcher",Общий!B41,1),19),".",""),"-","")),SEARCH("Karcher",TRIM(SUBSTITUTE(SUBSTITUTE(MID(Общий!B41,SEARCH("Karcher",Общий!B41,1),19),".",""),"-","")),1)+8,8)),VALUE(LEFT(SUBSTITUTE(SUBSTITUTE(Общий!B41,".",""),"-",""),8)))))," ",Общий!C41),0)</f>
        <v>0</v>
      </c>
      <c r="C41" s="29" t="str">
        <f>Общий!A41</f>
        <v>33</v>
      </c>
      <c r="D41" s="27" t="str">
        <f>Общий!B41</f>
        <v xml:space="preserve"> код :</v>
      </c>
      <c r="E41" s="28">
        <f>Общий!C41</f>
        <v>0</v>
      </c>
      <c r="F41" s="21"/>
      <c r="G41" s="56" t="s">
        <v>753</v>
      </c>
      <c r="H41" s="57"/>
      <c r="I41" s="58"/>
      <c r="J41" s="60">
        <v>1</v>
      </c>
      <c r="K41" s="16"/>
    </row>
    <row r="42" spans="1:11" ht="19.5" customHeight="1">
      <c r="A42" s="31">
        <f>IFERROR(VALUE(IF(LEN(IFERROR(VALUE(MID(TRIM(SUBSTITUTE(SUBSTITUTE(MID(Общий!B42,SEARCH("Karcher",Общий!B42,1),19),".",""),"-","")),SEARCH("Karcher",TRIM(SUBSTITUTE(SUBSTITUTE(MID(Общий!B42,SEARCH("Karcher",Общий!B42,1),19),".",""),"-","")),1)+8,8)),VALUE(LEFT(SUBSTITUTE(SUBSTITUTE(Общий!B42,".",""),"-",""),8))))=7,CONCATENATE(IFERROR(VALUE(MID(TRIM(SUBSTITUTE(SUBSTITUTE(MID(Общий!B42,SEARCH("Karcher",Общий!B42,1),19),".",""),"-","")),SEARCH("Karcher",TRIM(SUBSTITUTE(SUBSTITUTE(MID(Общий!B42,SEARCH("Karcher",Общий!B42,1),19),".",""),"-","")),1)+8,8)),VALUE(LEFT(SUBSTITUTE(SUBSTITUTE(Общий!B42,".",""),"-",""),8))),"0"),IFERROR(VALUE(MID(TRIM(SUBSTITUTE(SUBSTITUTE(MID(Общий!B42,SEARCH("Karcher",Общий!B42,1),19),".",""),"-","")),SEARCH("Karcher",TRIM(SUBSTITUTE(SUBSTITUTE(MID(Общий!B42,SEARCH("Karcher",Общий!B42,1),19),".",""),"-","")),1)+8,8)),VALUE(LEFT(SUBSTITUTE(SUBSTITUTE(Общий!B42,".",""),"-",""),8))))),0)</f>
        <v>45801393</v>
      </c>
      <c r="B42" s="25" t="str">
        <f>IFERROR(CONCATENATE(VALUE(IF(LEN(IFERROR(VALUE(MID(TRIM(SUBSTITUTE(SUBSTITUTE(MID(Общий!B42,SEARCH("Karcher",Общий!B42,1),19),".",""),"-","")),SEARCH("Karcher",TRIM(SUBSTITUTE(SUBSTITUTE(MID(Общий!B42,SEARCH("Karcher",Общий!B42,1),19),".",""),"-","")),1)+8,8)),VALUE(LEFT(SUBSTITUTE(SUBSTITUTE(Общий!B42,".",""),"-",""),8))))=7,CONCATENATE(IFERROR(VALUE(MID(TRIM(SUBSTITUTE(SUBSTITUTE(MID(Общий!B42,SEARCH("Karcher",Общий!B42,1),19),".",""),"-","")),SEARCH("Karcher",TRIM(SUBSTITUTE(SUBSTITUTE(MID(Общий!B42,SEARCH("Karcher",Общий!B42,1),19),".",""),"-","")),1)+8,8)),VALUE(LEFT(SUBSTITUTE(SUBSTITUTE(Общий!B42,".",""),"-",""),8))),"0"),IFERROR(VALUE(MID(TRIM(SUBSTITUTE(SUBSTITUTE(MID(Общий!B42,SEARCH("Karcher",Общий!B42,1),19),".",""),"-","")),SEARCH("Karcher",TRIM(SUBSTITUTE(SUBSTITUTE(MID(Общий!B42,SEARCH("Karcher",Общий!B42,1),19),".",""),"-","")),1)+8,8)),VALUE(LEFT(SUBSTITUTE(SUBSTITUTE(Общий!B42,".",""),"-",""),8)))))," ",Общий!C42),0)</f>
        <v>45801393 1</v>
      </c>
      <c r="C42" s="29" t="str">
        <f>Общий!A42</f>
        <v>34</v>
      </c>
      <c r="D42" s="27" t="str">
        <f>Общий!B42</f>
        <v>45801393 Пусковой клапан на замену Karcher (OLD 45800763) *3* код : 005067</v>
      </c>
      <c r="E42" s="28">
        <f>Общий!C42</f>
        <v>1</v>
      </c>
      <c r="F42" s="21"/>
      <c r="G42" s="56" t="s">
        <v>754</v>
      </c>
      <c r="H42" s="57"/>
      <c r="I42" s="58"/>
      <c r="J42" s="59">
        <v>3</v>
      </c>
      <c r="K42" s="16"/>
    </row>
    <row r="43" spans="1:11" ht="19.5" customHeight="1">
      <c r="A43" s="31">
        <f>IFERROR(VALUE(IF(LEN(IFERROR(VALUE(MID(TRIM(SUBSTITUTE(SUBSTITUTE(MID(Общий!B43,SEARCH("Karcher",Общий!B43,1),19),".",""),"-","")),SEARCH("Karcher",TRIM(SUBSTITUTE(SUBSTITUTE(MID(Общий!B43,SEARCH("Karcher",Общий!B43,1),19),".",""),"-","")),1)+8,8)),VALUE(LEFT(SUBSTITUTE(SUBSTITUTE(Общий!B43,".",""),"-",""),8))))=7,CONCATENATE(IFERROR(VALUE(MID(TRIM(SUBSTITUTE(SUBSTITUTE(MID(Общий!B43,SEARCH("Karcher",Общий!B43,1),19),".",""),"-","")),SEARCH("Karcher",TRIM(SUBSTITUTE(SUBSTITUTE(MID(Общий!B43,SEARCH("Karcher",Общий!B43,1),19),".",""),"-","")),1)+8,8)),VALUE(LEFT(SUBSTITUTE(SUBSTITUTE(Общий!B43,".",""),"-",""),8))),"0"),IFERROR(VALUE(MID(TRIM(SUBSTITUTE(SUBSTITUTE(MID(Общий!B43,SEARCH("Karcher",Общий!B43,1),19),".",""),"-","")),SEARCH("Karcher",TRIM(SUBSTITUTE(SUBSTITUTE(MID(Общий!B43,SEARCH("Karcher",Общий!B43,1),19),".",""),"-","")),1)+8,8)),VALUE(LEFT(SUBSTITUTE(SUBSTITUTE(Общий!B43,".",""),"-",""),8))))),0)</f>
        <v>51155370</v>
      </c>
      <c r="B43" s="25" t="str">
        <f>IFERROR(CONCATENATE(VALUE(IF(LEN(IFERROR(VALUE(MID(TRIM(SUBSTITUTE(SUBSTITUTE(MID(Общий!B43,SEARCH("Karcher",Общий!B43,1),19),".",""),"-","")),SEARCH("Karcher",TRIM(SUBSTITUTE(SUBSTITUTE(MID(Общий!B43,SEARCH("Karcher",Общий!B43,1),19),".",""),"-","")),1)+8,8)),VALUE(LEFT(SUBSTITUTE(SUBSTITUTE(Общий!B43,".",""),"-",""),8))))=7,CONCATENATE(IFERROR(VALUE(MID(TRIM(SUBSTITUTE(SUBSTITUTE(MID(Общий!B43,SEARCH("Karcher",Общий!B43,1),19),".",""),"-","")),SEARCH("Karcher",TRIM(SUBSTITUTE(SUBSTITUTE(MID(Общий!B43,SEARCH("Karcher",Общий!B43,1),19),".",""),"-","")),1)+8,8)),VALUE(LEFT(SUBSTITUTE(SUBSTITUTE(Общий!B43,".",""),"-",""),8))),"0"),IFERROR(VALUE(MID(TRIM(SUBSTITUTE(SUBSTITUTE(MID(Общий!B43,SEARCH("Karcher",Общий!B43,1),19),".",""),"-","")),SEARCH("Karcher",TRIM(SUBSTITUTE(SUBSTITUTE(MID(Общий!B43,SEARCH("Karcher",Общий!B43,1),19),".",""),"-","")),1)+8,8)),VALUE(LEFT(SUBSTITUTE(SUBSTITUTE(Общий!B43,".",""),"-",""),8)))))," ",Общий!C43),0)</f>
        <v>51155370 3</v>
      </c>
      <c r="C43" s="29" t="str">
        <f>Общий!A43</f>
        <v>35</v>
      </c>
      <c r="D43" s="27" t="str">
        <f>Общий!B43</f>
        <v>5115537 Шайба  Karcher ** код : 005194</v>
      </c>
      <c r="E43" s="28">
        <f>Общий!C43</f>
        <v>3</v>
      </c>
      <c r="F43" s="21"/>
      <c r="G43" s="56" t="s">
        <v>755</v>
      </c>
      <c r="H43" s="57"/>
      <c r="I43" s="58"/>
      <c r="J43" s="60">
        <v>1</v>
      </c>
      <c r="K43" s="16"/>
    </row>
    <row r="44" spans="1:11" ht="19.5" customHeight="1">
      <c r="A44" s="31">
        <f>IFERROR(VALUE(IF(LEN(IFERROR(VALUE(MID(TRIM(SUBSTITUTE(SUBSTITUTE(MID(Общий!B44,SEARCH("Karcher",Общий!B44,1),19),".",""),"-","")),SEARCH("Karcher",TRIM(SUBSTITUTE(SUBSTITUTE(MID(Общий!B44,SEARCH("Karcher",Общий!B44,1),19),".",""),"-","")),1)+8,8)),VALUE(LEFT(SUBSTITUTE(SUBSTITUTE(Общий!B44,".",""),"-",""),8))))=7,CONCATENATE(IFERROR(VALUE(MID(TRIM(SUBSTITUTE(SUBSTITUTE(MID(Общий!B44,SEARCH("Karcher",Общий!B44,1),19),".",""),"-","")),SEARCH("Karcher",TRIM(SUBSTITUTE(SUBSTITUTE(MID(Общий!B44,SEARCH("Karcher",Общий!B44,1),19),".",""),"-","")),1)+8,8)),VALUE(LEFT(SUBSTITUTE(SUBSTITUTE(Общий!B44,".",""),"-",""),8))),"0"),IFERROR(VALUE(MID(TRIM(SUBSTITUTE(SUBSTITUTE(MID(Общий!B44,SEARCH("Karcher",Общий!B44,1),19),".",""),"-","")),SEARCH("Karcher",TRIM(SUBSTITUTE(SUBSTITUTE(MID(Общий!B44,SEARCH("Karcher",Общий!B44,1),19),".",""),"-","")),1)+8,8)),VALUE(LEFT(SUBSTITUTE(SUBSTITUTE(Общий!B44,".",""),"-",""),8))))),0)</f>
        <v>63636330</v>
      </c>
      <c r="B44" s="25" t="str">
        <f>IFERROR(CONCATENATE(VALUE(IF(LEN(IFERROR(VALUE(MID(TRIM(SUBSTITUTE(SUBSTITUTE(MID(Общий!B44,SEARCH("Karcher",Общий!B44,1),19),".",""),"-","")),SEARCH("Karcher",TRIM(SUBSTITUTE(SUBSTITUTE(MID(Общий!B44,SEARCH("Karcher",Общий!B44,1),19),".",""),"-","")),1)+8,8)),VALUE(LEFT(SUBSTITUTE(SUBSTITUTE(Общий!B44,".",""),"-",""),8))))=7,CONCATENATE(IFERROR(VALUE(MID(TRIM(SUBSTITUTE(SUBSTITUTE(MID(Общий!B44,SEARCH("Karcher",Общий!B44,1),19),".",""),"-","")),SEARCH("Karcher",TRIM(SUBSTITUTE(SUBSTITUTE(MID(Общий!B44,SEARCH("Karcher",Общий!B44,1),19),".",""),"-","")),1)+8,8)),VALUE(LEFT(SUBSTITUTE(SUBSTITUTE(Общий!B44,".",""),"-",""),8))),"0"),IFERROR(VALUE(MID(TRIM(SUBSTITUTE(SUBSTITUTE(MID(Общий!B44,SEARCH("Karcher",Общий!B44,1),19),".",""),"-","")),SEARCH("Karcher",TRIM(SUBSTITUTE(SUBSTITUTE(MID(Общий!B44,SEARCH("Karcher",Общий!B44,1),19),".",""),"-","")),1)+8,8)),VALUE(LEFT(SUBSTITUTE(SUBSTITUTE(Общий!B44,".",""),"-",""),8)))))," ",Общий!C44),0)</f>
        <v>63636330 15</v>
      </c>
      <c r="C44" s="29" t="str">
        <f>Общий!A44</f>
        <v>36</v>
      </c>
      <c r="D44" s="27" t="str">
        <f>Общий!B44</f>
        <v>6363633 З/ч Karcher *6* код : 005325</v>
      </c>
      <c r="E44" s="28">
        <f>Общий!C44</f>
        <v>15</v>
      </c>
      <c r="F44" s="21"/>
      <c r="G44" s="56" t="s">
        <v>756</v>
      </c>
      <c r="H44" s="57"/>
      <c r="I44" s="58"/>
      <c r="J44" s="60">
        <v>1</v>
      </c>
      <c r="K44" s="16"/>
    </row>
    <row r="45" spans="1:11" ht="19.5" customHeight="1">
      <c r="A45" s="31">
        <f>IFERROR(VALUE(IF(LEN(IFERROR(VALUE(MID(TRIM(SUBSTITUTE(SUBSTITUTE(MID(Общий!B45,SEARCH("Karcher",Общий!B45,1),19),".",""),"-","")),SEARCH("Karcher",TRIM(SUBSTITUTE(SUBSTITUTE(MID(Общий!B45,SEARCH("Karcher",Общий!B45,1),19),".",""),"-","")),1)+8,8)),VALUE(LEFT(SUBSTITUTE(SUBSTITUTE(Общий!B45,".",""),"-",""),8))))=7,CONCATENATE(IFERROR(VALUE(MID(TRIM(SUBSTITUTE(SUBSTITUTE(MID(Общий!B45,SEARCH("Karcher",Общий!B45,1),19),".",""),"-","")),SEARCH("Karcher",TRIM(SUBSTITUTE(SUBSTITUTE(MID(Общий!B45,SEARCH("Karcher",Общий!B45,1),19),".",""),"-","")),1)+8,8)),VALUE(LEFT(SUBSTITUTE(SUBSTITUTE(Общий!B45,".",""),"-",""),8))),"0"),IFERROR(VALUE(MID(TRIM(SUBSTITUTE(SUBSTITUTE(MID(Общий!B45,SEARCH("Karcher",Общий!B45,1),19),".",""),"-","")),SEARCH("Karcher",TRIM(SUBSTITUTE(SUBSTITUTE(MID(Общий!B45,SEARCH("Karcher",Общий!B45,1),19),".",""),"-","")),1)+8,8)),VALUE(LEFT(SUBSTITUTE(SUBSTITUTE(Общий!B45,".",""),"-",""),8))))),0)</f>
        <v>64149760</v>
      </c>
      <c r="B45" s="25" t="str">
        <f>IFERROR(CONCATENATE(VALUE(IF(LEN(IFERROR(VALUE(MID(TRIM(SUBSTITUTE(SUBSTITUTE(MID(Общий!B45,SEARCH("Karcher",Общий!B45,1),19),".",""),"-","")),SEARCH("Karcher",TRIM(SUBSTITUTE(SUBSTITUTE(MID(Общий!B45,SEARCH("Karcher",Общий!B45,1),19),".",""),"-","")),1)+8,8)),VALUE(LEFT(SUBSTITUTE(SUBSTITUTE(Общий!B45,".",""),"-",""),8))))=7,CONCATENATE(IFERROR(VALUE(MID(TRIM(SUBSTITUTE(SUBSTITUTE(MID(Общий!B45,SEARCH("Karcher",Общий!B45,1),19),".",""),"-","")),SEARCH("Karcher",TRIM(SUBSTITUTE(SUBSTITUTE(MID(Общий!B45,SEARCH("Karcher",Общий!B45,1),19),".",""),"-","")),1)+8,8)),VALUE(LEFT(SUBSTITUTE(SUBSTITUTE(Общий!B45,".",""),"-",""),8))),"0"),IFERROR(VALUE(MID(TRIM(SUBSTITUTE(SUBSTITUTE(MID(Общий!B45,SEARCH("Karcher",Общий!B45,1),19),".",""),"-","")),SEARCH("Karcher",TRIM(SUBSTITUTE(SUBSTITUTE(MID(Общий!B45,SEARCH("Karcher",Общий!B45,1),19),".",""),"-","")),1)+8,8)),VALUE(LEFT(SUBSTITUTE(SUBSTITUTE(Общий!B45,".",""),"-",""),8)))))," ",Общий!C45),0)</f>
        <v>64149760 1</v>
      </c>
      <c r="C45" s="29" t="str">
        <f>Общий!A45</f>
        <v>37</v>
      </c>
      <c r="D45" s="27" t="str">
        <f>Общий!B45</f>
        <v>6414976 Фильтр только для замены Karcher код : 030500</v>
      </c>
      <c r="E45" s="28">
        <f>Общий!C45</f>
        <v>1</v>
      </c>
      <c r="F45" s="21"/>
      <c r="G45" s="56" t="s">
        <v>757</v>
      </c>
      <c r="H45" s="57"/>
      <c r="I45" s="58"/>
      <c r="J45" s="60">
        <v>45</v>
      </c>
      <c r="K45" s="16"/>
    </row>
    <row r="46" spans="1:11" ht="19.5" customHeight="1">
      <c r="A46" s="31">
        <f>IFERROR(VALUE(IF(LEN(IFERROR(VALUE(MID(TRIM(SUBSTITUTE(SUBSTITUTE(MID(Общий!B46,SEARCH("Karcher",Общий!B46,1),19),".",""),"-","")),SEARCH("Karcher",TRIM(SUBSTITUTE(SUBSTITUTE(MID(Общий!B46,SEARCH("Karcher",Общий!B46,1),19),".",""),"-","")),1)+8,8)),VALUE(LEFT(SUBSTITUTE(SUBSTITUTE(Общий!B46,".",""),"-",""),8))))=7,CONCATENATE(IFERROR(VALUE(MID(TRIM(SUBSTITUTE(SUBSTITUTE(MID(Общий!B46,SEARCH("Karcher",Общий!B46,1),19),".",""),"-","")),SEARCH("Karcher",TRIM(SUBSTITUTE(SUBSTITUTE(MID(Общий!B46,SEARCH("Karcher",Общий!B46,1),19),".",""),"-","")),1)+8,8)),VALUE(LEFT(SUBSTITUTE(SUBSTITUTE(Общий!B46,".",""),"-",""),8))),"0"),IFERROR(VALUE(MID(TRIM(SUBSTITUTE(SUBSTITUTE(MID(Общий!B46,SEARCH("Karcher",Общий!B46,1),19),".",""),"-","")),SEARCH("Karcher",TRIM(SUBSTITUTE(SUBSTITUTE(MID(Общий!B46,SEARCH("Karcher",Общий!B46,1),19),".",""),"-","")),1)+8,8)),VALUE(LEFT(SUBSTITUTE(SUBSTITUTE(Общий!B46,".",""),"-",""),8))))),0)</f>
        <v>69610793</v>
      </c>
      <c r="B46" s="25" t="str">
        <f>IFERROR(CONCATENATE(VALUE(IF(LEN(IFERROR(VALUE(MID(TRIM(SUBSTITUTE(SUBSTITUTE(MID(Общий!B46,SEARCH("Karcher",Общий!B46,1),19),".",""),"-","")),SEARCH("Karcher",TRIM(SUBSTITUTE(SUBSTITUTE(MID(Общий!B46,SEARCH("Karcher",Общий!B46,1),19),".",""),"-","")),1)+8,8)),VALUE(LEFT(SUBSTITUTE(SUBSTITUTE(Общий!B46,".",""),"-",""),8))))=7,CONCATENATE(IFERROR(VALUE(MID(TRIM(SUBSTITUTE(SUBSTITUTE(MID(Общий!B46,SEARCH("Karcher",Общий!B46,1),19),".",""),"-","")),SEARCH("Karcher",TRIM(SUBSTITUTE(SUBSTITUTE(MID(Общий!B46,SEARCH("Karcher",Общий!B46,1),19),".",""),"-","")),1)+8,8)),VALUE(LEFT(SUBSTITUTE(SUBSTITUTE(Общий!B46,".",""),"-",""),8))),"0"),IFERROR(VALUE(MID(TRIM(SUBSTITUTE(SUBSTITUTE(MID(Общий!B46,SEARCH("Karcher",Общий!B46,1),19),".",""),"-","")),SEARCH("Karcher",TRIM(SUBSTITUTE(SUBSTITUTE(MID(Общий!B46,SEARCH("Karcher",Общий!B46,1),19),".",""),"-","")),1)+8,8)),VALUE(LEFT(SUBSTITUTE(SUBSTITUTE(Общий!B46,".",""),"-",""),8)))))," ",Общий!C46),0)</f>
        <v>69610793 3</v>
      </c>
      <c r="C46" s="29" t="str">
        <f>Общий!A46</f>
        <v>38</v>
      </c>
      <c r="D46" s="27" t="str">
        <f>Общий!B46</f>
        <v>69610793 Минипереключатель К7.200 Karcher *1* код : 005342</v>
      </c>
      <c r="E46" s="28">
        <f>Общий!C46</f>
        <v>3</v>
      </c>
      <c r="F46" s="21"/>
      <c r="G46" s="56" t="s">
        <v>758</v>
      </c>
      <c r="H46" s="57"/>
      <c r="I46" s="58"/>
      <c r="J46" s="60">
        <v>5</v>
      </c>
      <c r="K46" s="16"/>
    </row>
    <row r="47" spans="1:11" ht="19.5" customHeight="1">
      <c r="A47" s="31">
        <f>IFERROR(VALUE(IF(LEN(IFERROR(VALUE(MID(TRIM(SUBSTITUTE(SUBSTITUTE(MID(Общий!B47,SEARCH("Karcher",Общий!B47,1),19),".",""),"-","")),SEARCH("Karcher",TRIM(SUBSTITUTE(SUBSTITUTE(MID(Общий!B47,SEARCH("Karcher",Общий!B47,1),19),".",""),"-","")),1)+8,8)),VALUE(LEFT(SUBSTITUTE(SUBSTITUTE(Общий!B47,".",""),"-",""),8))))=7,CONCATENATE(IFERROR(VALUE(MID(TRIM(SUBSTITUTE(SUBSTITUTE(MID(Общий!B47,SEARCH("Karcher",Общий!B47,1),19),".",""),"-","")),SEARCH("Karcher",TRIM(SUBSTITUTE(SUBSTITUTE(MID(Общий!B47,SEARCH("Karcher",Общий!B47,1),19),".",""),"-","")),1)+8,8)),VALUE(LEFT(SUBSTITUTE(SUBSTITUTE(Общий!B47,".",""),"-",""),8))),"0"),IFERROR(VALUE(MID(TRIM(SUBSTITUTE(SUBSTITUTE(MID(Общий!B47,SEARCH("Karcher",Общий!B47,1),19),".",""),"-","")),SEARCH("Karcher",TRIM(SUBSTITUTE(SUBSTITUTE(MID(Общий!B47,SEARCH("Karcher",Общий!B47,1),19),".",""),"-","")),1)+8,8)),VALUE(LEFT(SUBSTITUTE(SUBSTITUTE(Общий!B47,".",""),"-",""),8))))),0)</f>
        <v>0</v>
      </c>
      <c r="B47" s="25">
        <f>IFERROR(CONCATENATE(VALUE(IF(LEN(IFERROR(VALUE(MID(TRIM(SUBSTITUTE(SUBSTITUTE(MID(Общий!B47,SEARCH("Karcher",Общий!B47,1),19),".",""),"-","")),SEARCH("Karcher",TRIM(SUBSTITUTE(SUBSTITUTE(MID(Общий!B47,SEARCH("Karcher",Общий!B47,1),19),".",""),"-","")),1)+8,8)),VALUE(LEFT(SUBSTITUTE(SUBSTITUTE(Общий!B47,".",""),"-",""),8))))=7,CONCATENATE(IFERROR(VALUE(MID(TRIM(SUBSTITUTE(SUBSTITUTE(MID(Общий!B47,SEARCH("Karcher",Общий!B47,1),19),".",""),"-","")),SEARCH("Karcher",TRIM(SUBSTITUTE(SUBSTITUTE(MID(Общий!B47,SEARCH("Karcher",Общий!B47,1),19),".",""),"-","")),1)+8,8)),VALUE(LEFT(SUBSTITUTE(SUBSTITUTE(Общий!B47,".",""),"-",""),8))),"0"),IFERROR(VALUE(MID(TRIM(SUBSTITUTE(SUBSTITUTE(MID(Общий!B47,SEARCH("Karcher",Общий!B47,1),19),".",""),"-","")),SEARCH("Karcher",TRIM(SUBSTITUTE(SUBSTITUTE(MID(Общий!B47,SEARCH("Karcher",Общий!B47,1),19),".",""),"-","")),1)+8,8)),VALUE(LEFT(SUBSTITUTE(SUBSTITUTE(Общий!B47,".",""),"-",""),8)))))," ",Общий!C47),0)</f>
        <v>0</v>
      </c>
      <c r="C47" s="29" t="str">
        <f>Общий!A47</f>
        <v>39</v>
      </c>
      <c r="D47" s="27" t="str">
        <f>Общий!B47</f>
        <v xml:space="preserve"> код :</v>
      </c>
      <c r="E47" s="28">
        <f>Общий!C47</f>
        <v>0</v>
      </c>
      <c r="F47" s="21"/>
      <c r="G47" s="56" t="s">
        <v>759</v>
      </c>
      <c r="H47" s="57"/>
      <c r="I47" s="58"/>
      <c r="J47" s="60">
        <v>3</v>
      </c>
      <c r="K47" s="16"/>
    </row>
    <row r="48" spans="1:11" ht="19.5" customHeight="1">
      <c r="A48" s="31">
        <f>IFERROR(VALUE(IF(LEN(IFERROR(VALUE(MID(TRIM(SUBSTITUTE(SUBSTITUTE(MID(Общий!B48,SEARCH("Karcher",Общий!B48,1),19),".",""),"-","")),SEARCH("Karcher",TRIM(SUBSTITUTE(SUBSTITUTE(MID(Общий!B48,SEARCH("Karcher",Общий!B48,1),19),".",""),"-","")),1)+8,8)),VALUE(LEFT(SUBSTITUTE(SUBSTITUTE(Общий!B48,".",""),"-",""),8))))=7,CONCATENATE(IFERROR(VALUE(MID(TRIM(SUBSTITUTE(SUBSTITUTE(MID(Общий!B48,SEARCH("Karcher",Общий!B48,1),19),".",""),"-","")),SEARCH("Karcher",TRIM(SUBSTITUTE(SUBSTITUTE(MID(Общий!B48,SEARCH("Karcher",Общий!B48,1),19),".",""),"-","")),1)+8,8)),VALUE(LEFT(SUBSTITUTE(SUBSTITUTE(Общий!B48,".",""),"-",""),8))),"0"),IFERROR(VALUE(MID(TRIM(SUBSTITUTE(SUBSTITUTE(MID(Общий!B48,SEARCH("Karcher",Общий!B48,1),19),".",""),"-","")),SEARCH("Karcher",TRIM(SUBSTITUTE(SUBSTITUTE(MID(Общий!B48,SEARCH("Karcher",Общий!B48,1),19),".",""),"-","")),1)+8,8)),VALUE(LEFT(SUBSTITUTE(SUBSTITUTE(Общий!B48,".",""),"-",""),8))))),0)</f>
        <v>28632390</v>
      </c>
      <c r="B48" s="25" t="str">
        <f>IFERROR(CONCATENATE(VALUE(IF(LEN(IFERROR(VALUE(MID(TRIM(SUBSTITUTE(SUBSTITUTE(MID(Общий!B48,SEARCH("Karcher",Общий!B48,1),19),".",""),"-","")),SEARCH("Karcher",TRIM(SUBSTITUTE(SUBSTITUTE(MID(Общий!B48,SEARCH("Karcher",Общий!B48,1),19),".",""),"-","")),1)+8,8)),VALUE(LEFT(SUBSTITUTE(SUBSTITUTE(Общий!B48,".",""),"-",""),8))))=7,CONCATENATE(IFERROR(VALUE(MID(TRIM(SUBSTITUTE(SUBSTITUTE(MID(Общий!B48,SEARCH("Karcher",Общий!B48,1),19),".",""),"-","")),SEARCH("Karcher",TRIM(SUBSTITUTE(SUBSTITUTE(MID(Общий!B48,SEARCH("Karcher",Общий!B48,1),19),".",""),"-","")),1)+8,8)),VALUE(LEFT(SUBSTITUTE(SUBSTITUTE(Общий!B48,".",""),"-",""),8))),"0"),IFERROR(VALUE(MID(TRIM(SUBSTITUTE(SUBSTITUTE(MID(Общий!B48,SEARCH("Karcher",Общий!B48,1),19),".",""),"-","")),SEARCH("Karcher",TRIM(SUBSTITUTE(SUBSTITUTE(MID(Общий!B48,SEARCH("Karcher",Общий!B48,1),19),".",""),"-","")),1)+8,8)),VALUE(LEFT(SUBSTITUTE(SUBSTITUTE(Общий!B48,".",""),"-",""),8)))))," ",Общий!C48),0)</f>
        <v>28632390 2</v>
      </c>
      <c r="C48" s="29" t="str">
        <f>Общий!A48</f>
        <v>40</v>
      </c>
      <c r="D48" s="27" t="str">
        <f>Общий!B48</f>
        <v>Патронный фильтр VC 5 Karcher 2.863-239 код : 000684</v>
      </c>
      <c r="E48" s="28">
        <f>Общий!C48</f>
        <v>2</v>
      </c>
      <c r="F48" s="21"/>
      <c r="G48" s="56" t="s">
        <v>760</v>
      </c>
      <c r="H48" s="57"/>
      <c r="I48" s="58"/>
      <c r="J48" s="60">
        <v>1</v>
      </c>
      <c r="K48" s="16"/>
    </row>
    <row r="49" spans="1:11" ht="19.5" customHeight="1">
      <c r="A49" s="31">
        <f>IFERROR(VALUE(IF(LEN(IFERROR(VALUE(MID(TRIM(SUBSTITUTE(SUBSTITUTE(MID(Общий!B49,SEARCH("Karcher",Общий!B49,1),19),".",""),"-","")),SEARCH("Karcher",TRIM(SUBSTITUTE(SUBSTITUTE(MID(Общий!B49,SEARCH("Karcher",Общий!B49,1),19),".",""),"-","")),1)+8,8)),VALUE(LEFT(SUBSTITUTE(SUBSTITUTE(Общий!B49,".",""),"-",""),8))))=7,CONCATENATE(IFERROR(VALUE(MID(TRIM(SUBSTITUTE(SUBSTITUTE(MID(Общий!B49,SEARCH("Karcher",Общий!B49,1),19),".",""),"-","")),SEARCH("Karcher",TRIM(SUBSTITUTE(SUBSTITUTE(MID(Общий!B49,SEARCH("Karcher",Общий!B49,1),19),".",""),"-","")),1)+8,8)),VALUE(LEFT(SUBSTITUTE(SUBSTITUTE(Общий!B49,".",""),"-",""),8))),"0"),IFERROR(VALUE(MID(TRIM(SUBSTITUTE(SUBSTITUTE(MID(Общий!B49,SEARCH("Karcher",Общий!B49,1),19),".",""),"-","")),SEARCH("Karcher",TRIM(SUBSTITUTE(SUBSTITUTE(MID(Общий!B49,SEARCH("Karcher",Общий!B49,1),19),".",""),"-","")),1)+8,8)),VALUE(LEFT(SUBSTITUTE(SUBSTITUTE(Общий!B49,".",""),"-",""),8))))),0)</f>
        <v>0</v>
      </c>
      <c r="B49" s="25">
        <f>IFERROR(CONCATENATE(VALUE(IF(LEN(IFERROR(VALUE(MID(TRIM(SUBSTITUTE(SUBSTITUTE(MID(Общий!B49,SEARCH("Karcher",Общий!B49,1),19),".",""),"-","")),SEARCH("Karcher",TRIM(SUBSTITUTE(SUBSTITUTE(MID(Общий!B49,SEARCH("Karcher",Общий!B49,1),19),".",""),"-","")),1)+8,8)),VALUE(LEFT(SUBSTITUTE(SUBSTITUTE(Общий!B49,".",""),"-",""),8))))=7,CONCATENATE(IFERROR(VALUE(MID(TRIM(SUBSTITUTE(SUBSTITUTE(MID(Общий!B49,SEARCH("Karcher",Общий!B49,1),19),".",""),"-","")),SEARCH("Karcher",TRIM(SUBSTITUTE(SUBSTITUTE(MID(Общий!B49,SEARCH("Karcher",Общий!B49,1),19),".",""),"-","")),1)+8,8)),VALUE(LEFT(SUBSTITUTE(SUBSTITUTE(Общий!B49,".",""),"-",""),8))),"0"),IFERROR(VALUE(MID(TRIM(SUBSTITUTE(SUBSTITUTE(MID(Общий!B49,SEARCH("Karcher",Общий!B49,1),19),".",""),"-","")),SEARCH("Karcher",TRIM(SUBSTITUTE(SUBSTITUTE(MID(Общий!B49,SEARCH("Karcher",Общий!B49,1),19),".",""),"-","")),1)+8,8)),VALUE(LEFT(SUBSTITUTE(SUBSTITUTE(Общий!B49,".",""),"-",""),8)))))," ",Общий!C49),0)</f>
        <v>0</v>
      </c>
      <c r="C49" s="29" t="str">
        <f>Общий!A49</f>
        <v>41</v>
      </c>
      <c r="D49" s="27" t="str">
        <f>Общий!B49</f>
        <v xml:space="preserve"> код :</v>
      </c>
      <c r="E49" s="28">
        <f>Общий!C49</f>
        <v>0</v>
      </c>
      <c r="F49" s="21"/>
      <c r="G49" s="56" t="s">
        <v>745</v>
      </c>
      <c r="H49" s="57"/>
      <c r="I49" s="58"/>
      <c r="J49" s="60">
        <v>1</v>
      </c>
      <c r="K49" s="16"/>
    </row>
    <row r="50" spans="1:11" ht="19.5" customHeight="1">
      <c r="A50" s="31">
        <f>IFERROR(VALUE(IF(LEN(IFERROR(VALUE(MID(TRIM(SUBSTITUTE(SUBSTITUTE(MID(Общий!B50,SEARCH("Karcher",Общий!B50,1),19),".",""),"-","")),SEARCH("Karcher",TRIM(SUBSTITUTE(SUBSTITUTE(MID(Общий!B50,SEARCH("Karcher",Общий!B50,1),19),".",""),"-","")),1)+8,8)),VALUE(LEFT(SUBSTITUTE(SUBSTITUTE(Общий!B50,".",""),"-",""),8))))=7,CONCATENATE(IFERROR(VALUE(MID(TRIM(SUBSTITUTE(SUBSTITUTE(MID(Общий!B50,SEARCH("Karcher",Общий!B50,1),19),".",""),"-","")),SEARCH("Karcher",TRIM(SUBSTITUTE(SUBSTITUTE(MID(Общий!B50,SEARCH("Karcher",Общий!B50,1),19),".",""),"-","")),1)+8,8)),VALUE(LEFT(SUBSTITUTE(SUBSTITUTE(Общий!B50,".",""),"-",""),8))),"0"),IFERROR(VALUE(MID(TRIM(SUBSTITUTE(SUBSTITUTE(MID(Общий!B50,SEARCH("Karcher",Общий!B50,1),19),".",""),"-","")),SEARCH("Karcher",TRIM(SUBSTITUTE(SUBSTITUTE(MID(Общий!B50,SEARCH("Karcher",Общий!B50,1),19),".",""),"-","")),1)+8,8)),VALUE(LEFT(SUBSTITUTE(SUBSTITUTE(Общий!B50,".",""),"-",""),8))))),0)</f>
        <v>26427260</v>
      </c>
      <c r="B50" s="25" t="str">
        <f>IFERROR(CONCATENATE(VALUE(IF(LEN(IFERROR(VALUE(MID(TRIM(SUBSTITUTE(SUBSTITUTE(MID(Общий!B50,SEARCH("Karcher",Общий!B50,1),19),".",""),"-","")),SEARCH("Karcher",TRIM(SUBSTITUTE(SUBSTITUTE(MID(Общий!B50,SEARCH("Karcher",Общий!B50,1),19),".",""),"-","")),1)+8,8)),VALUE(LEFT(SUBSTITUTE(SUBSTITUTE(Общий!B50,".",""),"-",""),8))))=7,CONCATENATE(IFERROR(VALUE(MID(TRIM(SUBSTITUTE(SUBSTITUTE(MID(Общий!B50,SEARCH("Karcher",Общий!B50,1),19),".",""),"-","")),SEARCH("Karcher",TRIM(SUBSTITUTE(SUBSTITUTE(MID(Общий!B50,SEARCH("Karcher",Общий!B50,1),19),".",""),"-","")),1)+8,8)),VALUE(LEFT(SUBSTITUTE(SUBSTITUTE(Общий!B50,".",""),"-",""),8))),"0"),IFERROR(VALUE(MID(TRIM(SUBSTITUTE(SUBSTITUTE(MID(Общий!B50,SEARCH("Karcher",Общий!B50,1),19),".",""),"-","")),SEARCH("Karcher",TRIM(SUBSTITUTE(SUBSTITUTE(MID(Общий!B50,SEARCH("Karcher",Общий!B50,1),19),".",""),"-","")),1)+8,8)),VALUE(LEFT(SUBSTITUTE(SUBSTITUTE(Общий!B50,".",""),"-",""),8)))))," ",Общий!C50),0)</f>
        <v>26427260 3</v>
      </c>
      <c r="C50" s="29" t="str">
        <f>Общий!A50</f>
        <v>42</v>
      </c>
      <c r="D50" s="27" t="str">
        <f>Общий!B50</f>
        <v>Струйная трубка VP180 (серия К7) Karcher  2.642-726 код : 000644</v>
      </c>
      <c r="E50" s="28">
        <f>Общий!C50</f>
        <v>3</v>
      </c>
      <c r="F50" s="21"/>
      <c r="G50" s="56" t="s">
        <v>761</v>
      </c>
      <c r="H50" s="57"/>
      <c r="I50" s="58"/>
      <c r="J50" s="60">
        <v>1</v>
      </c>
      <c r="K50" s="16"/>
    </row>
    <row r="51" spans="1:11" ht="19.5" customHeight="1">
      <c r="A51" s="31">
        <f>IFERROR(VALUE(IF(LEN(IFERROR(VALUE(MID(TRIM(SUBSTITUTE(SUBSTITUTE(MID(Общий!B51,SEARCH("Karcher",Общий!B51,1),19),".",""),"-","")),SEARCH("Karcher",TRIM(SUBSTITUTE(SUBSTITUTE(MID(Общий!B51,SEARCH("Karcher",Общий!B51,1),19),".",""),"-","")),1)+8,8)),VALUE(LEFT(SUBSTITUTE(SUBSTITUTE(Общий!B51,".",""),"-",""),8))))=7,CONCATENATE(IFERROR(VALUE(MID(TRIM(SUBSTITUTE(SUBSTITUTE(MID(Общий!B51,SEARCH("Karcher",Общий!B51,1),19),".",""),"-","")),SEARCH("Karcher",TRIM(SUBSTITUTE(SUBSTITUTE(MID(Общий!B51,SEARCH("Karcher",Общий!B51,1),19),".",""),"-","")),1)+8,8)),VALUE(LEFT(SUBSTITUTE(SUBSTITUTE(Общий!B51,".",""),"-",""),8))),"0"),IFERROR(VALUE(MID(TRIM(SUBSTITUTE(SUBSTITUTE(MID(Общий!B51,SEARCH("Karcher",Общий!B51,1),19),".",""),"-","")),SEARCH("Karcher",TRIM(SUBSTITUTE(SUBSTITUTE(MID(Общий!B51,SEARCH("Karcher",Общий!B51,1),19),".",""),"-","")),1)+8,8)),VALUE(LEFT(SUBSTITUTE(SUBSTITUTE(Общий!B51,".",""),"-",""),8))))),0)</f>
        <v>28892190</v>
      </c>
      <c r="B51" s="25" t="str">
        <f>IFERROR(CONCATENATE(VALUE(IF(LEN(IFERROR(VALUE(MID(TRIM(SUBSTITUTE(SUBSTITUTE(MID(Общий!B51,SEARCH("Karcher",Общий!B51,1),19),".",""),"-","")),SEARCH("Karcher",TRIM(SUBSTITUTE(SUBSTITUTE(MID(Общий!B51,SEARCH("Karcher",Общий!B51,1),19),".",""),"-","")),1)+8,8)),VALUE(LEFT(SUBSTITUTE(SUBSTITUTE(Общий!B51,".",""),"-",""),8))))=7,CONCATENATE(IFERROR(VALUE(MID(TRIM(SUBSTITUTE(SUBSTITUTE(MID(Общий!B51,SEARCH("Karcher",Общий!B51,1),19),".",""),"-","")),SEARCH("Karcher",TRIM(SUBSTITUTE(SUBSTITUTE(MID(Общий!B51,SEARCH("Karcher",Общий!B51,1),19),".",""),"-","")),1)+8,8)),VALUE(LEFT(SUBSTITUTE(SUBSTITUTE(Общий!B51,".",""),"-",""),8))),"0"),IFERROR(VALUE(MID(TRIM(SUBSTITUTE(SUBSTITUTE(MID(Общий!B51,SEARCH("Karcher",Общий!B51,1),19),".",""),"-","")),SEARCH("Karcher",TRIM(SUBSTITUTE(SUBSTITUTE(MID(Общий!B51,SEARCH("Karcher",Общий!B51,1),19),".",""),"-","")),1)+8,8)),VALUE(LEFT(SUBSTITUTE(SUBSTITUTE(Общий!B51,".",""),"-",""),8)))))," ",Общий!C51),0)</f>
        <v>28892190 2</v>
      </c>
      <c r="C51" s="29" t="str">
        <f>Общий!A51</f>
        <v>43</v>
      </c>
      <c r="D51" s="27" t="str">
        <f>Общий!B51</f>
        <v>Фильтр патронный PES для NT22/1 Karcher 2.889-219 код : 001387</v>
      </c>
      <c r="E51" s="28">
        <f>Общий!C51</f>
        <v>2</v>
      </c>
      <c r="F51" s="21"/>
      <c r="G51" s="56" t="s">
        <v>761</v>
      </c>
      <c r="H51" s="57"/>
      <c r="I51" s="58"/>
      <c r="J51" s="60">
        <v>3</v>
      </c>
      <c r="K51" s="16"/>
    </row>
    <row r="52" spans="1:11" ht="19.5" customHeight="1">
      <c r="A52" s="31">
        <f>IFERROR(VALUE(IF(LEN(IFERROR(VALUE(MID(TRIM(SUBSTITUTE(SUBSTITUTE(MID(Общий!B52,SEARCH("Karcher",Общий!B52,1),19),".",""),"-","")),SEARCH("Karcher",TRIM(SUBSTITUTE(SUBSTITUTE(MID(Общий!B52,SEARCH("Karcher",Общий!B52,1),19),".",""),"-","")),1)+8,8)),VALUE(LEFT(SUBSTITUTE(SUBSTITUTE(Общий!B52,".",""),"-",""),8))))=7,CONCATENATE(IFERROR(VALUE(MID(TRIM(SUBSTITUTE(SUBSTITUTE(MID(Общий!B52,SEARCH("Karcher",Общий!B52,1),19),".",""),"-","")),SEARCH("Karcher",TRIM(SUBSTITUTE(SUBSTITUTE(MID(Общий!B52,SEARCH("Karcher",Общий!B52,1),19),".",""),"-","")),1)+8,8)),VALUE(LEFT(SUBSTITUTE(SUBSTITUTE(Общий!B52,".",""),"-",""),8))),"0"),IFERROR(VALUE(MID(TRIM(SUBSTITUTE(SUBSTITUTE(MID(Общий!B52,SEARCH("Karcher",Общий!B52,1),19),".",""),"-","")),SEARCH("Karcher",TRIM(SUBSTITUTE(SUBSTITUTE(MID(Общий!B52,SEARCH("Karcher",Общий!B52,1),19),".",""),"-","")),1)+8,8)),VALUE(LEFT(SUBSTITUTE(SUBSTITUTE(Общий!B52,".",""),"-",""),8))))),0)</f>
        <v>47606600</v>
      </c>
      <c r="B52" s="25" t="str">
        <f>IFERROR(CONCATENATE(VALUE(IF(LEN(IFERROR(VALUE(MID(TRIM(SUBSTITUTE(SUBSTITUTE(MID(Общий!B52,SEARCH("Karcher",Общий!B52,1),19),".",""),"-","")),SEARCH("Karcher",TRIM(SUBSTITUTE(SUBSTITUTE(MID(Общий!B52,SEARCH("Karcher",Общий!B52,1),19),".",""),"-","")),1)+8,8)),VALUE(LEFT(SUBSTITUTE(SUBSTITUTE(Общий!B52,".",""),"-",""),8))))=7,CONCATENATE(IFERROR(VALUE(MID(TRIM(SUBSTITUTE(SUBSTITUTE(MID(Общий!B52,SEARCH("Karcher",Общий!B52,1),19),".",""),"-","")),SEARCH("Karcher",TRIM(SUBSTITUTE(SUBSTITUTE(MID(Общий!B52,SEARCH("Karcher",Общий!B52,1),19),".",""),"-","")),1)+8,8)),VALUE(LEFT(SUBSTITUTE(SUBSTITUTE(Общий!B52,".",""),"-",""),8))),"0"),IFERROR(VALUE(MID(TRIM(SUBSTITUTE(SUBSTITUTE(MID(Общий!B52,SEARCH("Karcher",Общий!B52,1),19),".",""),"-","")),SEARCH("Karcher",TRIM(SUBSTITUTE(SUBSTITUTE(MID(Общий!B52,SEARCH("Karcher",Общий!B52,1),19),".",""),"-","")),1)+8,8)),VALUE(LEFT(SUBSTITUTE(SUBSTITUTE(Общий!B52,".",""),"-",""),8)))))," ",Общий!C52),0)</f>
        <v>47606600 1</v>
      </c>
      <c r="C52" s="29" t="str">
        <f>Общий!A52</f>
        <v>44</v>
      </c>
      <c r="D52" s="27" t="str">
        <f>Общий!B52</f>
        <v>Струйная трубка для проф АВД вход 22х1,5 1050 мм Karcher 4.760-660 код : 001038</v>
      </c>
      <c r="E52" s="28">
        <f>Общий!C52</f>
        <v>1</v>
      </c>
      <c r="F52" s="21"/>
      <c r="G52" s="56" t="s">
        <v>762</v>
      </c>
      <c r="H52" s="57"/>
      <c r="I52" s="58"/>
      <c r="J52" s="60">
        <v>4</v>
      </c>
      <c r="K52" s="16"/>
    </row>
    <row r="53" spans="1:11" ht="19.5" customHeight="1">
      <c r="A53" s="31">
        <f>IFERROR(VALUE(IF(LEN(IFERROR(VALUE(MID(TRIM(SUBSTITUTE(SUBSTITUTE(MID(Общий!B53,SEARCH("Karcher",Общий!B53,1),19),".",""),"-","")),SEARCH("Karcher",TRIM(SUBSTITUTE(SUBSTITUTE(MID(Общий!B53,SEARCH("Karcher",Общий!B53,1),19),".",""),"-","")),1)+8,8)),VALUE(LEFT(SUBSTITUTE(SUBSTITUTE(Общий!B53,".",""),"-",""),8))))=7,CONCATENATE(IFERROR(VALUE(MID(TRIM(SUBSTITUTE(SUBSTITUTE(MID(Общий!B53,SEARCH("Karcher",Общий!B53,1),19),".",""),"-","")),SEARCH("Karcher",TRIM(SUBSTITUTE(SUBSTITUTE(MID(Общий!B53,SEARCH("Karcher",Общий!B53,1),19),".",""),"-","")),1)+8,8)),VALUE(LEFT(SUBSTITUTE(SUBSTITUTE(Общий!B53,".",""),"-",""),8))),"0"),IFERROR(VALUE(MID(TRIM(SUBSTITUTE(SUBSTITUTE(MID(Общий!B53,SEARCH("Karcher",Общий!B53,1),19),".",""),"-","")),SEARCH("Karcher",TRIM(SUBSTITUTE(SUBSTITUTE(MID(Общий!B53,SEARCH("Karcher",Общий!B53,1),19),".",""),"-","")),1)+8,8)),VALUE(LEFT(SUBSTITUTE(SUBSTITUTE(Общий!B53,".",""),"-",""),8))))),0)</f>
        <v>69043670</v>
      </c>
      <c r="B53" s="25" t="str">
        <f>IFERROR(CONCATENATE(VALUE(IF(LEN(IFERROR(VALUE(MID(TRIM(SUBSTITUTE(SUBSTITUTE(MID(Общий!B53,SEARCH("Karcher",Общий!B53,1),19),".",""),"-","")),SEARCH("Karcher",TRIM(SUBSTITUTE(SUBSTITUTE(MID(Общий!B53,SEARCH("Karcher",Общий!B53,1),19),".",""),"-","")),1)+8,8)),VALUE(LEFT(SUBSTITUTE(SUBSTITUTE(Общий!B53,".",""),"-",""),8))))=7,CONCATENATE(IFERROR(VALUE(MID(TRIM(SUBSTITUTE(SUBSTITUTE(MID(Общий!B53,SEARCH("Karcher",Общий!B53,1),19),".",""),"-","")),SEARCH("Karcher",TRIM(SUBSTITUTE(SUBSTITUTE(MID(Общий!B53,SEARCH("Karcher",Общий!B53,1),19),".",""),"-","")),1)+8,8)),VALUE(LEFT(SUBSTITUTE(SUBSTITUTE(Общий!B53,".",""),"-",""),8))),"0"),IFERROR(VALUE(MID(TRIM(SUBSTITUTE(SUBSTITUTE(MID(Общий!B53,SEARCH("Karcher",Общий!B53,1),19),".",""),"-","")),SEARCH("Karcher",TRIM(SUBSTITUTE(SUBSTITUTE(MID(Общий!B53,SEARCH("Karcher",Общий!B53,1),19),".",""),"-","")),1)+8,8)),VALUE(LEFT(SUBSTITUTE(SUBSTITUTE(Общий!B53,".",""),"-",""),8)))))," ",Общий!C53),0)</f>
        <v>69043670 3</v>
      </c>
      <c r="C53" s="29" t="str">
        <f>Общий!A53</f>
        <v>45</v>
      </c>
      <c r="D53" s="27" t="str">
        <f>Общий!B53</f>
        <v>Фильтр плоский для NT 25/1, 35/1 Karcher 6.904-367 код : 001767</v>
      </c>
      <c r="E53" s="28">
        <f>Общий!C53</f>
        <v>3</v>
      </c>
      <c r="F53" s="21"/>
      <c r="G53" s="56" t="s">
        <v>763</v>
      </c>
      <c r="H53" s="57"/>
      <c r="I53" s="58"/>
      <c r="J53" s="60">
        <v>1</v>
      </c>
      <c r="K53" s="16"/>
    </row>
    <row r="54" spans="1:11" ht="19.5" customHeight="1">
      <c r="A54" s="31">
        <f>IFERROR(VALUE(IF(LEN(IFERROR(VALUE(MID(TRIM(SUBSTITUTE(SUBSTITUTE(MID(Общий!B54,SEARCH("Karcher",Общий!B54,1),19),".",""),"-","")),SEARCH("Karcher",TRIM(SUBSTITUTE(SUBSTITUTE(MID(Общий!B54,SEARCH("Karcher",Общий!B54,1),19),".",""),"-","")),1)+8,8)),VALUE(LEFT(SUBSTITUTE(SUBSTITUTE(Общий!B54,".",""),"-",""),8))))=7,CONCATENATE(IFERROR(VALUE(MID(TRIM(SUBSTITUTE(SUBSTITUTE(MID(Общий!B54,SEARCH("Karcher",Общий!B54,1),19),".",""),"-","")),SEARCH("Karcher",TRIM(SUBSTITUTE(SUBSTITUTE(MID(Общий!B54,SEARCH("Karcher",Общий!B54,1),19),".",""),"-","")),1)+8,8)),VALUE(LEFT(SUBSTITUTE(SUBSTITUTE(Общий!B54,".",""),"-",""),8))),"0"),IFERROR(VALUE(MID(TRIM(SUBSTITUTE(SUBSTITUTE(MID(Общий!B54,SEARCH("Karcher",Общий!B54,1),19),".",""),"-","")),SEARCH("Karcher",TRIM(SUBSTITUTE(SUBSTITUTE(MID(Общий!B54,SEARCH("Karcher",Общий!B54,1),19),".",""),"-","")),1)+8,8)),VALUE(LEFT(SUBSTITUTE(SUBSTITUTE(Общий!B54,".",""),"-",""),8))))),0)</f>
        <v>90024120</v>
      </c>
      <c r="B54" s="25" t="str">
        <f>IFERROR(CONCATENATE(VALUE(IF(LEN(IFERROR(VALUE(MID(TRIM(SUBSTITUTE(SUBSTITUTE(MID(Общий!B54,SEARCH("Karcher",Общий!B54,1),19),".",""),"-","")),SEARCH("Karcher",TRIM(SUBSTITUTE(SUBSTITUTE(MID(Общий!B54,SEARCH("Karcher",Общий!B54,1),19),".",""),"-","")),1)+8,8)),VALUE(LEFT(SUBSTITUTE(SUBSTITUTE(Общий!B54,".",""),"-",""),8))))=7,CONCATENATE(IFERROR(VALUE(MID(TRIM(SUBSTITUTE(SUBSTITUTE(MID(Общий!B54,SEARCH("Karcher",Общий!B54,1),19),".",""),"-","")),SEARCH("Karcher",TRIM(SUBSTITUTE(SUBSTITUTE(MID(Общий!B54,SEARCH("Karcher",Общий!B54,1),19),".",""),"-","")),1)+8,8)),VALUE(LEFT(SUBSTITUTE(SUBSTITUTE(Общий!B54,".",""),"-",""),8))),"0"),IFERROR(VALUE(MID(TRIM(SUBSTITUTE(SUBSTITUTE(MID(Общий!B54,SEARCH("Karcher",Общий!B54,1),19),".",""),"-","")),SEARCH("Karcher",TRIM(SUBSTITUTE(SUBSTITUTE(MID(Общий!B54,SEARCH("Karcher",Общий!B54,1),19),".",""),"-","")),1)+8,8)),VALUE(LEFT(SUBSTITUTE(SUBSTITUTE(Общий!B54,".",""),"-",""),8)))))," ",Общий!C54),0)</f>
        <v>90024120 1</v>
      </c>
      <c r="C54" s="29" t="str">
        <f>Общий!A54</f>
        <v>46</v>
      </c>
      <c r="D54" s="27" t="str">
        <f>Общий!B54</f>
        <v>9002412 Переходник-адаптер в минимойке Karcher *1* код : 005199</v>
      </c>
      <c r="E54" s="28">
        <f>Общий!C54</f>
        <v>1</v>
      </c>
      <c r="F54" s="21"/>
      <c r="G54" s="56" t="s">
        <v>764</v>
      </c>
      <c r="H54" s="57"/>
      <c r="I54" s="58"/>
      <c r="J54" s="60">
        <v>3</v>
      </c>
      <c r="K54" s="16"/>
    </row>
    <row r="55" spans="1:11" ht="19.5" customHeight="1">
      <c r="A55" s="31">
        <f>IFERROR(VALUE(IF(LEN(IFERROR(VALUE(MID(TRIM(SUBSTITUTE(SUBSTITUTE(MID(Общий!B55,SEARCH("Karcher",Общий!B55,1),19),".",""),"-","")),SEARCH("Karcher",TRIM(SUBSTITUTE(SUBSTITUTE(MID(Общий!B55,SEARCH("Karcher",Общий!B55,1),19),".",""),"-","")),1)+8,8)),VALUE(LEFT(SUBSTITUTE(SUBSTITUTE(Общий!B55,".",""),"-",""),8))))=7,CONCATENATE(IFERROR(VALUE(MID(TRIM(SUBSTITUTE(SUBSTITUTE(MID(Общий!B55,SEARCH("Karcher",Общий!B55,1),19),".",""),"-","")),SEARCH("Karcher",TRIM(SUBSTITUTE(SUBSTITUTE(MID(Общий!B55,SEARCH("Karcher",Общий!B55,1),19),".",""),"-","")),1)+8,8)),VALUE(LEFT(SUBSTITUTE(SUBSTITUTE(Общий!B55,".",""),"-",""),8))),"0"),IFERROR(VALUE(MID(TRIM(SUBSTITUTE(SUBSTITUTE(MID(Общий!B55,SEARCH("Karcher",Общий!B55,1),19),".",""),"-","")),SEARCH("Karcher",TRIM(SUBSTITUTE(SUBSTITUTE(MID(Общий!B55,SEARCH("Karcher",Общий!B55,1),19),".",""),"-","")),1)+8,8)),VALUE(LEFT(SUBSTITUTE(SUBSTITUTE(Общий!B55,".",""),"-",""),8))))),0)</f>
        <v>0</v>
      </c>
      <c r="B55" s="25">
        <f>IFERROR(CONCATENATE(VALUE(IF(LEN(IFERROR(VALUE(MID(TRIM(SUBSTITUTE(SUBSTITUTE(MID(Общий!B55,SEARCH("Karcher",Общий!B55,1),19),".",""),"-","")),SEARCH("Karcher",TRIM(SUBSTITUTE(SUBSTITUTE(MID(Общий!B55,SEARCH("Karcher",Общий!B55,1),19),".",""),"-","")),1)+8,8)),VALUE(LEFT(SUBSTITUTE(SUBSTITUTE(Общий!B55,".",""),"-",""),8))))=7,CONCATENATE(IFERROR(VALUE(MID(TRIM(SUBSTITUTE(SUBSTITUTE(MID(Общий!B55,SEARCH("Karcher",Общий!B55,1),19),".",""),"-","")),SEARCH("Karcher",TRIM(SUBSTITUTE(SUBSTITUTE(MID(Общий!B55,SEARCH("Karcher",Общий!B55,1),19),".",""),"-","")),1)+8,8)),VALUE(LEFT(SUBSTITUTE(SUBSTITUTE(Общий!B55,".",""),"-",""),8))),"0"),IFERROR(VALUE(MID(TRIM(SUBSTITUTE(SUBSTITUTE(MID(Общий!B55,SEARCH("Karcher",Общий!B55,1),19),".",""),"-","")),SEARCH("Karcher",TRIM(SUBSTITUTE(SUBSTITUTE(MID(Общий!B55,SEARCH("Karcher",Общий!B55,1),19),".",""),"-","")),1)+8,8)),VALUE(LEFT(SUBSTITUTE(SUBSTITUTE(Общий!B55,".",""),"-",""),8)))))," ",Общий!C55),0)</f>
        <v>0</v>
      </c>
      <c r="C55" s="29" t="str">
        <f>Общий!A55</f>
        <v>47</v>
      </c>
      <c r="D55" s="27" t="str">
        <f>Общий!B55</f>
        <v xml:space="preserve"> код :</v>
      </c>
      <c r="E55" s="28">
        <f>Общий!C55</f>
        <v>0</v>
      </c>
      <c r="F55" s="21"/>
      <c r="G55" s="56" t="s">
        <v>765</v>
      </c>
      <c r="H55" s="57"/>
      <c r="I55" s="58"/>
      <c r="J55" s="59">
        <v>2</v>
      </c>
      <c r="K55" s="16"/>
    </row>
    <row r="56" spans="1:11" ht="19.5" customHeight="1">
      <c r="A56" s="31">
        <f>IFERROR(VALUE(IF(LEN(IFERROR(VALUE(MID(TRIM(SUBSTITUTE(SUBSTITUTE(MID(Общий!B56,SEARCH("Karcher",Общий!B56,1),19),".",""),"-","")),SEARCH("Karcher",TRIM(SUBSTITUTE(SUBSTITUTE(MID(Общий!B56,SEARCH("Karcher",Общий!B56,1),19),".",""),"-","")),1)+8,8)),VALUE(LEFT(SUBSTITUTE(SUBSTITUTE(Общий!B56,".",""),"-",""),8))))=7,CONCATENATE(IFERROR(VALUE(MID(TRIM(SUBSTITUTE(SUBSTITUTE(MID(Общий!B56,SEARCH("Karcher",Общий!B56,1),19),".",""),"-","")),SEARCH("Karcher",TRIM(SUBSTITUTE(SUBSTITUTE(MID(Общий!B56,SEARCH("Karcher",Общий!B56,1),19),".",""),"-","")),1)+8,8)),VALUE(LEFT(SUBSTITUTE(SUBSTITUTE(Общий!B56,".",""),"-",""),8))),"0"),IFERROR(VALUE(MID(TRIM(SUBSTITUTE(SUBSTITUTE(MID(Общий!B56,SEARCH("Karcher",Общий!B56,1),19),".",""),"-","")),SEARCH("Karcher",TRIM(SUBSTITUTE(SUBSTITUTE(MID(Общий!B56,SEARCH("Karcher",Общий!B56,1),19),".",""),"-","")),1)+8,8)),VALUE(LEFT(SUBSTITUTE(SUBSTITUTE(Общий!B56,".",""),"-",""),8))))),0)</f>
        <v>17663600</v>
      </c>
      <c r="B56" s="25" t="str">
        <f>IFERROR(CONCATENATE(VALUE(IF(LEN(IFERROR(VALUE(MID(TRIM(SUBSTITUTE(SUBSTITUTE(MID(Общий!B56,SEARCH("Karcher",Общий!B56,1),19),".",""),"-","")),SEARCH("Karcher",TRIM(SUBSTITUTE(SUBSTITUTE(MID(Общий!B56,SEARCH("Karcher",Общий!B56,1),19),".",""),"-","")),1)+8,8)),VALUE(LEFT(SUBSTITUTE(SUBSTITUTE(Общий!B56,".",""),"-",""),8))))=7,CONCATENATE(IFERROR(VALUE(MID(TRIM(SUBSTITUTE(SUBSTITUTE(MID(Общий!B56,SEARCH("Karcher",Общий!B56,1),19),".",""),"-","")),SEARCH("Karcher",TRIM(SUBSTITUTE(SUBSTITUTE(MID(Общий!B56,SEARCH("Karcher",Общий!B56,1),19),".",""),"-","")),1)+8,8)),VALUE(LEFT(SUBSTITUTE(SUBSTITUTE(Общий!B56,".",""),"-",""),8))),"0"),IFERROR(VALUE(MID(TRIM(SUBSTITUTE(SUBSTITUTE(MID(Общий!B56,SEARCH("Karcher",Общий!B56,1),19),".",""),"-","")),SEARCH("Karcher",TRIM(SUBSTITUTE(SUBSTITUTE(MID(Общий!B56,SEARCH("Karcher",Общий!B56,1),19),".",""),"-","")),1)+8,8)),VALUE(LEFT(SUBSTITUTE(SUBSTITUTE(Общий!B56,".",""),"-",""),8)))))," ",Общий!C56),0)</f>
        <v>17663600 1</v>
      </c>
      <c r="C56" s="29" t="str">
        <f>Общий!A56</f>
        <v>48</v>
      </c>
      <c r="D56" s="27" t="str">
        <f>Общий!B56</f>
        <v>S 4 Twin Подметальная машина Karcher 1.766-360 код : 000181</v>
      </c>
      <c r="E56" s="28">
        <f>Общий!C56</f>
        <v>1</v>
      </c>
      <c r="F56" s="21"/>
      <c r="G56" s="56" t="s">
        <v>766</v>
      </c>
      <c r="H56" s="57"/>
      <c r="I56" s="58"/>
      <c r="J56" s="60">
        <v>10</v>
      </c>
      <c r="K56" s="16"/>
    </row>
    <row r="57" spans="1:11" ht="19.5" customHeight="1">
      <c r="A57" s="31">
        <f>IFERROR(VALUE(IF(LEN(IFERROR(VALUE(MID(TRIM(SUBSTITUTE(SUBSTITUTE(MID(Общий!B57,SEARCH("Karcher",Общий!B57,1),19),".",""),"-","")),SEARCH("Karcher",TRIM(SUBSTITUTE(SUBSTITUTE(MID(Общий!B57,SEARCH("Karcher",Общий!B57,1),19),".",""),"-","")),1)+8,8)),VALUE(LEFT(SUBSTITUTE(SUBSTITUTE(Общий!B57,".",""),"-",""),8))))=7,CONCATENATE(IFERROR(VALUE(MID(TRIM(SUBSTITUTE(SUBSTITUTE(MID(Общий!B57,SEARCH("Karcher",Общий!B57,1),19),".",""),"-","")),SEARCH("Karcher",TRIM(SUBSTITUTE(SUBSTITUTE(MID(Общий!B57,SEARCH("Karcher",Общий!B57,1),19),".",""),"-","")),1)+8,8)),VALUE(LEFT(SUBSTITUTE(SUBSTITUTE(Общий!B57,".",""),"-",""),8))),"0"),IFERROR(VALUE(MID(TRIM(SUBSTITUTE(SUBSTITUTE(MID(Общий!B57,SEARCH("Karcher",Общий!B57,1),19),".",""),"-","")),SEARCH("Karcher",TRIM(SUBSTITUTE(SUBSTITUTE(MID(Общий!B57,SEARCH("Karcher",Общий!B57,1),19),".",""),"-","")),1)+8,8)),VALUE(LEFT(SUBSTITUTE(SUBSTITUTE(Общий!B57,".",""),"-",""),8))))),0)</f>
        <v>28850540</v>
      </c>
      <c r="B57" s="25" t="str">
        <f>IFERROR(CONCATENATE(VALUE(IF(LEN(IFERROR(VALUE(MID(TRIM(SUBSTITUTE(SUBSTITUTE(MID(Общий!B57,SEARCH("Karcher",Общий!B57,1),19),".",""),"-","")),SEARCH("Karcher",TRIM(SUBSTITUTE(SUBSTITUTE(MID(Общий!B57,SEARCH("Karcher",Общий!B57,1),19),".",""),"-","")),1)+8,8)),VALUE(LEFT(SUBSTITUTE(SUBSTITUTE(Общий!B57,".",""),"-",""),8))))=7,CONCATENATE(IFERROR(VALUE(MID(TRIM(SUBSTITUTE(SUBSTITUTE(MID(Общий!B57,SEARCH("Karcher",Общий!B57,1),19),".",""),"-","")),SEARCH("Karcher",TRIM(SUBSTITUTE(SUBSTITUTE(MID(Общий!B57,SEARCH("Karcher",Общий!B57,1),19),".",""),"-","")),1)+8,8)),VALUE(LEFT(SUBSTITUTE(SUBSTITUTE(Общий!B57,".",""),"-",""),8))),"0"),IFERROR(VALUE(MID(TRIM(SUBSTITUTE(SUBSTITUTE(MID(Общий!B57,SEARCH("Karcher",Общий!B57,1),19),".",""),"-","")),SEARCH("Karcher",TRIM(SUBSTITUTE(SUBSTITUTE(MID(Общий!B57,SEARCH("Karcher",Общий!B57,1),19),".",""),"-","")),1)+8,8)),VALUE(LEFT(SUBSTITUTE(SUBSTITUTE(Общий!B57,".",""),"-",""),8)))))," ",Общий!C57),0)</f>
        <v>28850540 1</v>
      </c>
      <c r="C57" s="29" t="str">
        <f>Общий!A57</f>
        <v>49</v>
      </c>
      <c r="D57" s="27" t="str">
        <f>Общий!B57</f>
        <v>2885054 Монтажная плата Karcher код : 005101</v>
      </c>
      <c r="E57" s="28">
        <f>Общий!C57</f>
        <v>1</v>
      </c>
      <c r="F57" s="21"/>
      <c r="G57" s="56" t="s">
        <v>767</v>
      </c>
      <c r="H57" s="57"/>
      <c r="I57" s="58"/>
      <c r="J57" s="60">
        <v>1</v>
      </c>
      <c r="K57" s="16"/>
    </row>
    <row r="58" spans="1:11" ht="19.5" customHeight="1">
      <c r="A58" s="31">
        <f>IFERROR(VALUE(IF(LEN(IFERROR(VALUE(MID(TRIM(SUBSTITUTE(SUBSTITUTE(MID(Общий!B58,SEARCH("Karcher",Общий!B58,1),19),".",""),"-","")),SEARCH("Karcher",TRIM(SUBSTITUTE(SUBSTITUTE(MID(Общий!B58,SEARCH("Karcher",Общий!B58,1),19),".",""),"-","")),1)+8,8)),VALUE(LEFT(SUBSTITUTE(SUBSTITUTE(Общий!B58,".",""),"-",""),8))))=7,CONCATENATE(IFERROR(VALUE(MID(TRIM(SUBSTITUTE(SUBSTITUTE(MID(Общий!B58,SEARCH("Karcher",Общий!B58,1),19),".",""),"-","")),SEARCH("Karcher",TRIM(SUBSTITUTE(SUBSTITUTE(MID(Общий!B58,SEARCH("Karcher",Общий!B58,1),19),".",""),"-","")),1)+8,8)),VALUE(LEFT(SUBSTITUTE(SUBSTITUTE(Общий!B58,".",""),"-",""),8))),"0"),IFERROR(VALUE(MID(TRIM(SUBSTITUTE(SUBSTITUTE(MID(Общий!B58,SEARCH("Karcher",Общий!B58,1),19),".",""),"-","")),SEARCH("Karcher",TRIM(SUBSTITUTE(SUBSTITUTE(MID(Общий!B58,SEARCH("Karcher",Общий!B58,1),19),".",""),"-","")),1)+8,8)),VALUE(LEFT(SUBSTITUTE(SUBSTITUTE(Общий!B58,".",""),"-",""),8))))),0)</f>
        <v>28851330</v>
      </c>
      <c r="B58" s="25" t="str">
        <f>IFERROR(CONCATENATE(VALUE(IF(LEN(IFERROR(VALUE(MID(TRIM(SUBSTITUTE(SUBSTITUTE(MID(Общий!B58,SEARCH("Karcher",Общий!B58,1),19),".",""),"-","")),SEARCH("Karcher",TRIM(SUBSTITUTE(SUBSTITUTE(MID(Общий!B58,SEARCH("Karcher",Общий!B58,1),19),".",""),"-","")),1)+8,8)),VALUE(LEFT(SUBSTITUTE(SUBSTITUTE(Общий!B58,".",""),"-",""),8))))=7,CONCATENATE(IFERROR(VALUE(MID(TRIM(SUBSTITUTE(SUBSTITUTE(MID(Общий!B58,SEARCH("Karcher",Общий!B58,1),19),".",""),"-","")),SEARCH("Karcher",TRIM(SUBSTITUTE(SUBSTITUTE(MID(Общий!B58,SEARCH("Karcher",Общий!B58,1),19),".",""),"-","")),1)+8,8)),VALUE(LEFT(SUBSTITUTE(SUBSTITUTE(Общий!B58,".",""),"-",""),8))),"0"),IFERROR(VALUE(MID(TRIM(SUBSTITUTE(SUBSTITUTE(MID(Общий!B58,SEARCH("Karcher",Общий!B58,1),19),".",""),"-","")),SEARCH("Karcher",TRIM(SUBSTITUTE(SUBSTITUTE(MID(Общий!B58,SEARCH("Karcher",Общий!B58,1),19),".",""),"-","")),1)+8,8)),VALUE(LEFT(SUBSTITUTE(SUBSTITUTE(Общий!B58,".",""),"-",""),8)))))," ",Общий!C58),0)</f>
        <v>28851330 4</v>
      </c>
      <c r="C58" s="29" t="str">
        <f>Общий!A58</f>
        <v>50</v>
      </c>
      <c r="D58" s="27" t="str">
        <f>Общий!B58</f>
        <v>Сопло для HG при 400 - 700 л/ч 068 Karcher 2.885-133 код : 030066</v>
      </c>
      <c r="E58" s="28">
        <f>Общий!C58</f>
        <v>4</v>
      </c>
      <c r="F58" s="21"/>
      <c r="G58" s="56" t="s">
        <v>768</v>
      </c>
      <c r="H58" s="57"/>
      <c r="I58" s="58"/>
      <c r="J58" s="60">
        <v>1</v>
      </c>
      <c r="K58" s="16"/>
    </row>
    <row r="59" spans="1:11" ht="19.5" customHeight="1">
      <c r="A59" s="31">
        <f>IFERROR(VALUE(IF(LEN(IFERROR(VALUE(MID(TRIM(SUBSTITUTE(SUBSTITUTE(MID(Общий!B59,SEARCH("Karcher",Общий!B59,1),19),".",""),"-","")),SEARCH("Karcher",TRIM(SUBSTITUTE(SUBSTITUTE(MID(Общий!B59,SEARCH("Karcher",Общий!B59,1),19),".",""),"-","")),1)+8,8)),VALUE(LEFT(SUBSTITUTE(SUBSTITUTE(Общий!B59,".",""),"-",""),8))))=7,CONCATENATE(IFERROR(VALUE(MID(TRIM(SUBSTITUTE(SUBSTITUTE(MID(Общий!B59,SEARCH("Karcher",Общий!B59,1),19),".",""),"-","")),SEARCH("Karcher",TRIM(SUBSTITUTE(SUBSTITUTE(MID(Общий!B59,SEARCH("Karcher",Общий!B59,1),19),".",""),"-","")),1)+8,8)),VALUE(LEFT(SUBSTITUTE(SUBSTITUTE(Общий!B59,".",""),"-",""),8))),"0"),IFERROR(VALUE(MID(TRIM(SUBSTITUTE(SUBSTITUTE(MID(Общий!B59,SEARCH("Karcher",Общий!B59,1),19),".",""),"-","")),SEARCH("Karcher",TRIM(SUBSTITUTE(SUBSTITUTE(MID(Общий!B59,SEARCH("Karcher",Общий!B59,1),19),".",""),"-","")),1)+8,8)),VALUE(LEFT(SUBSTITUTE(SUBSTITUTE(Общий!B59,".",""),"-",""),8))))),0)</f>
        <v>44730320</v>
      </c>
      <c r="B59" s="25" t="str">
        <f>IFERROR(CONCATENATE(VALUE(IF(LEN(IFERROR(VALUE(MID(TRIM(SUBSTITUTE(SUBSTITUTE(MID(Общий!B59,SEARCH("Karcher",Общий!B59,1),19),".",""),"-","")),SEARCH("Karcher",TRIM(SUBSTITUTE(SUBSTITUTE(MID(Общий!B59,SEARCH("Karcher",Общий!B59,1),19),".",""),"-","")),1)+8,8)),VALUE(LEFT(SUBSTITUTE(SUBSTITUTE(Общий!B59,".",""),"-",""),8))))=7,CONCATENATE(IFERROR(VALUE(MID(TRIM(SUBSTITUTE(SUBSTITUTE(MID(Общий!B59,SEARCH("Karcher",Общий!B59,1),19),".",""),"-","")),SEARCH("Karcher",TRIM(SUBSTITUTE(SUBSTITUTE(MID(Общий!B59,SEARCH("Karcher",Общий!B59,1),19),".",""),"-","")),1)+8,8)),VALUE(LEFT(SUBSTITUTE(SUBSTITUTE(Общий!B59,".",""),"-",""),8))),"0"),IFERROR(VALUE(MID(TRIM(SUBSTITUTE(SUBSTITUTE(MID(Общий!B59,SEARCH("Karcher",Общий!B59,1),19),".",""),"-","")),SEARCH("Karcher",TRIM(SUBSTITUTE(SUBSTITUTE(MID(Общий!B59,SEARCH("Karcher",Общий!B59,1),19),".",""),"-","")),1)+8,8)),VALUE(LEFT(SUBSTITUTE(SUBSTITUTE(Общий!B59,".",""),"-",""),8)))))," ",Общий!C59),0)</f>
        <v>44730320 1</v>
      </c>
      <c r="C59" s="29" t="str">
        <f>Общий!A59</f>
        <v>51</v>
      </c>
      <c r="D59" s="27" t="str">
        <f>Общий!B59</f>
        <v>4473032 Топливный насос только для замены Karcher *0* код : 005347</v>
      </c>
      <c r="E59" s="28">
        <f>Общий!C59</f>
        <v>1</v>
      </c>
      <c r="F59" s="21"/>
      <c r="G59" s="56" t="s">
        <v>769</v>
      </c>
      <c r="H59" s="57"/>
      <c r="I59" s="58"/>
      <c r="J59" s="60">
        <v>1</v>
      </c>
      <c r="K59" s="16"/>
    </row>
    <row r="60" spans="1:11" ht="19.5" customHeight="1">
      <c r="A60" s="31">
        <f>IFERROR(VALUE(IF(LEN(IFERROR(VALUE(MID(TRIM(SUBSTITUTE(SUBSTITUTE(MID(Общий!B60,SEARCH("Karcher",Общий!B60,1),19),".",""),"-","")),SEARCH("Karcher",TRIM(SUBSTITUTE(SUBSTITUTE(MID(Общий!B60,SEARCH("Karcher",Общий!B60,1),19),".",""),"-","")),1)+8,8)),VALUE(LEFT(SUBSTITUTE(SUBSTITUTE(Общий!B60,".",""),"-",""),8))))=7,CONCATENATE(IFERROR(VALUE(MID(TRIM(SUBSTITUTE(SUBSTITUTE(MID(Общий!B60,SEARCH("Karcher",Общий!B60,1),19),".",""),"-","")),SEARCH("Karcher",TRIM(SUBSTITUTE(SUBSTITUTE(MID(Общий!B60,SEARCH("Karcher",Общий!B60,1),19),".",""),"-","")),1)+8,8)),VALUE(LEFT(SUBSTITUTE(SUBSTITUTE(Общий!B60,".",""),"-",""),8))),"0"),IFERROR(VALUE(MID(TRIM(SUBSTITUTE(SUBSTITUTE(MID(Общий!B60,SEARCH("Karcher",Общий!B60,1),19),".",""),"-","")),SEARCH("Karcher",TRIM(SUBSTITUTE(SUBSTITUTE(MID(Общий!B60,SEARCH("Karcher",Общий!B60,1),19),".",""),"-","")),1)+8,8)),VALUE(LEFT(SUBSTITUTE(SUBSTITUTE(Общий!B60,".",""),"-",""),8))))),0)</f>
        <v>45510580</v>
      </c>
      <c r="B60" s="25" t="str">
        <f>IFERROR(CONCATENATE(VALUE(IF(LEN(IFERROR(VALUE(MID(TRIM(SUBSTITUTE(SUBSTITUTE(MID(Общий!B60,SEARCH("Karcher",Общий!B60,1),19),".",""),"-","")),SEARCH("Karcher",TRIM(SUBSTITUTE(SUBSTITUTE(MID(Общий!B60,SEARCH("Karcher",Общий!B60,1),19),".",""),"-","")),1)+8,8)),VALUE(LEFT(SUBSTITUTE(SUBSTITUTE(Общий!B60,".",""),"-",""),8))))=7,CONCATENATE(IFERROR(VALUE(MID(TRIM(SUBSTITUTE(SUBSTITUTE(MID(Общий!B60,SEARCH("Karcher",Общий!B60,1),19),".",""),"-","")),SEARCH("Karcher",TRIM(SUBSTITUTE(SUBSTITUTE(MID(Общий!B60,SEARCH("Karcher",Общий!B60,1),19),".",""),"-","")),1)+8,8)),VALUE(LEFT(SUBSTITUTE(SUBSTITUTE(Общий!B60,".",""),"-",""),8))),"0"),IFERROR(VALUE(MID(TRIM(SUBSTITUTE(SUBSTITUTE(MID(Общий!B60,SEARCH("Karcher",Общий!B60,1),19),".",""),"-","")),SEARCH("Karcher",TRIM(SUBSTITUTE(SUBSTITUTE(MID(Общий!B60,SEARCH("Karcher",Общий!B60,1),19),".",""),"-","")),1)+8,8)),VALUE(LEFT(SUBSTITUTE(SUBSTITUTE(Общий!B60,".",""),"-",""),8)))))," ",Общий!C60),0)</f>
        <v>45510580 1</v>
      </c>
      <c r="C60" s="29" t="str">
        <f>Общий!A60</f>
        <v>52</v>
      </c>
      <c r="D60" s="27" t="str">
        <f>Общий!B60</f>
        <v>Защита картриджа от недостачи воды Karcher 4.551-058 код : 005931</v>
      </c>
      <c r="E60" s="28">
        <f>Общий!C60</f>
        <v>1</v>
      </c>
      <c r="F60" s="21"/>
      <c r="G60" s="56" t="s">
        <v>770</v>
      </c>
      <c r="H60" s="57"/>
      <c r="I60" s="58"/>
      <c r="J60" s="60">
        <v>2</v>
      </c>
      <c r="K60" s="16"/>
    </row>
    <row r="61" spans="1:11" ht="19.5" customHeight="1">
      <c r="A61" s="31">
        <f>IFERROR(VALUE(IF(LEN(IFERROR(VALUE(MID(TRIM(SUBSTITUTE(SUBSTITUTE(MID(Общий!B61,SEARCH("Karcher",Общий!B61,1),19),".",""),"-","")),SEARCH("Karcher",TRIM(SUBSTITUTE(SUBSTITUTE(MID(Общий!B61,SEARCH("Karcher",Общий!B61,1),19),".",""),"-","")),1)+8,8)),VALUE(LEFT(SUBSTITUTE(SUBSTITUTE(Общий!B61,".",""),"-",""),8))))=7,CONCATENATE(IFERROR(VALUE(MID(TRIM(SUBSTITUTE(SUBSTITUTE(MID(Общий!B61,SEARCH("Karcher",Общий!B61,1),19),".",""),"-","")),SEARCH("Karcher",TRIM(SUBSTITUTE(SUBSTITUTE(MID(Общий!B61,SEARCH("Karcher",Общий!B61,1),19),".",""),"-","")),1)+8,8)),VALUE(LEFT(SUBSTITUTE(SUBSTITUTE(Общий!B61,".",""),"-",""),8))),"0"),IFERROR(VALUE(MID(TRIM(SUBSTITUTE(SUBSTITUTE(MID(Общий!B61,SEARCH("Karcher",Общий!B61,1),19),".",""),"-","")),SEARCH("Karcher",TRIM(SUBSTITUTE(SUBSTITUTE(MID(Общий!B61,SEARCH("Karcher",Общий!B61,1),19),".",""),"-","")),1)+8,8)),VALUE(LEFT(SUBSTITUTE(SUBSTITUTE(Общий!B61,".",""),"-",""),8))))),0)</f>
        <v>47442240</v>
      </c>
      <c r="B61" s="25" t="str">
        <f>IFERROR(CONCATENATE(VALUE(IF(LEN(IFERROR(VALUE(MID(TRIM(SUBSTITUTE(SUBSTITUTE(MID(Общий!B61,SEARCH("Karcher",Общий!B61,1),19),".",""),"-","")),SEARCH("Karcher",TRIM(SUBSTITUTE(SUBSTITUTE(MID(Общий!B61,SEARCH("Karcher",Общий!B61,1),19),".",""),"-","")),1)+8,8)),VALUE(LEFT(SUBSTITUTE(SUBSTITUTE(Общий!B61,".",""),"-",""),8))))=7,CONCATENATE(IFERROR(VALUE(MID(TRIM(SUBSTITUTE(SUBSTITUTE(MID(Общий!B61,SEARCH("Karcher",Общий!B61,1),19),".",""),"-","")),SEARCH("Karcher",TRIM(SUBSTITUTE(SUBSTITUTE(MID(Общий!B61,SEARCH("Karcher",Общий!B61,1),19),".",""),"-","")),1)+8,8)),VALUE(LEFT(SUBSTITUTE(SUBSTITUTE(Общий!B61,".",""),"-",""),8))),"0"),IFERROR(VALUE(MID(TRIM(SUBSTITUTE(SUBSTITUTE(MID(Общий!B61,SEARCH("Karcher",Общий!B61,1),19),".",""),"-","")),SEARCH("Karcher",TRIM(SUBSTITUTE(SUBSTITUTE(MID(Общий!B61,SEARCH("Karcher",Общий!B61,1),19),".",""),"-","")),1)+8,8)),VALUE(LEFT(SUBSTITUTE(SUBSTITUTE(Общий!B61,".",""),"-",""),8)))))," ",Общий!C61),0)</f>
        <v>47442240 1</v>
      </c>
      <c r="C61" s="29" t="str">
        <f>Общий!A61</f>
        <v>53</v>
      </c>
      <c r="D61" s="27" t="str">
        <f>Общий!B61</f>
        <v>Микровыключатель Karcher 4.744-224 код : 030078</v>
      </c>
      <c r="E61" s="28">
        <f>Общий!C61</f>
        <v>1</v>
      </c>
      <c r="F61" s="21"/>
      <c r="G61" s="56" t="s">
        <v>771</v>
      </c>
      <c r="H61" s="57"/>
      <c r="I61" s="58"/>
      <c r="J61" s="60">
        <v>3</v>
      </c>
      <c r="K61" s="16"/>
    </row>
    <row r="62" spans="1:11" ht="19.5" customHeight="1">
      <c r="A62" s="31">
        <f>IFERROR(VALUE(IF(LEN(IFERROR(VALUE(MID(TRIM(SUBSTITUTE(SUBSTITUTE(MID(Общий!B62,SEARCH("Karcher",Общий!B62,1),19),".",""),"-","")),SEARCH("Karcher",TRIM(SUBSTITUTE(SUBSTITUTE(MID(Общий!B62,SEARCH("Karcher",Общий!B62,1),19),".",""),"-","")),1)+8,8)),VALUE(LEFT(SUBSTITUTE(SUBSTITUTE(Общий!B62,".",""),"-",""),8))))=7,CONCATENATE(IFERROR(VALUE(MID(TRIM(SUBSTITUTE(SUBSTITUTE(MID(Общий!B62,SEARCH("Karcher",Общий!B62,1),19),".",""),"-","")),SEARCH("Karcher",TRIM(SUBSTITUTE(SUBSTITUTE(MID(Общий!B62,SEARCH("Karcher",Общий!B62,1),19),".",""),"-","")),1)+8,8)),VALUE(LEFT(SUBSTITUTE(SUBSTITUTE(Общий!B62,".",""),"-",""),8))),"0"),IFERROR(VALUE(MID(TRIM(SUBSTITUTE(SUBSTITUTE(MID(Общий!B62,SEARCH("Karcher",Общий!B62,1),19),".",""),"-","")),SEARCH("Karcher",TRIM(SUBSTITUTE(SUBSTITUTE(MID(Общий!B62,SEARCH("Karcher",Общий!B62,1),19),".",""),"-","")),1)+8,8)),VALUE(LEFT(SUBSTITUTE(SUBSTITUTE(Общий!B62,".",""),"-",""),8))))),0)</f>
        <v>69610793</v>
      </c>
      <c r="B62" s="25" t="str">
        <f>IFERROR(CONCATENATE(VALUE(IF(LEN(IFERROR(VALUE(MID(TRIM(SUBSTITUTE(SUBSTITUTE(MID(Общий!B62,SEARCH("Karcher",Общий!B62,1),19),".",""),"-","")),SEARCH("Karcher",TRIM(SUBSTITUTE(SUBSTITUTE(MID(Общий!B62,SEARCH("Karcher",Общий!B62,1),19),".",""),"-","")),1)+8,8)),VALUE(LEFT(SUBSTITUTE(SUBSTITUTE(Общий!B62,".",""),"-",""),8))))=7,CONCATENATE(IFERROR(VALUE(MID(TRIM(SUBSTITUTE(SUBSTITUTE(MID(Общий!B62,SEARCH("Karcher",Общий!B62,1),19),".",""),"-","")),SEARCH("Karcher",TRIM(SUBSTITUTE(SUBSTITUTE(MID(Общий!B62,SEARCH("Karcher",Общий!B62,1),19),".",""),"-","")),1)+8,8)),VALUE(LEFT(SUBSTITUTE(SUBSTITUTE(Общий!B62,".",""),"-",""),8))),"0"),IFERROR(VALUE(MID(TRIM(SUBSTITUTE(SUBSTITUTE(MID(Общий!B62,SEARCH("Karcher",Общий!B62,1),19),".",""),"-","")),SEARCH("Karcher",TRIM(SUBSTITUTE(SUBSTITUTE(MID(Общий!B62,SEARCH("Karcher",Общий!B62,1),19),".",""),"-","")),1)+8,8)),VALUE(LEFT(SUBSTITUTE(SUBSTITUTE(Общий!B62,".",""),"-",""),8)))))," ",Общий!C62),0)</f>
        <v>69610793 1</v>
      </c>
      <c r="C62" s="29" t="str">
        <f>Общий!A62</f>
        <v>54</v>
      </c>
      <c r="D62" s="27" t="str">
        <f>Общий!B62</f>
        <v>69610793 Минипереключатель К7.200 Karcher *1* код : 005342</v>
      </c>
      <c r="E62" s="28">
        <f>Общий!C62</f>
        <v>1</v>
      </c>
      <c r="F62" s="21"/>
      <c r="G62" s="56" t="s">
        <v>772</v>
      </c>
      <c r="H62" s="57"/>
      <c r="I62" s="58"/>
      <c r="J62" s="60">
        <v>1</v>
      </c>
      <c r="K62" s="16"/>
    </row>
    <row r="63" spans="1:11" ht="19.5" customHeight="1">
      <c r="A63" s="31">
        <f>IFERROR(VALUE(IF(LEN(IFERROR(VALUE(MID(TRIM(SUBSTITUTE(SUBSTITUTE(MID(Общий!B63,SEARCH("Karcher",Общий!B63,1),19),".",""),"-","")),SEARCH("Karcher",TRIM(SUBSTITUTE(SUBSTITUTE(MID(Общий!B63,SEARCH("Karcher",Общий!B63,1),19),".",""),"-","")),1)+8,8)),VALUE(LEFT(SUBSTITUTE(SUBSTITUTE(Общий!B63,".",""),"-",""),8))))=7,CONCATENATE(IFERROR(VALUE(MID(TRIM(SUBSTITUTE(SUBSTITUTE(MID(Общий!B63,SEARCH("Karcher",Общий!B63,1),19),".",""),"-","")),SEARCH("Karcher",TRIM(SUBSTITUTE(SUBSTITUTE(MID(Общий!B63,SEARCH("Karcher",Общий!B63,1),19),".",""),"-","")),1)+8,8)),VALUE(LEFT(SUBSTITUTE(SUBSTITUTE(Общий!B63,".",""),"-",""),8))),"0"),IFERROR(VALUE(MID(TRIM(SUBSTITUTE(SUBSTITUTE(MID(Общий!B63,SEARCH("Karcher",Общий!B63,1),19),".",""),"-","")),SEARCH("Karcher",TRIM(SUBSTITUTE(SUBSTITUTE(MID(Общий!B63,SEARCH("Karcher",Общий!B63,1),19),".",""),"-","")),1)+8,8)),VALUE(LEFT(SUBSTITUTE(SUBSTITUTE(Общий!B63,".",""),"-",""),8))))),0)</f>
        <v>64014273</v>
      </c>
      <c r="B63" s="25" t="str">
        <f>IFERROR(CONCATENATE(VALUE(IF(LEN(IFERROR(VALUE(MID(TRIM(SUBSTITUTE(SUBSTITUTE(MID(Общий!B63,SEARCH("Karcher",Общий!B63,1),19),".",""),"-","")),SEARCH("Karcher",TRIM(SUBSTITUTE(SUBSTITUTE(MID(Общий!B63,SEARCH("Karcher",Общий!B63,1),19),".",""),"-","")),1)+8,8)),VALUE(LEFT(SUBSTITUTE(SUBSTITUTE(Общий!B63,".",""),"-",""),8))))=7,CONCATENATE(IFERROR(VALUE(MID(TRIM(SUBSTITUTE(SUBSTITUTE(MID(Общий!B63,SEARCH("Karcher",Общий!B63,1),19),".",""),"-","")),SEARCH("Karcher",TRIM(SUBSTITUTE(SUBSTITUTE(MID(Общий!B63,SEARCH("Karcher",Общий!B63,1),19),".",""),"-","")),1)+8,8)),VALUE(LEFT(SUBSTITUTE(SUBSTITUTE(Общий!B63,".",""),"-",""),8))),"0"),IFERROR(VALUE(MID(TRIM(SUBSTITUTE(SUBSTITUTE(MID(Общий!B63,SEARCH("Karcher",Общий!B63,1),19),".",""),"-","")),SEARCH("Karcher",TRIM(SUBSTITUTE(SUBSTITUTE(MID(Общий!B63,SEARCH("Karcher",Общий!B63,1),19),".",""),"-","")),1)+8,8)),VALUE(LEFT(SUBSTITUTE(SUBSTITUTE(Общий!B63,".",""),"-",""),8)))))," ",Общий!C63),0)</f>
        <v>64014273 1</v>
      </c>
      <c r="C63" s="29" t="str">
        <f>Общий!A63</f>
        <v>55</v>
      </c>
      <c r="D63" s="27" t="str">
        <f>Общий!B63</f>
        <v>Подшипник на мотор (задний) Karcher 6.401-427.3 код : 005608</v>
      </c>
      <c r="E63" s="28">
        <f>Общий!C63</f>
        <v>1</v>
      </c>
      <c r="F63" s="21"/>
      <c r="G63" s="56" t="s">
        <v>773</v>
      </c>
      <c r="H63" s="57"/>
      <c r="I63" s="58"/>
      <c r="J63" s="60">
        <v>5</v>
      </c>
      <c r="K63" s="16"/>
    </row>
    <row r="64" spans="1:11" ht="19.5" customHeight="1">
      <c r="A64" s="31">
        <f>IFERROR(VALUE(IF(LEN(IFERROR(VALUE(MID(TRIM(SUBSTITUTE(SUBSTITUTE(MID(Общий!B64,SEARCH("Karcher",Общий!B64,1),19),".",""),"-","")),SEARCH("Karcher",TRIM(SUBSTITUTE(SUBSTITUTE(MID(Общий!B64,SEARCH("Karcher",Общий!B64,1),19),".",""),"-","")),1)+8,8)),VALUE(LEFT(SUBSTITUTE(SUBSTITUTE(Общий!B64,".",""),"-",""),8))))=7,CONCATENATE(IFERROR(VALUE(MID(TRIM(SUBSTITUTE(SUBSTITUTE(MID(Общий!B64,SEARCH("Karcher",Общий!B64,1),19),".",""),"-","")),SEARCH("Karcher",TRIM(SUBSTITUTE(SUBSTITUTE(MID(Общий!B64,SEARCH("Karcher",Общий!B64,1),19),".",""),"-","")),1)+8,8)),VALUE(LEFT(SUBSTITUTE(SUBSTITUTE(Общий!B64,".",""),"-",""),8))),"0"),IFERROR(VALUE(MID(TRIM(SUBSTITUTE(SUBSTITUTE(MID(Общий!B64,SEARCH("Karcher",Общий!B64,1),19),".",""),"-","")),SEARCH("Karcher",TRIM(SUBSTITUTE(SUBSTITUTE(MID(Общий!B64,SEARCH("Karcher",Общий!B64,1),19),".",""),"-","")),1)+8,8)),VALUE(LEFT(SUBSTITUTE(SUBSTITUTE(Общий!B64,".",""),"-",""),8))))),0)</f>
        <v>0</v>
      </c>
      <c r="B64" s="25">
        <f>IFERROR(CONCATENATE(VALUE(IF(LEN(IFERROR(VALUE(MID(TRIM(SUBSTITUTE(SUBSTITUTE(MID(Общий!B64,SEARCH("Karcher",Общий!B64,1),19),".",""),"-","")),SEARCH("Karcher",TRIM(SUBSTITUTE(SUBSTITUTE(MID(Общий!B64,SEARCH("Karcher",Общий!B64,1),19),".",""),"-","")),1)+8,8)),VALUE(LEFT(SUBSTITUTE(SUBSTITUTE(Общий!B64,".",""),"-",""),8))))=7,CONCATENATE(IFERROR(VALUE(MID(TRIM(SUBSTITUTE(SUBSTITUTE(MID(Общий!B64,SEARCH("Karcher",Общий!B64,1),19),".",""),"-","")),SEARCH("Karcher",TRIM(SUBSTITUTE(SUBSTITUTE(MID(Общий!B64,SEARCH("Karcher",Общий!B64,1),19),".",""),"-","")),1)+8,8)),VALUE(LEFT(SUBSTITUTE(SUBSTITUTE(Общий!B64,".",""),"-",""),8))),"0"),IFERROR(VALUE(MID(TRIM(SUBSTITUTE(SUBSTITUTE(MID(Общий!B64,SEARCH("Karcher",Общий!B64,1),19),".",""),"-","")),SEARCH("Karcher",TRIM(SUBSTITUTE(SUBSTITUTE(MID(Общий!B64,SEARCH("Karcher",Общий!B64,1),19),".",""),"-","")),1)+8,8)),VALUE(LEFT(SUBSTITUTE(SUBSTITUTE(Общий!B64,".",""),"-",""),8)))))," ",Общий!C64),0)</f>
        <v>0</v>
      </c>
      <c r="C64" s="29" t="str">
        <f>Общий!A64</f>
        <v>56</v>
      </c>
      <c r="D64" s="27" t="str">
        <f>Общий!B64</f>
        <v xml:space="preserve"> код :</v>
      </c>
      <c r="E64" s="28">
        <f>Общий!C64</f>
        <v>0</v>
      </c>
      <c r="F64" s="21"/>
      <c r="G64" s="56" t="s">
        <v>774</v>
      </c>
      <c r="H64" s="57"/>
      <c r="I64" s="58"/>
      <c r="J64" s="60">
        <v>6</v>
      </c>
      <c r="K64" s="16"/>
    </row>
    <row r="65" spans="1:11" ht="19.5" customHeight="1">
      <c r="A65" s="31">
        <f>IFERROR(VALUE(IF(LEN(IFERROR(VALUE(MID(TRIM(SUBSTITUTE(SUBSTITUTE(MID(Общий!B65,SEARCH("Karcher",Общий!B65,1),19),".",""),"-","")),SEARCH("Karcher",TRIM(SUBSTITUTE(SUBSTITUTE(MID(Общий!B65,SEARCH("Karcher",Общий!B65,1),19),".",""),"-","")),1)+8,8)),VALUE(LEFT(SUBSTITUTE(SUBSTITUTE(Общий!B65,".",""),"-",""),8))))=7,CONCATENATE(IFERROR(VALUE(MID(TRIM(SUBSTITUTE(SUBSTITUTE(MID(Общий!B65,SEARCH("Karcher",Общий!B65,1),19),".",""),"-","")),SEARCH("Karcher",TRIM(SUBSTITUTE(SUBSTITUTE(MID(Общий!B65,SEARCH("Karcher",Общий!B65,1),19),".",""),"-","")),1)+8,8)),VALUE(LEFT(SUBSTITUTE(SUBSTITUTE(Общий!B65,".",""),"-",""),8))),"0"),IFERROR(VALUE(MID(TRIM(SUBSTITUTE(SUBSTITUTE(MID(Общий!B65,SEARCH("Karcher",Общий!B65,1),19),".",""),"-","")),SEARCH("Karcher",TRIM(SUBSTITUTE(SUBSTITUTE(MID(Общий!B65,SEARCH("Karcher",Общий!B65,1),19),".",""),"-","")),1)+8,8)),VALUE(LEFT(SUBSTITUTE(SUBSTITUTE(Общий!B65,".",""),"-",""),8))))),0)</f>
        <v>90850130</v>
      </c>
      <c r="B65" s="25" t="str">
        <f>IFERROR(CONCATENATE(VALUE(IF(LEN(IFERROR(VALUE(MID(TRIM(SUBSTITUTE(SUBSTITUTE(MID(Общий!B65,SEARCH("Karcher",Общий!B65,1),19),".",""),"-","")),SEARCH("Karcher",TRIM(SUBSTITUTE(SUBSTITUTE(MID(Общий!B65,SEARCH("Karcher",Общий!B65,1),19),".",""),"-","")),1)+8,8)),VALUE(LEFT(SUBSTITUTE(SUBSTITUTE(Общий!B65,".",""),"-",""),8))))=7,CONCATENATE(IFERROR(VALUE(MID(TRIM(SUBSTITUTE(SUBSTITUTE(MID(Общий!B65,SEARCH("Karcher",Общий!B65,1),19),".",""),"-","")),SEARCH("Karcher",TRIM(SUBSTITUTE(SUBSTITUTE(MID(Общий!B65,SEARCH("Karcher",Общий!B65,1),19),".",""),"-","")),1)+8,8)),VALUE(LEFT(SUBSTITUTE(SUBSTITUTE(Общий!B65,".",""),"-",""),8))),"0"),IFERROR(VALUE(MID(TRIM(SUBSTITUTE(SUBSTITUTE(MID(Общий!B65,SEARCH("Karcher",Общий!B65,1),19),".",""),"-","")),SEARCH("Karcher",TRIM(SUBSTITUTE(SUBSTITUTE(MID(Общий!B65,SEARCH("Karcher",Общий!B65,1),19),".",""),"-","")),1)+8,8)),VALUE(LEFT(SUBSTITUTE(SUBSTITUTE(Общий!B65,".",""),"-",""),8)))))," ",Общий!C65),0)</f>
        <v>90850130 1</v>
      </c>
      <c r="C65" s="29" t="str">
        <f>Общий!A65</f>
        <v>57</v>
      </c>
      <c r="D65" s="27" t="str">
        <f>Общий!B65</f>
        <v>9085013 Конденсатор 25мф 73мм HD5/11  220В *1* код : 005089</v>
      </c>
      <c r="E65" s="28">
        <f>Общий!C65</f>
        <v>1</v>
      </c>
      <c r="F65" s="21"/>
      <c r="G65" s="56" t="s">
        <v>775</v>
      </c>
      <c r="H65" s="57"/>
      <c r="I65" s="58"/>
      <c r="J65" s="60">
        <v>6</v>
      </c>
      <c r="K65" s="16"/>
    </row>
    <row r="66" spans="1:11" ht="19.5" customHeight="1">
      <c r="A66" s="31">
        <f>IFERROR(VALUE(IF(LEN(IFERROR(VALUE(MID(TRIM(SUBSTITUTE(SUBSTITUTE(MID(Общий!B66,SEARCH("Karcher",Общий!B66,1),19),".",""),"-","")),SEARCH("Karcher",TRIM(SUBSTITUTE(SUBSTITUTE(MID(Общий!B66,SEARCH("Karcher",Общий!B66,1),19),".",""),"-","")),1)+8,8)),VALUE(LEFT(SUBSTITUTE(SUBSTITUTE(Общий!B66,".",""),"-",""),8))))=7,CONCATENATE(IFERROR(VALUE(MID(TRIM(SUBSTITUTE(SUBSTITUTE(MID(Общий!B66,SEARCH("Karcher",Общий!B66,1),19),".",""),"-","")),SEARCH("Karcher",TRIM(SUBSTITUTE(SUBSTITUTE(MID(Общий!B66,SEARCH("Karcher",Общий!B66,1),19),".",""),"-","")),1)+8,8)),VALUE(LEFT(SUBSTITUTE(SUBSTITUTE(Общий!B66,".",""),"-",""),8))),"0"),IFERROR(VALUE(MID(TRIM(SUBSTITUTE(SUBSTITUTE(MID(Общий!B66,SEARCH("Karcher",Общий!B66,1),19),".",""),"-","")),SEARCH("Karcher",TRIM(SUBSTITUTE(SUBSTITUTE(MID(Общий!B66,SEARCH("Karcher",Общий!B66,1),19),".",""),"-","")),1)+8,8)),VALUE(LEFT(SUBSTITUTE(SUBSTITUTE(Общий!B66,".",""),"-",""),8))))),0)</f>
        <v>90850130</v>
      </c>
      <c r="B66" s="25" t="str">
        <f>IFERROR(CONCATENATE(VALUE(IF(LEN(IFERROR(VALUE(MID(TRIM(SUBSTITUTE(SUBSTITUTE(MID(Общий!B66,SEARCH("Karcher",Общий!B66,1),19),".",""),"-","")),SEARCH("Karcher",TRIM(SUBSTITUTE(SUBSTITUTE(MID(Общий!B66,SEARCH("Karcher",Общий!B66,1),19),".",""),"-","")),1)+8,8)),VALUE(LEFT(SUBSTITUTE(SUBSTITUTE(Общий!B66,".",""),"-",""),8))))=7,CONCATENATE(IFERROR(VALUE(MID(TRIM(SUBSTITUTE(SUBSTITUTE(MID(Общий!B66,SEARCH("Karcher",Общий!B66,1),19),".",""),"-","")),SEARCH("Karcher",TRIM(SUBSTITUTE(SUBSTITUTE(MID(Общий!B66,SEARCH("Karcher",Общий!B66,1),19),".",""),"-","")),1)+8,8)),VALUE(LEFT(SUBSTITUTE(SUBSTITUTE(Общий!B66,".",""),"-",""),8))),"0"),IFERROR(VALUE(MID(TRIM(SUBSTITUTE(SUBSTITUTE(MID(Общий!B66,SEARCH("Karcher",Общий!B66,1),19),".",""),"-","")),SEARCH("Karcher",TRIM(SUBSTITUTE(SUBSTITUTE(MID(Общий!B66,SEARCH("Karcher",Общий!B66,1),19),".",""),"-","")),1)+8,8)),VALUE(LEFT(SUBSTITUTE(SUBSTITUTE(Общий!B66,".",""),"-",""),8)))))," ",Общий!C66),0)</f>
        <v>90850130 1</v>
      </c>
      <c r="C66" s="29" t="str">
        <f>Общий!A66</f>
        <v>58</v>
      </c>
      <c r="D66" s="27" t="str">
        <f>Общий!B66</f>
        <v>9085013 Конденсатор 25мф 73мм HD5/11  220В *1* код : 005089</v>
      </c>
      <c r="E66" s="28">
        <f>Общий!C66</f>
        <v>1</v>
      </c>
      <c r="F66" s="21"/>
      <c r="G66" s="56" t="s">
        <v>776</v>
      </c>
      <c r="H66" s="57"/>
      <c r="I66" s="58"/>
      <c r="J66" s="60">
        <v>1</v>
      </c>
      <c r="K66" s="16"/>
    </row>
    <row r="67" spans="1:11" ht="19.5" customHeight="1">
      <c r="A67" s="31">
        <f>IFERROR(VALUE(IF(LEN(IFERROR(VALUE(MID(TRIM(SUBSTITUTE(SUBSTITUTE(MID(Общий!B67,SEARCH("Karcher",Общий!B67,1),19),".",""),"-","")),SEARCH("Karcher",TRIM(SUBSTITUTE(SUBSTITUTE(MID(Общий!B67,SEARCH("Karcher",Общий!B67,1),19),".",""),"-","")),1)+8,8)),VALUE(LEFT(SUBSTITUTE(SUBSTITUTE(Общий!B67,".",""),"-",""),8))))=7,CONCATENATE(IFERROR(VALUE(MID(TRIM(SUBSTITUTE(SUBSTITUTE(MID(Общий!B67,SEARCH("Karcher",Общий!B67,1),19),".",""),"-","")),SEARCH("Karcher",TRIM(SUBSTITUTE(SUBSTITUTE(MID(Общий!B67,SEARCH("Karcher",Общий!B67,1),19),".",""),"-","")),1)+8,8)),VALUE(LEFT(SUBSTITUTE(SUBSTITUTE(Общий!B67,".",""),"-",""),8))),"0"),IFERROR(VALUE(MID(TRIM(SUBSTITUTE(SUBSTITUTE(MID(Общий!B67,SEARCH("Karcher",Общий!B67,1),19),".",""),"-","")),SEARCH("Karcher",TRIM(SUBSTITUTE(SUBSTITUTE(MID(Общий!B67,SEARCH("Karcher",Общий!B67,1),19),".",""),"-","")),1)+8,8)),VALUE(LEFT(SUBSTITUTE(SUBSTITUTE(Общий!B67,".",""),"-",""),8))))),0)</f>
        <v>0</v>
      </c>
      <c r="B67" s="25">
        <f>IFERROR(CONCATENATE(VALUE(IF(LEN(IFERROR(VALUE(MID(TRIM(SUBSTITUTE(SUBSTITUTE(MID(Общий!B67,SEARCH("Karcher",Общий!B67,1),19),".",""),"-","")),SEARCH("Karcher",TRIM(SUBSTITUTE(SUBSTITUTE(MID(Общий!B67,SEARCH("Karcher",Общий!B67,1),19),".",""),"-","")),1)+8,8)),VALUE(LEFT(SUBSTITUTE(SUBSTITUTE(Общий!B67,".",""),"-",""),8))))=7,CONCATENATE(IFERROR(VALUE(MID(TRIM(SUBSTITUTE(SUBSTITUTE(MID(Общий!B67,SEARCH("Karcher",Общий!B67,1),19),".",""),"-","")),SEARCH("Karcher",TRIM(SUBSTITUTE(SUBSTITUTE(MID(Общий!B67,SEARCH("Karcher",Общий!B67,1),19),".",""),"-","")),1)+8,8)),VALUE(LEFT(SUBSTITUTE(SUBSTITUTE(Общий!B67,".",""),"-",""),8))),"0"),IFERROR(VALUE(MID(TRIM(SUBSTITUTE(SUBSTITUTE(MID(Общий!B67,SEARCH("Karcher",Общий!B67,1),19),".",""),"-","")),SEARCH("Karcher",TRIM(SUBSTITUTE(SUBSTITUTE(MID(Общий!B67,SEARCH("Karcher",Общий!B67,1),19),".",""),"-","")),1)+8,8)),VALUE(LEFT(SUBSTITUTE(SUBSTITUTE(Общий!B67,".",""),"-",""),8)))))," ",Общий!C67),0)</f>
        <v>0</v>
      </c>
      <c r="C67" s="29" t="str">
        <f>Общий!A67</f>
        <v>59</v>
      </c>
      <c r="D67" s="27" t="str">
        <f>Общий!B67</f>
        <v xml:space="preserve"> код :</v>
      </c>
      <c r="E67" s="28">
        <f>Общий!C67</f>
        <v>0</v>
      </c>
      <c r="F67" s="21"/>
      <c r="G67" s="56" t="s">
        <v>777</v>
      </c>
      <c r="H67" s="57"/>
      <c r="I67" s="58"/>
      <c r="J67" s="60">
        <v>4</v>
      </c>
      <c r="K67" s="16"/>
    </row>
    <row r="68" spans="1:11" ht="19.5" customHeight="1">
      <c r="A68" s="31">
        <f>IFERROR(VALUE(IF(LEN(IFERROR(VALUE(MID(TRIM(SUBSTITUTE(SUBSTITUTE(MID(Общий!B68,SEARCH("Karcher",Общий!B68,1),19),".",""),"-","")),SEARCH("Karcher",TRIM(SUBSTITUTE(SUBSTITUTE(MID(Общий!B68,SEARCH("Karcher",Общий!B68,1),19),".",""),"-","")),1)+8,8)),VALUE(LEFT(SUBSTITUTE(SUBSTITUTE(Общий!B68,".",""),"-",""),8))))=7,CONCATENATE(IFERROR(VALUE(MID(TRIM(SUBSTITUTE(SUBSTITUTE(MID(Общий!B68,SEARCH("Karcher",Общий!B68,1),19),".",""),"-","")),SEARCH("Karcher",TRIM(SUBSTITUTE(SUBSTITUTE(MID(Общий!B68,SEARCH("Karcher",Общий!B68,1),19),".",""),"-","")),1)+8,8)),VALUE(LEFT(SUBSTITUTE(SUBSTITUTE(Общий!B68,".",""),"-",""),8))),"0"),IFERROR(VALUE(MID(TRIM(SUBSTITUTE(SUBSTITUTE(MID(Общий!B68,SEARCH("Karcher",Общий!B68,1),19),".",""),"-","")),SEARCH("Karcher",TRIM(SUBSTITUTE(SUBSTITUTE(MID(Общий!B68,SEARCH("Karcher",Общий!B68,1),19),".",""),"-","")),1)+8,8)),VALUE(LEFT(SUBSTITUTE(SUBSTITUTE(Общий!B68,".",""),"-",""),8))))),0)</f>
        <v>26450420</v>
      </c>
      <c r="B68" s="25" t="str">
        <f>IFERROR(CONCATENATE(VALUE(IF(LEN(IFERROR(VALUE(MID(TRIM(SUBSTITUTE(SUBSTITUTE(MID(Общий!B68,SEARCH("Karcher",Общий!B68,1),19),".",""),"-","")),SEARCH("Karcher",TRIM(SUBSTITUTE(SUBSTITUTE(MID(Общий!B68,SEARCH("Karcher",Общий!B68,1),19),".",""),"-","")),1)+8,8)),VALUE(LEFT(SUBSTITUTE(SUBSTITUTE(Общий!B68,".",""),"-",""),8))))=7,CONCATENATE(IFERROR(VALUE(MID(TRIM(SUBSTITUTE(SUBSTITUTE(MID(Общий!B68,SEARCH("Karcher",Общий!B68,1),19),".",""),"-","")),SEARCH("Karcher",TRIM(SUBSTITUTE(SUBSTITUTE(MID(Общий!B68,SEARCH("Karcher",Общий!B68,1),19),".",""),"-","")),1)+8,8)),VALUE(LEFT(SUBSTITUTE(SUBSTITUTE(Общий!B68,".",""),"-",""),8))),"0"),IFERROR(VALUE(MID(TRIM(SUBSTITUTE(SUBSTITUTE(MID(Общий!B68,SEARCH("Karcher",Общий!B68,1),19),".",""),"-","")),SEARCH("Karcher",TRIM(SUBSTITUTE(SUBSTITUTE(MID(Общий!B68,SEARCH("Karcher",Общий!B68,1),19),".",""),"-","")),1)+8,8)),VALUE(LEFT(SUBSTITUTE(SUBSTITUTE(Общий!B68,".",""),"-",""),8)))))," ",Общий!C68),0)</f>
        <v>26450420 4</v>
      </c>
      <c r="C68" s="29" t="str">
        <f>Общий!A68</f>
        <v>60</v>
      </c>
      <c r="D68" s="27" t="str">
        <f>Общий!B68</f>
        <v>Тележка для шланга HT80M Karcher 2.645-042 код : 020063</v>
      </c>
      <c r="E68" s="28">
        <f>Общий!C68</f>
        <v>4</v>
      </c>
      <c r="F68" s="21"/>
      <c r="G68" s="56" t="s">
        <v>778</v>
      </c>
      <c r="H68" s="57"/>
      <c r="I68" s="58"/>
      <c r="J68" s="59">
        <v>2</v>
      </c>
      <c r="K68" s="16"/>
    </row>
    <row r="69" spans="1:11" ht="12" customHeight="1">
      <c r="A69" s="31">
        <f>IFERROR(VALUE(IF(LEN(IFERROR(VALUE(MID(TRIM(SUBSTITUTE(SUBSTITUTE(MID(Общий!B69,SEARCH("Karcher",Общий!B69,1),19),".",""),"-","")),SEARCH("Karcher",TRIM(SUBSTITUTE(SUBSTITUTE(MID(Общий!B69,SEARCH("Karcher",Общий!B69,1),19),".",""),"-","")),1)+8,8)),VALUE(LEFT(SUBSTITUTE(SUBSTITUTE(Общий!B69,".",""),"-",""),8))))=7,CONCATENATE(IFERROR(VALUE(MID(TRIM(SUBSTITUTE(SUBSTITUTE(MID(Общий!B69,SEARCH("Karcher",Общий!B69,1),19),".",""),"-","")),SEARCH("Karcher",TRIM(SUBSTITUTE(SUBSTITUTE(MID(Общий!B69,SEARCH("Karcher",Общий!B69,1),19),".",""),"-","")),1)+8,8)),VALUE(LEFT(SUBSTITUTE(SUBSTITUTE(Общий!B69,".",""),"-",""),8))),"0"),IFERROR(VALUE(MID(TRIM(SUBSTITUTE(SUBSTITUTE(MID(Общий!B69,SEARCH("Karcher",Общий!B69,1),19),".",""),"-","")),SEARCH("Karcher",TRIM(SUBSTITUTE(SUBSTITUTE(MID(Общий!B69,SEARCH("Karcher",Общий!B69,1),19),".",""),"-","")),1)+8,8)),VALUE(LEFT(SUBSTITUTE(SUBSTITUTE(Общий!B69,".",""),"-",""),8))))),0)</f>
        <v>26452810</v>
      </c>
      <c r="B69" s="25" t="str">
        <f>IFERROR(CONCATENATE(VALUE(IF(LEN(IFERROR(VALUE(MID(TRIM(SUBSTITUTE(SUBSTITUTE(MID(Общий!B69,SEARCH("Karcher",Общий!B69,1),19),".",""),"-","")),SEARCH("Karcher",TRIM(SUBSTITUTE(SUBSTITUTE(MID(Общий!B69,SEARCH("Karcher",Общий!B69,1),19),".",""),"-","")),1)+8,8)),VALUE(LEFT(SUBSTITUTE(SUBSTITUTE(Общий!B69,".",""),"-",""),8))))=7,CONCATENATE(IFERROR(VALUE(MID(TRIM(SUBSTITUTE(SUBSTITUTE(MID(Общий!B69,SEARCH("Karcher",Общий!B69,1),19),".",""),"-","")),SEARCH("Karcher",TRIM(SUBSTITUTE(SUBSTITUTE(MID(Общий!B69,SEARCH("Karcher",Общий!B69,1),19),".",""),"-","")),1)+8,8)),VALUE(LEFT(SUBSTITUTE(SUBSTITUTE(Общий!B69,".",""),"-",""),8))),"0"),IFERROR(VALUE(MID(TRIM(SUBSTITUTE(SUBSTITUTE(MID(Общий!B69,SEARCH("Karcher",Общий!B69,1),19),".",""),"-","")),SEARCH("Karcher",TRIM(SUBSTITUTE(SUBSTITUTE(MID(Общий!B69,SEARCH("Karcher",Общий!B69,1),19),".",""),"-","")),1)+8,8)),VALUE(LEFT(SUBSTITUTE(SUBSTITUTE(Общий!B69,".",""),"-",""),8)))))," ",Общий!C69),0)</f>
        <v>26452810 3</v>
      </c>
      <c r="C69" s="29" t="str">
        <f>Общий!A69</f>
        <v>61</v>
      </c>
      <c r="D69" s="27" t="str">
        <f>Общий!B69</f>
        <v>HR 4.525 Настенная катушка для шланга Karcher 2.645-281 код : 020116</v>
      </c>
      <c r="E69" s="28">
        <f>Общий!C69</f>
        <v>3</v>
      </c>
      <c r="F69" s="21"/>
      <c r="G69" s="56" t="s">
        <v>779</v>
      </c>
      <c r="H69" s="57"/>
      <c r="I69" s="58"/>
      <c r="J69" s="60">
        <v>2</v>
      </c>
      <c r="K69" s="16"/>
    </row>
    <row r="70" spans="1:11" ht="19.5" customHeight="1">
      <c r="A70" s="31">
        <f>IFERROR(VALUE(IF(LEN(IFERROR(VALUE(MID(TRIM(SUBSTITUTE(SUBSTITUTE(MID(Общий!B70,SEARCH("Karcher",Общий!B70,1),19),".",""),"-","")),SEARCH("Karcher",TRIM(SUBSTITUTE(SUBSTITUTE(MID(Общий!B70,SEARCH("Karcher",Общий!B70,1),19),".",""),"-","")),1)+8,8)),VALUE(LEFT(SUBSTITUTE(SUBSTITUTE(Общий!B70,".",""),"-",""),8))))=7,CONCATENATE(IFERROR(VALUE(MID(TRIM(SUBSTITUTE(SUBSTITUTE(MID(Общий!B70,SEARCH("Karcher",Общий!B70,1),19),".",""),"-","")),SEARCH("Karcher",TRIM(SUBSTITUTE(SUBSTITUTE(MID(Общий!B70,SEARCH("Karcher",Общий!B70,1),19),".",""),"-","")),1)+8,8)),VALUE(LEFT(SUBSTITUTE(SUBSTITUTE(Общий!B70,".",""),"-",""),8))),"0"),IFERROR(VALUE(MID(TRIM(SUBSTITUTE(SUBSTITUTE(MID(Общий!B70,SEARCH("Karcher",Общий!B70,1),19),".",""),"-","")),SEARCH("Karcher",TRIM(SUBSTITUTE(SUBSTITUTE(MID(Общий!B70,SEARCH("Karcher",Общий!B70,1),19),".",""),"-","")),1)+8,8)),VALUE(LEFT(SUBSTITUTE(SUBSTITUTE(Общий!B70,".",""),"-",""),8))))),0)</f>
        <v>63653940</v>
      </c>
      <c r="B70" s="25" t="str">
        <f>IFERROR(CONCATENATE(VALUE(IF(LEN(IFERROR(VALUE(MID(TRIM(SUBSTITUTE(SUBSTITUTE(MID(Общий!B70,SEARCH("Karcher",Общий!B70,1),19),".",""),"-","")),SEARCH("Karcher",TRIM(SUBSTITUTE(SUBSTITUTE(MID(Общий!B70,SEARCH("Karcher",Общий!B70,1),19),".",""),"-","")),1)+8,8)),VALUE(LEFT(SUBSTITUTE(SUBSTITUTE(Общий!B70,".",""),"-",""),8))))=7,CONCATENATE(IFERROR(VALUE(MID(TRIM(SUBSTITUTE(SUBSTITUTE(MID(Общий!B70,SEARCH("Karcher",Общий!B70,1),19),".",""),"-","")),SEARCH("Karcher",TRIM(SUBSTITUTE(SUBSTITUTE(MID(Общий!B70,SEARCH("Karcher",Общий!B70,1),19),".",""),"-","")),1)+8,8)),VALUE(LEFT(SUBSTITUTE(SUBSTITUTE(Общий!B70,".",""),"-",""),8))),"0"),IFERROR(VALUE(MID(TRIM(SUBSTITUTE(SUBSTITUTE(MID(Общий!B70,SEARCH("Karcher",Общий!B70,1),19),".",""),"-","")),SEARCH("Karcher",TRIM(SUBSTITUTE(SUBSTITUTE(MID(Общий!B70,SEARCH("Karcher",Общий!B70,1),19),".",""),"-","")),1)+8,8)),VALUE(LEFT(SUBSTITUTE(SUBSTITUTE(Общий!B70,".",""),"-",""),8)))))," ",Общий!C70),0)</f>
        <v>63653940 3</v>
      </c>
      <c r="C70" s="29" t="str">
        <f>Общий!A70</f>
        <v>62</v>
      </c>
      <c r="D70" s="27" t="str">
        <f>Общий!B70</f>
        <v>6365394 Сальник к К520М Karcher вода *30* код : 005021</v>
      </c>
      <c r="E70" s="28">
        <f>Общий!C70</f>
        <v>3</v>
      </c>
      <c r="F70" s="21"/>
      <c r="G70" s="56" t="s">
        <v>780</v>
      </c>
      <c r="H70" s="57"/>
      <c r="I70" s="58"/>
      <c r="J70" s="60">
        <v>2</v>
      </c>
      <c r="K70" s="16"/>
    </row>
    <row r="71" spans="1:11" ht="19.5" customHeight="1">
      <c r="A71" s="31">
        <f>IFERROR(VALUE(IF(LEN(IFERROR(VALUE(MID(TRIM(SUBSTITUTE(SUBSTITUTE(MID(Общий!B71,SEARCH("Karcher",Общий!B71,1),19),".",""),"-","")),SEARCH("Karcher",TRIM(SUBSTITUTE(SUBSTITUTE(MID(Общий!B71,SEARCH("Karcher",Общий!B71,1),19),".",""),"-","")),1)+8,8)),VALUE(LEFT(SUBSTITUTE(SUBSTITUTE(Общий!B71,".",""),"-",""),8))))=7,CONCATENATE(IFERROR(VALUE(MID(TRIM(SUBSTITUTE(SUBSTITUTE(MID(Общий!B71,SEARCH("Karcher",Общий!B71,1),19),".",""),"-","")),SEARCH("Karcher",TRIM(SUBSTITUTE(SUBSTITUTE(MID(Общий!B71,SEARCH("Karcher",Общий!B71,1),19),".",""),"-","")),1)+8,8)),VALUE(LEFT(SUBSTITUTE(SUBSTITUTE(Общий!B71,".",""),"-",""),8))),"0"),IFERROR(VALUE(MID(TRIM(SUBSTITUTE(SUBSTITUTE(MID(Общий!B71,SEARCH("Karcher",Общий!B71,1),19),".",""),"-","")),SEARCH("Karcher",TRIM(SUBSTITUTE(SUBSTITUTE(MID(Общий!B71,SEARCH("Karcher",Общий!B71,1),19),".",""),"-","")),1)+8,8)),VALUE(LEFT(SUBSTITUTE(SUBSTITUTE(Общий!B71,".",""),"-",""),8))))),0)</f>
        <v>63660390</v>
      </c>
      <c r="B71" s="25" t="str">
        <f>IFERROR(CONCATENATE(VALUE(IF(LEN(IFERROR(VALUE(MID(TRIM(SUBSTITUTE(SUBSTITUTE(MID(Общий!B71,SEARCH("Karcher",Общий!B71,1),19),".",""),"-","")),SEARCH("Karcher",TRIM(SUBSTITUTE(SUBSTITUTE(MID(Общий!B71,SEARCH("Karcher",Общий!B71,1),19),".",""),"-","")),1)+8,8)),VALUE(LEFT(SUBSTITUTE(SUBSTITUTE(Общий!B71,".",""),"-",""),8))))=7,CONCATENATE(IFERROR(VALUE(MID(TRIM(SUBSTITUTE(SUBSTITUTE(MID(Общий!B71,SEARCH("Karcher",Общий!B71,1),19),".",""),"-","")),SEARCH("Karcher",TRIM(SUBSTITUTE(SUBSTITUTE(MID(Общий!B71,SEARCH("Karcher",Общий!B71,1),19),".",""),"-","")),1)+8,8)),VALUE(LEFT(SUBSTITUTE(SUBSTITUTE(Общий!B71,".",""),"-",""),8))),"0"),IFERROR(VALUE(MID(TRIM(SUBSTITUTE(SUBSTITUTE(MID(Общий!B71,SEARCH("Karcher",Общий!B71,1),19),".",""),"-","")),SEARCH("Karcher",TRIM(SUBSTITUTE(SUBSTITUTE(MID(Общий!B71,SEARCH("Karcher",Общий!B71,1),19),".",""),"-","")),1)+8,8)),VALUE(LEFT(SUBSTITUTE(SUBSTITUTE(Общий!B71,".",""),"-",""),8)))))," ",Общий!C71),0)</f>
        <v>63660390 1</v>
      </c>
      <c r="C71" s="29" t="str">
        <f>Общий!A71</f>
        <v>63</v>
      </c>
      <c r="D71" s="27" t="str">
        <f>Общий!B71</f>
        <v>6366039 Уплотнительный шнур Karcher код : 005208</v>
      </c>
      <c r="E71" s="28">
        <f>Общий!C71</f>
        <v>1</v>
      </c>
      <c r="F71" s="21"/>
      <c r="G71" s="56" t="s">
        <v>781</v>
      </c>
      <c r="H71" s="57"/>
      <c r="I71" s="58"/>
      <c r="J71" s="60">
        <v>1</v>
      </c>
      <c r="K71" s="16"/>
    </row>
    <row r="72" spans="1:11" ht="19.5" customHeight="1">
      <c r="A72" s="31">
        <f>IFERROR(VALUE(IF(LEN(IFERROR(VALUE(MID(TRIM(SUBSTITUTE(SUBSTITUTE(MID(Общий!B72,SEARCH("Karcher",Общий!B72,1),19),".",""),"-","")),SEARCH("Karcher",TRIM(SUBSTITUTE(SUBSTITUTE(MID(Общий!B72,SEARCH("Karcher",Общий!B72,1),19),".",""),"-","")),1)+8,8)),VALUE(LEFT(SUBSTITUTE(SUBSTITUTE(Общий!B72,".",""),"-",""),8))))=7,CONCATENATE(IFERROR(VALUE(MID(TRIM(SUBSTITUTE(SUBSTITUTE(MID(Общий!B72,SEARCH("Karcher",Общий!B72,1),19),".",""),"-","")),SEARCH("Karcher",TRIM(SUBSTITUTE(SUBSTITUTE(MID(Общий!B72,SEARCH("Karcher",Общий!B72,1),19),".",""),"-","")),1)+8,8)),VALUE(LEFT(SUBSTITUTE(SUBSTITUTE(Общий!B72,".",""),"-",""),8))),"0"),IFERROR(VALUE(MID(TRIM(SUBSTITUTE(SUBSTITUTE(MID(Общий!B72,SEARCH("Karcher",Общий!B72,1),19),".",""),"-","")),SEARCH("Karcher",TRIM(SUBSTITUTE(SUBSTITUTE(MID(Общий!B72,SEARCH("Karcher",Общий!B72,1),19),".",""),"-","")),1)+8,8)),VALUE(LEFT(SUBSTITUTE(SUBSTITUTE(Общий!B72,".",""),"-",""),8))))),0)</f>
        <v>90017820</v>
      </c>
      <c r="B72" s="25" t="str">
        <f>IFERROR(CONCATENATE(VALUE(IF(LEN(IFERROR(VALUE(MID(TRIM(SUBSTITUTE(SUBSTITUTE(MID(Общий!B72,SEARCH("Karcher",Общий!B72,1),19),".",""),"-","")),SEARCH("Karcher",TRIM(SUBSTITUTE(SUBSTITUTE(MID(Общий!B72,SEARCH("Karcher",Общий!B72,1),19),".",""),"-","")),1)+8,8)),VALUE(LEFT(SUBSTITUTE(SUBSTITUTE(Общий!B72,".",""),"-",""),8))))=7,CONCATENATE(IFERROR(VALUE(MID(TRIM(SUBSTITUTE(SUBSTITUTE(MID(Общий!B72,SEARCH("Karcher",Общий!B72,1),19),".",""),"-","")),SEARCH("Karcher",TRIM(SUBSTITUTE(SUBSTITUTE(MID(Общий!B72,SEARCH("Karcher",Общий!B72,1),19),".",""),"-","")),1)+8,8)),VALUE(LEFT(SUBSTITUTE(SUBSTITUTE(Общий!B72,".",""),"-",""),8))),"0"),IFERROR(VALUE(MID(TRIM(SUBSTITUTE(SUBSTITUTE(MID(Общий!B72,SEARCH("Karcher",Общий!B72,1),19),".",""),"-","")),SEARCH("Karcher",TRIM(SUBSTITUTE(SUBSTITUTE(MID(Общий!B72,SEARCH("Karcher",Общий!B72,1),19),".",""),"-","")),1)+8,8)),VALUE(LEFT(SUBSTITUTE(SUBSTITUTE(Общий!B72,".",""),"-",""),8)))))," ",Общий!C72),0)</f>
        <v>90017820 1</v>
      </c>
      <c r="C72" s="29" t="str">
        <f>Общий!A72</f>
        <v>64</v>
      </c>
      <c r="D72" s="27" t="str">
        <f>Общий!B72</f>
        <v>9001782 КЗЧ всасывающей стороны Karcher *1* код : 005309</v>
      </c>
      <c r="E72" s="28">
        <f>Общий!C72</f>
        <v>1</v>
      </c>
      <c r="F72" s="21"/>
      <c r="G72" s="56" t="s">
        <v>782</v>
      </c>
      <c r="H72" s="57"/>
      <c r="I72" s="58"/>
      <c r="J72" s="60">
        <v>3</v>
      </c>
      <c r="K72" s="16"/>
    </row>
    <row r="73" spans="1:11" ht="19.5" customHeight="1">
      <c r="A73" s="31">
        <f>IFERROR(VALUE(IF(LEN(IFERROR(VALUE(MID(TRIM(SUBSTITUTE(SUBSTITUTE(MID(Общий!B73,SEARCH("Karcher",Общий!B73,1),19),".",""),"-","")),SEARCH("Karcher",TRIM(SUBSTITUTE(SUBSTITUTE(MID(Общий!B73,SEARCH("Karcher",Общий!B73,1),19),".",""),"-","")),1)+8,8)),VALUE(LEFT(SUBSTITUTE(SUBSTITUTE(Общий!B73,".",""),"-",""),8))))=7,CONCATENATE(IFERROR(VALUE(MID(TRIM(SUBSTITUTE(SUBSTITUTE(MID(Общий!B73,SEARCH("Karcher",Общий!B73,1),19),".",""),"-","")),SEARCH("Karcher",TRIM(SUBSTITUTE(SUBSTITUTE(MID(Общий!B73,SEARCH("Karcher",Общий!B73,1),19),".",""),"-","")),1)+8,8)),VALUE(LEFT(SUBSTITUTE(SUBSTITUTE(Общий!B73,".",""),"-",""),8))),"0"),IFERROR(VALUE(MID(TRIM(SUBSTITUTE(SUBSTITUTE(MID(Общий!B73,SEARCH("Karcher",Общий!B73,1),19),".",""),"-","")),SEARCH("Karcher",TRIM(SUBSTITUTE(SUBSTITUTE(MID(Общий!B73,SEARCH("Karcher",Общий!B73,1),19),".",""),"-","")),1)+8,8)),VALUE(LEFT(SUBSTITUTE(SUBSTITUTE(Общий!B73,".",""),"-",""),8))))),0)</f>
        <v>64014273</v>
      </c>
      <c r="B73" s="25" t="str">
        <f>IFERROR(CONCATENATE(VALUE(IF(LEN(IFERROR(VALUE(MID(TRIM(SUBSTITUTE(SUBSTITUTE(MID(Общий!B73,SEARCH("Karcher",Общий!B73,1),19),".",""),"-","")),SEARCH("Karcher",TRIM(SUBSTITUTE(SUBSTITUTE(MID(Общий!B73,SEARCH("Karcher",Общий!B73,1),19),".",""),"-","")),1)+8,8)),VALUE(LEFT(SUBSTITUTE(SUBSTITUTE(Общий!B73,".",""),"-",""),8))))=7,CONCATENATE(IFERROR(VALUE(MID(TRIM(SUBSTITUTE(SUBSTITUTE(MID(Общий!B73,SEARCH("Karcher",Общий!B73,1),19),".",""),"-","")),SEARCH("Karcher",TRIM(SUBSTITUTE(SUBSTITUTE(MID(Общий!B73,SEARCH("Karcher",Общий!B73,1),19),".",""),"-","")),1)+8,8)),VALUE(LEFT(SUBSTITUTE(SUBSTITUTE(Общий!B73,".",""),"-",""),8))),"0"),IFERROR(VALUE(MID(TRIM(SUBSTITUTE(SUBSTITUTE(MID(Общий!B73,SEARCH("Karcher",Общий!B73,1),19),".",""),"-","")),SEARCH("Karcher",TRIM(SUBSTITUTE(SUBSTITUTE(MID(Общий!B73,SEARCH("Karcher",Общий!B73,1),19),".",""),"-","")),1)+8,8)),VALUE(LEFT(SUBSTITUTE(SUBSTITUTE(Общий!B73,".",""),"-",""),8)))))," ",Общий!C73),0)</f>
        <v>64014273 1</v>
      </c>
      <c r="C73" s="29" t="str">
        <f>Общий!A73</f>
        <v>65</v>
      </c>
      <c r="D73" s="27" t="str">
        <f>Общий!B73</f>
        <v>Подшипник на мотор (задний) Karcher 6.401-427.3 код : 005608</v>
      </c>
      <c r="E73" s="28">
        <f>Общий!C73</f>
        <v>1</v>
      </c>
      <c r="F73" s="21"/>
      <c r="G73" s="56" t="s">
        <v>783</v>
      </c>
      <c r="H73" s="57"/>
      <c r="I73" s="58"/>
      <c r="J73" s="60">
        <v>1</v>
      </c>
      <c r="K73" s="16"/>
    </row>
    <row r="74" spans="1:11" ht="19.5" customHeight="1">
      <c r="A74" s="31">
        <f>IFERROR(VALUE(IF(LEN(IFERROR(VALUE(MID(TRIM(SUBSTITUTE(SUBSTITUTE(MID(Общий!B74,SEARCH("Karcher",Общий!B74,1),19),".",""),"-","")),SEARCH("Karcher",TRIM(SUBSTITUTE(SUBSTITUTE(MID(Общий!B74,SEARCH("Karcher",Общий!B74,1),19),".",""),"-","")),1)+8,8)),VALUE(LEFT(SUBSTITUTE(SUBSTITUTE(Общий!B74,".",""),"-",""),8))))=7,CONCATENATE(IFERROR(VALUE(MID(TRIM(SUBSTITUTE(SUBSTITUTE(MID(Общий!B74,SEARCH("Karcher",Общий!B74,1),19),".",""),"-","")),SEARCH("Karcher",TRIM(SUBSTITUTE(SUBSTITUTE(MID(Общий!B74,SEARCH("Karcher",Общий!B74,1),19),".",""),"-","")),1)+8,8)),VALUE(LEFT(SUBSTITUTE(SUBSTITUTE(Общий!B74,".",""),"-",""),8))),"0"),IFERROR(VALUE(MID(TRIM(SUBSTITUTE(SUBSTITUTE(MID(Общий!B74,SEARCH("Karcher",Общий!B74,1),19),".",""),"-","")),SEARCH("Karcher",TRIM(SUBSTITUTE(SUBSTITUTE(MID(Общий!B74,SEARCH("Karcher",Общий!B74,1),19),".",""),"-","")),1)+8,8)),VALUE(LEFT(SUBSTITUTE(SUBSTITUTE(Общий!B74,".",""),"-",""),8))))),0)</f>
        <v>0</v>
      </c>
      <c r="B74" s="25">
        <f>IFERROR(CONCATENATE(VALUE(IF(LEN(IFERROR(VALUE(MID(TRIM(SUBSTITUTE(SUBSTITUTE(MID(Общий!B74,SEARCH("Karcher",Общий!B74,1),19),".",""),"-","")),SEARCH("Karcher",TRIM(SUBSTITUTE(SUBSTITUTE(MID(Общий!B74,SEARCH("Karcher",Общий!B74,1),19),".",""),"-","")),1)+8,8)),VALUE(LEFT(SUBSTITUTE(SUBSTITUTE(Общий!B74,".",""),"-",""),8))))=7,CONCATENATE(IFERROR(VALUE(MID(TRIM(SUBSTITUTE(SUBSTITUTE(MID(Общий!B74,SEARCH("Karcher",Общий!B74,1),19),".",""),"-","")),SEARCH("Karcher",TRIM(SUBSTITUTE(SUBSTITUTE(MID(Общий!B74,SEARCH("Karcher",Общий!B74,1),19),".",""),"-","")),1)+8,8)),VALUE(LEFT(SUBSTITUTE(SUBSTITUTE(Общий!B74,".",""),"-",""),8))),"0"),IFERROR(VALUE(MID(TRIM(SUBSTITUTE(SUBSTITUTE(MID(Общий!B74,SEARCH("Karcher",Общий!B74,1),19),".",""),"-","")),SEARCH("Karcher",TRIM(SUBSTITUTE(SUBSTITUTE(MID(Общий!B74,SEARCH("Karcher",Общий!B74,1),19),".",""),"-","")),1)+8,8)),VALUE(LEFT(SUBSTITUTE(SUBSTITUTE(Общий!B74,".",""),"-",""),8)))))," ",Общий!C74),0)</f>
        <v>0</v>
      </c>
      <c r="C74" s="29" t="str">
        <f>Общий!A74</f>
        <v>66</v>
      </c>
      <c r="D74" s="27" t="str">
        <f>Общий!B74</f>
        <v xml:space="preserve"> код :</v>
      </c>
      <c r="E74" s="28">
        <f>Общий!C74</f>
        <v>0</v>
      </c>
      <c r="F74" s="21"/>
      <c r="G74" s="56" t="s">
        <v>784</v>
      </c>
      <c r="H74" s="57"/>
      <c r="I74" s="58"/>
      <c r="J74" s="60">
        <v>1</v>
      </c>
      <c r="K74" s="16"/>
    </row>
    <row r="75" spans="1:11" ht="19.5" customHeight="1">
      <c r="A75" s="31">
        <f>IFERROR(VALUE(IF(LEN(IFERROR(VALUE(MID(TRIM(SUBSTITUTE(SUBSTITUTE(MID(Общий!B75,SEARCH("Karcher",Общий!B75,1),19),".",""),"-","")),SEARCH("Karcher",TRIM(SUBSTITUTE(SUBSTITUTE(MID(Общий!B75,SEARCH("Karcher",Общий!B75,1),19),".",""),"-","")),1)+8,8)),VALUE(LEFT(SUBSTITUTE(SUBSTITUTE(Общий!B75,".",""),"-",""),8))))=7,CONCATENATE(IFERROR(VALUE(MID(TRIM(SUBSTITUTE(SUBSTITUTE(MID(Общий!B75,SEARCH("Karcher",Общий!B75,1),19),".",""),"-","")),SEARCH("Karcher",TRIM(SUBSTITUTE(SUBSTITUTE(MID(Общий!B75,SEARCH("Karcher",Общий!B75,1),19),".",""),"-","")),1)+8,8)),VALUE(LEFT(SUBSTITUTE(SUBSTITUTE(Общий!B75,".",""),"-",""),8))),"0"),IFERROR(VALUE(MID(TRIM(SUBSTITUTE(SUBSTITUTE(MID(Общий!B75,SEARCH("Karcher",Общий!B75,1),19),".",""),"-","")),SEARCH("Karcher",TRIM(SUBSTITUTE(SUBSTITUTE(MID(Общий!B75,SEARCH("Karcher",Общий!B75,1),19),".",""),"-","")),1)+8,8)),VALUE(LEFT(SUBSTITUTE(SUBSTITUTE(Общий!B75,".",""),"-",""),8))))),0)</f>
        <v>24450350</v>
      </c>
      <c r="B75" s="25" t="str">
        <f>IFERROR(CONCATENATE(VALUE(IF(LEN(IFERROR(VALUE(MID(TRIM(SUBSTITUTE(SUBSTITUTE(MID(Общий!B75,SEARCH("Karcher",Общий!B75,1),19),".",""),"-","")),SEARCH("Karcher",TRIM(SUBSTITUTE(SUBSTITUTE(MID(Общий!B75,SEARCH("Karcher",Общий!B75,1),19),".",""),"-","")),1)+8,8)),VALUE(LEFT(SUBSTITUTE(SUBSTITUTE(Общий!B75,".",""),"-",""),8))))=7,CONCATENATE(IFERROR(VALUE(MID(TRIM(SUBSTITUTE(SUBSTITUTE(MID(Общий!B75,SEARCH("Karcher",Общий!B75,1),19),".",""),"-","")),SEARCH("Karcher",TRIM(SUBSTITUTE(SUBSTITUTE(MID(Общий!B75,SEARCH("Karcher",Общий!B75,1),19),".",""),"-","")),1)+8,8)),VALUE(LEFT(SUBSTITUTE(SUBSTITUTE(Общий!B75,".",""),"-",""),8))),"0"),IFERROR(VALUE(MID(TRIM(SUBSTITUTE(SUBSTITUTE(MID(Общий!B75,SEARCH("Karcher",Общий!B75,1),19),".",""),"-","")),SEARCH("Karcher",TRIM(SUBSTITUTE(SUBSTITUTE(MID(Общий!B75,SEARCH("Karcher",Общий!B75,1),19),".",""),"-","")),1)+8,8)),VALUE(LEFT(SUBSTITUTE(SUBSTITUTE(Общий!B75,".",""),"-",""),8)))))," ",Общий!C75),0)</f>
        <v>24450350 1</v>
      </c>
      <c r="C75" s="29" t="str">
        <f>Общий!A75</f>
        <v>67</v>
      </c>
      <c r="D75" s="27" t="str">
        <f>Общий!B75</f>
        <v>Battery Power 18/50 DW Аккум батарея Karcher 2.445-035 код : 030040</v>
      </c>
      <c r="E75" s="28">
        <f>Общий!C75</f>
        <v>1</v>
      </c>
      <c r="F75" s="21"/>
      <c r="G75" s="56" t="s">
        <v>727</v>
      </c>
      <c r="H75" s="57"/>
      <c r="I75" s="58"/>
      <c r="J75" s="60">
        <v>3</v>
      </c>
      <c r="K75" s="16"/>
    </row>
    <row r="76" spans="1:11" ht="19.5" customHeight="1">
      <c r="A76" s="31">
        <f>IFERROR(VALUE(IF(LEN(IFERROR(VALUE(MID(TRIM(SUBSTITUTE(SUBSTITUTE(MID(Общий!B76,SEARCH("Karcher",Общий!B76,1),19),".",""),"-","")),SEARCH("Karcher",TRIM(SUBSTITUTE(SUBSTITUTE(MID(Общий!B76,SEARCH("Karcher",Общий!B76,1),19),".",""),"-","")),1)+8,8)),VALUE(LEFT(SUBSTITUTE(SUBSTITUTE(Общий!B76,".",""),"-",""),8))))=7,CONCATENATE(IFERROR(VALUE(MID(TRIM(SUBSTITUTE(SUBSTITUTE(MID(Общий!B76,SEARCH("Karcher",Общий!B76,1),19),".",""),"-","")),SEARCH("Karcher",TRIM(SUBSTITUTE(SUBSTITUTE(MID(Общий!B76,SEARCH("Karcher",Общий!B76,1),19),".",""),"-","")),1)+8,8)),VALUE(LEFT(SUBSTITUTE(SUBSTITUTE(Общий!B76,".",""),"-",""),8))),"0"),IFERROR(VALUE(MID(TRIM(SUBSTITUTE(SUBSTITUTE(MID(Общий!B76,SEARCH("Karcher",Общий!B76,1),19),".",""),"-","")),SEARCH("Karcher",TRIM(SUBSTITUTE(SUBSTITUTE(MID(Общий!B76,SEARCH("Karcher",Общий!B76,1),19),".",""),"-","")),1)+8,8)),VALUE(LEFT(SUBSTITUTE(SUBSTITUTE(Общий!B76,".",""),"-",""),8))))),0)</f>
        <v>64012530</v>
      </c>
      <c r="B76" s="25" t="str">
        <f>IFERROR(CONCATENATE(VALUE(IF(LEN(IFERROR(VALUE(MID(TRIM(SUBSTITUTE(SUBSTITUTE(MID(Общий!B76,SEARCH("Karcher",Общий!B76,1),19),".",""),"-","")),SEARCH("Karcher",TRIM(SUBSTITUTE(SUBSTITUTE(MID(Общий!B76,SEARCH("Karcher",Общий!B76,1),19),".",""),"-","")),1)+8,8)),VALUE(LEFT(SUBSTITUTE(SUBSTITUTE(Общий!B76,".",""),"-",""),8))))=7,CONCATENATE(IFERROR(VALUE(MID(TRIM(SUBSTITUTE(SUBSTITUTE(MID(Общий!B76,SEARCH("Karcher",Общий!B76,1),19),".",""),"-","")),SEARCH("Karcher",TRIM(SUBSTITUTE(SUBSTITUTE(MID(Общий!B76,SEARCH("Karcher",Общий!B76,1),19),".",""),"-","")),1)+8,8)),VALUE(LEFT(SUBSTITUTE(SUBSTITUTE(Общий!B76,".",""),"-",""),8))),"0"),IFERROR(VALUE(MID(TRIM(SUBSTITUTE(SUBSTITUTE(MID(Общий!B76,SEARCH("Karcher",Общий!B76,1),19),".",""),"-","")),SEARCH("Karcher",TRIM(SUBSTITUTE(SUBSTITUTE(MID(Общий!B76,SEARCH("Karcher",Общий!B76,1),19),".",""),"-","")),1)+8,8)),VALUE(LEFT(SUBSTITUTE(SUBSTITUTE(Общий!B76,".",""),"-",""),8)))))," ",Общий!C76),0)</f>
        <v>64012530 1</v>
      </c>
      <c r="C76" s="29" t="str">
        <f>Общий!A76</f>
        <v>68</v>
      </c>
      <c r="D76" s="27" t="str">
        <f>Общий!B76</f>
        <v>Шарикоподшипник 6305-2Z Karcher 6.401-253 код : 006176</v>
      </c>
      <c r="E76" s="28">
        <f>Общий!C76</f>
        <v>1</v>
      </c>
      <c r="F76" s="21"/>
      <c r="G76" s="56" t="s">
        <v>785</v>
      </c>
      <c r="H76" s="57"/>
      <c r="I76" s="58"/>
      <c r="J76" s="60">
        <v>1</v>
      </c>
      <c r="K76" s="16"/>
    </row>
    <row r="77" spans="1:11" ht="19.5" customHeight="1">
      <c r="A77" s="31">
        <f>IFERROR(VALUE(IF(LEN(IFERROR(VALUE(MID(TRIM(SUBSTITUTE(SUBSTITUTE(MID(Общий!B77,SEARCH("Karcher",Общий!B77,1),19),".",""),"-","")),SEARCH("Karcher",TRIM(SUBSTITUTE(SUBSTITUTE(MID(Общий!B77,SEARCH("Karcher",Общий!B77,1),19),".",""),"-","")),1)+8,8)),VALUE(LEFT(SUBSTITUTE(SUBSTITUTE(Общий!B77,".",""),"-",""),8))))=7,CONCATENATE(IFERROR(VALUE(MID(TRIM(SUBSTITUTE(SUBSTITUTE(MID(Общий!B77,SEARCH("Karcher",Общий!B77,1),19),".",""),"-","")),SEARCH("Karcher",TRIM(SUBSTITUTE(SUBSTITUTE(MID(Общий!B77,SEARCH("Karcher",Общий!B77,1),19),".",""),"-","")),1)+8,8)),VALUE(LEFT(SUBSTITUTE(SUBSTITUTE(Общий!B77,".",""),"-",""),8))),"0"),IFERROR(VALUE(MID(TRIM(SUBSTITUTE(SUBSTITUTE(MID(Общий!B77,SEARCH("Karcher",Общий!B77,1),19),".",""),"-","")),SEARCH("Karcher",TRIM(SUBSTITUTE(SUBSTITUTE(MID(Общий!B77,SEARCH("Karcher",Общий!B77,1),19),".",""),"-","")),1)+8,8)),VALUE(LEFT(SUBSTITUTE(SUBSTITUTE(Общий!B77,".",""),"-",""),8))))),0)</f>
        <v>64146310</v>
      </c>
      <c r="B77" s="25" t="str">
        <f>IFERROR(CONCATENATE(VALUE(IF(LEN(IFERROR(VALUE(MID(TRIM(SUBSTITUTE(SUBSTITUTE(MID(Общий!B77,SEARCH("Karcher",Общий!B77,1),19),".",""),"-","")),SEARCH("Karcher",TRIM(SUBSTITUTE(SUBSTITUTE(MID(Общий!B77,SEARCH("Karcher",Общий!B77,1),19),".",""),"-","")),1)+8,8)),VALUE(LEFT(SUBSTITUTE(SUBSTITUTE(Общий!B77,".",""),"-",""),8))))=7,CONCATENATE(IFERROR(VALUE(MID(TRIM(SUBSTITUTE(SUBSTITUTE(MID(Общий!B77,SEARCH("Karcher",Общий!B77,1),19),".",""),"-","")),SEARCH("Karcher",TRIM(SUBSTITUTE(SUBSTITUTE(MID(Общий!B77,SEARCH("Karcher",Общий!B77,1),19),".",""),"-","")),1)+8,8)),VALUE(LEFT(SUBSTITUTE(SUBSTITUTE(Общий!B77,".",""),"-",""),8))),"0"),IFERROR(VALUE(MID(TRIM(SUBSTITUTE(SUBSTITUTE(MID(Общий!B77,SEARCH("Karcher",Общий!B77,1),19),".",""),"-","")),SEARCH("Karcher",TRIM(SUBSTITUTE(SUBSTITUTE(MID(Общий!B77,SEARCH("Karcher",Общий!B77,1),19),".",""),"-","")),1)+8,8)),VALUE(LEFT(SUBSTITUTE(SUBSTITUTE(Общий!B77,".",""),"-",""),8)))))," ",Общий!C77),0)</f>
        <v>64146310 5</v>
      </c>
      <c r="C77" s="29" t="str">
        <f>Общий!A77</f>
        <v>69</v>
      </c>
      <c r="D77" s="27" t="str">
        <f>Общий!B77</f>
        <v>Фильтр плоский защиты электродвигателя (серия DS) Karcher 6.414-631 код : 001463</v>
      </c>
      <c r="E77" s="28">
        <f>Общий!C77</f>
        <v>5</v>
      </c>
      <c r="F77" s="21"/>
      <c r="G77" s="56" t="s">
        <v>786</v>
      </c>
      <c r="H77" s="57"/>
      <c r="I77" s="58"/>
      <c r="J77" s="60">
        <v>1</v>
      </c>
      <c r="K77" s="16"/>
    </row>
    <row r="78" spans="1:11" ht="19.5" customHeight="1">
      <c r="A78" s="31">
        <f>IFERROR(VALUE(IF(LEN(IFERROR(VALUE(MID(TRIM(SUBSTITUTE(SUBSTITUTE(MID(Общий!B78,SEARCH("Karcher",Общий!B78,1),19),".",""),"-","")),SEARCH("Karcher",TRIM(SUBSTITUTE(SUBSTITUTE(MID(Общий!B78,SEARCH("Karcher",Общий!B78,1),19),".",""),"-","")),1)+8,8)),VALUE(LEFT(SUBSTITUTE(SUBSTITUTE(Общий!B78,".",""),"-",""),8))))=7,CONCATENATE(IFERROR(VALUE(MID(TRIM(SUBSTITUTE(SUBSTITUTE(MID(Общий!B78,SEARCH("Karcher",Общий!B78,1),19),".",""),"-","")),SEARCH("Karcher",TRIM(SUBSTITUTE(SUBSTITUTE(MID(Общий!B78,SEARCH("Karcher",Общий!B78,1),19),".",""),"-","")),1)+8,8)),VALUE(LEFT(SUBSTITUTE(SUBSTITUTE(Общий!B78,".",""),"-",""),8))),"0"),IFERROR(VALUE(MID(TRIM(SUBSTITUTE(SUBSTITUTE(MID(Общий!B78,SEARCH("Karcher",Общий!B78,1),19),".",""),"-","")),SEARCH("Karcher",TRIM(SUBSTITUTE(SUBSTITUTE(MID(Общий!B78,SEARCH("Karcher",Общий!B78,1),19),".",""),"-","")),1)+8,8)),VALUE(LEFT(SUBSTITUTE(SUBSTITUTE(Общий!B78,".",""),"-",""),8))))),0)</f>
        <v>69070380</v>
      </c>
      <c r="B78" s="25" t="str">
        <f>IFERROR(CONCATENATE(VALUE(IF(LEN(IFERROR(VALUE(MID(TRIM(SUBSTITUTE(SUBSTITUTE(MID(Общий!B78,SEARCH("Karcher",Общий!B78,1),19),".",""),"-","")),SEARCH("Karcher",TRIM(SUBSTITUTE(SUBSTITUTE(MID(Общий!B78,SEARCH("Karcher",Общий!B78,1),19),".",""),"-","")),1)+8,8)),VALUE(LEFT(SUBSTITUTE(SUBSTITUTE(Общий!B78,".",""),"-",""),8))))=7,CONCATENATE(IFERROR(VALUE(MID(TRIM(SUBSTITUTE(SUBSTITUTE(MID(Общий!B78,SEARCH("Karcher",Общий!B78,1),19),".",""),"-","")),SEARCH("Karcher",TRIM(SUBSTITUTE(SUBSTITUTE(MID(Общий!B78,SEARCH("Karcher",Общий!B78,1),19),".",""),"-","")),1)+8,8)),VALUE(LEFT(SUBSTITUTE(SUBSTITUTE(Общий!B78,".",""),"-",""),8))),"0"),IFERROR(VALUE(MID(TRIM(SUBSTITUTE(SUBSTITUTE(MID(Общий!B78,SEARCH("Karcher",Общий!B78,1),19),".",""),"-","")),SEARCH("Karcher",TRIM(SUBSTITUTE(SUBSTITUTE(MID(Общий!B78,SEARCH("Karcher",Общий!B78,1),19),".",""),"-","")),1)+8,8)),VALUE(LEFT(SUBSTITUTE(SUBSTITUTE(Общий!B78,".",""),"-",""),8)))))," ",Общий!C78),0)</f>
        <v>69070380 1</v>
      </c>
      <c r="C78" s="29" t="str">
        <f>Общий!A78</f>
        <v>70</v>
      </c>
      <c r="D78" s="27" t="str">
        <f>Общий!B78</f>
        <v>Картридж бумажного фильтра NT 70/X Karcher 6.907-038 код : 030044</v>
      </c>
      <c r="E78" s="28">
        <f>Общий!C78</f>
        <v>1</v>
      </c>
      <c r="F78" s="21"/>
      <c r="G78" s="56" t="s">
        <v>787</v>
      </c>
      <c r="H78" s="57"/>
      <c r="I78" s="58"/>
      <c r="J78" s="60">
        <v>11</v>
      </c>
      <c r="K78" s="16"/>
    </row>
    <row r="79" spans="1:11" ht="19.5" customHeight="1">
      <c r="A79" s="31">
        <f>IFERROR(VALUE(IF(LEN(IFERROR(VALUE(MID(TRIM(SUBSTITUTE(SUBSTITUTE(MID(Общий!B79,SEARCH("Karcher",Общий!B79,1),19),".",""),"-","")),SEARCH("Karcher",TRIM(SUBSTITUTE(SUBSTITUTE(MID(Общий!B79,SEARCH("Karcher",Общий!B79,1),19),".",""),"-","")),1)+8,8)),VALUE(LEFT(SUBSTITUTE(SUBSTITUTE(Общий!B79,".",""),"-",""),8))))=7,CONCATENATE(IFERROR(VALUE(MID(TRIM(SUBSTITUTE(SUBSTITUTE(MID(Общий!B79,SEARCH("Karcher",Общий!B79,1),19),".",""),"-","")),SEARCH("Karcher",TRIM(SUBSTITUTE(SUBSTITUTE(MID(Общий!B79,SEARCH("Karcher",Общий!B79,1),19),".",""),"-","")),1)+8,8)),VALUE(LEFT(SUBSTITUTE(SUBSTITUTE(Общий!B79,".",""),"-",""),8))),"0"),IFERROR(VALUE(MID(TRIM(SUBSTITUTE(SUBSTITUTE(MID(Общий!B79,SEARCH("Karcher",Общий!B79,1),19),".",""),"-","")),SEARCH("Karcher",TRIM(SUBSTITUTE(SUBSTITUTE(MID(Общий!B79,SEARCH("Karcher",Общий!B79,1),19),".",""),"-","")),1)+8,8)),VALUE(LEFT(SUBSTITUTE(SUBSTITUTE(Общий!B79,".",""),"-",""),8))))),0)</f>
        <v>0</v>
      </c>
      <c r="B79" s="25">
        <f>IFERROR(CONCATENATE(VALUE(IF(LEN(IFERROR(VALUE(MID(TRIM(SUBSTITUTE(SUBSTITUTE(MID(Общий!B79,SEARCH("Karcher",Общий!B79,1),19),".",""),"-","")),SEARCH("Karcher",TRIM(SUBSTITUTE(SUBSTITUTE(MID(Общий!B79,SEARCH("Karcher",Общий!B79,1),19),".",""),"-","")),1)+8,8)),VALUE(LEFT(SUBSTITUTE(SUBSTITUTE(Общий!B79,".",""),"-",""),8))))=7,CONCATENATE(IFERROR(VALUE(MID(TRIM(SUBSTITUTE(SUBSTITUTE(MID(Общий!B79,SEARCH("Karcher",Общий!B79,1),19),".",""),"-","")),SEARCH("Karcher",TRIM(SUBSTITUTE(SUBSTITUTE(MID(Общий!B79,SEARCH("Karcher",Общий!B79,1),19),".",""),"-","")),1)+8,8)),VALUE(LEFT(SUBSTITUTE(SUBSTITUTE(Общий!B79,".",""),"-",""),8))),"0"),IFERROR(VALUE(MID(TRIM(SUBSTITUTE(SUBSTITUTE(MID(Общий!B79,SEARCH("Karcher",Общий!B79,1),19),".",""),"-","")),SEARCH("Karcher",TRIM(SUBSTITUTE(SUBSTITUTE(MID(Общий!B79,SEARCH("Karcher",Общий!B79,1),19),".",""),"-","")),1)+8,8)),VALUE(LEFT(SUBSTITUTE(SUBSTITUTE(Общий!B79,".",""),"-",""),8)))))," ",Общий!C79),0)</f>
        <v>0</v>
      </c>
      <c r="C79" s="29" t="str">
        <f>Общий!A79</f>
        <v>71</v>
      </c>
      <c r="D79" s="27" t="str">
        <f>Общий!B79</f>
        <v xml:space="preserve"> код :</v>
      </c>
      <c r="E79" s="28">
        <f>Общий!C79</f>
        <v>0</v>
      </c>
      <c r="F79" s="21"/>
      <c r="G79" s="56" t="s">
        <v>788</v>
      </c>
      <c r="H79" s="57"/>
      <c r="I79" s="58"/>
      <c r="J79" s="59">
        <v>1</v>
      </c>
      <c r="K79" s="16"/>
    </row>
    <row r="80" spans="1:11" ht="19.5" customHeight="1">
      <c r="A80" s="31">
        <f>IFERROR(VALUE(IF(LEN(IFERROR(VALUE(MID(TRIM(SUBSTITUTE(SUBSTITUTE(MID(Общий!B80,SEARCH("Karcher",Общий!B80,1),19),".",""),"-","")),SEARCH("Karcher",TRIM(SUBSTITUTE(SUBSTITUTE(MID(Общий!B80,SEARCH("Karcher",Общий!B80,1),19),".",""),"-","")),1)+8,8)),VALUE(LEFT(SUBSTITUTE(SUBSTITUTE(Общий!B80,".",""),"-",""),8))))=7,CONCATENATE(IFERROR(VALUE(MID(TRIM(SUBSTITUTE(SUBSTITUTE(MID(Общий!B80,SEARCH("Karcher",Общий!B80,1),19),".",""),"-","")),SEARCH("Karcher",TRIM(SUBSTITUTE(SUBSTITUTE(MID(Общий!B80,SEARCH("Karcher",Общий!B80,1),19),".",""),"-","")),1)+8,8)),VALUE(LEFT(SUBSTITUTE(SUBSTITUTE(Общий!B80,".",""),"-",""),8))),"0"),IFERROR(VALUE(MID(TRIM(SUBSTITUTE(SUBSTITUTE(MID(Общий!B80,SEARCH("Karcher",Общий!B80,1),19),".",""),"-","")),SEARCH("Karcher",TRIM(SUBSTITUTE(SUBSTITUTE(MID(Общий!B80,SEARCH("Karcher",Общий!B80,1),19),".",""),"-","")),1)+8,8)),VALUE(LEFT(SUBSTITUTE(SUBSTITUTE(Общий!B80,".",""),"-",""),8))))),0)</f>
        <v>62959870</v>
      </c>
      <c r="B80" s="25" t="str">
        <f>IFERROR(CONCATENATE(VALUE(IF(LEN(IFERROR(VALUE(MID(TRIM(SUBSTITUTE(SUBSTITUTE(MID(Общий!B80,SEARCH("Karcher",Общий!B80,1),19),".",""),"-","")),SEARCH("Karcher",TRIM(SUBSTITUTE(SUBSTITUTE(MID(Общий!B80,SEARCH("Karcher",Общий!B80,1),19),".",""),"-","")),1)+8,8)),VALUE(LEFT(SUBSTITUTE(SUBSTITUTE(Общий!B80,".",""),"-",""),8))))=7,CONCATENATE(IFERROR(VALUE(MID(TRIM(SUBSTITUTE(SUBSTITUTE(MID(Общий!B80,SEARCH("Karcher",Общий!B80,1),19),".",""),"-","")),SEARCH("Karcher",TRIM(SUBSTITUTE(SUBSTITUTE(MID(Общий!B80,SEARCH("Karcher",Общий!B80,1),19),".",""),"-","")),1)+8,8)),VALUE(LEFT(SUBSTITUTE(SUBSTITUTE(Общий!B80,".",""),"-",""),8))),"0"),IFERROR(VALUE(MID(TRIM(SUBSTITUTE(SUBSTITUTE(MID(Общий!B80,SEARCH("Karcher",Общий!B80,1),19),".",""),"-","")),SEARCH("Karcher",TRIM(SUBSTITUTE(SUBSTITUTE(MID(Общий!B80,SEARCH("Karcher",Общий!B80,1),19),".",""),"-","")),1)+8,8)),VALUE(LEFT(SUBSTITUTE(SUBSTITUTE(Общий!B80,".",""),"-",""),8)))))," ",Общий!C80),0)</f>
        <v>62959870 6</v>
      </c>
      <c r="C80" s="29" t="str">
        <f>Общий!A80</f>
        <v>72</v>
      </c>
      <c r="D80" s="27" t="str">
        <f>Общий!B80</f>
        <v>RM 511 Порошок для удаления накипи Karcher 6.295-987 код : 000918</v>
      </c>
      <c r="E80" s="28">
        <f>Общий!C80</f>
        <v>6</v>
      </c>
      <c r="F80" s="21"/>
      <c r="G80" s="56" t="s">
        <v>789</v>
      </c>
      <c r="H80" s="57"/>
      <c r="I80" s="58"/>
      <c r="J80" s="60">
        <v>2</v>
      </c>
      <c r="K80" s="16"/>
    </row>
    <row r="81" spans="1:11" ht="19.5" customHeight="1">
      <c r="A81" s="31">
        <f>IFERROR(VALUE(IF(LEN(IFERROR(VALUE(MID(TRIM(SUBSTITUTE(SUBSTITUTE(MID(Общий!B81,SEARCH("Karcher",Общий!B81,1),19),".",""),"-","")),SEARCH("Karcher",TRIM(SUBSTITUTE(SUBSTITUTE(MID(Общий!B81,SEARCH("Karcher",Общий!B81,1),19),".",""),"-","")),1)+8,8)),VALUE(LEFT(SUBSTITUTE(SUBSTITUTE(Общий!B81,".",""),"-",""),8))))=7,CONCATENATE(IFERROR(VALUE(MID(TRIM(SUBSTITUTE(SUBSTITUTE(MID(Общий!B81,SEARCH("Karcher",Общий!B81,1),19),".",""),"-","")),SEARCH("Karcher",TRIM(SUBSTITUTE(SUBSTITUTE(MID(Общий!B81,SEARCH("Karcher",Общий!B81,1),19),".",""),"-","")),1)+8,8)),VALUE(LEFT(SUBSTITUTE(SUBSTITUTE(Общий!B81,".",""),"-",""),8))),"0"),IFERROR(VALUE(MID(TRIM(SUBSTITUTE(SUBSTITUTE(MID(Общий!B81,SEARCH("Karcher",Общий!B81,1),19),".",""),"-","")),SEARCH("Karcher",TRIM(SUBSTITUTE(SUBSTITUTE(MID(Общий!B81,SEARCH("Karcher",Общий!B81,1),19),".",""),"-","")),1)+8,8)),VALUE(LEFT(SUBSTITUTE(SUBSTITUTE(Общий!B81,".",""),"-",""),8))))),0)</f>
        <v>26439100</v>
      </c>
      <c r="B81" s="25" t="str">
        <f>IFERROR(CONCATENATE(VALUE(IF(LEN(IFERROR(VALUE(MID(TRIM(SUBSTITUTE(SUBSTITUTE(MID(Общий!B81,SEARCH("Karcher",Общий!B81,1),19),".",""),"-","")),SEARCH("Karcher",TRIM(SUBSTITUTE(SUBSTITUTE(MID(Общий!B81,SEARCH("Karcher",Общий!B81,1),19),".",""),"-","")),1)+8,8)),VALUE(LEFT(SUBSTITUTE(SUBSTITUTE(Общий!B81,".",""),"-",""),8))))=7,CONCATENATE(IFERROR(VALUE(MID(TRIM(SUBSTITUTE(SUBSTITUTE(MID(Общий!B81,SEARCH("Karcher",Общий!B81,1),19),".",""),"-","")),SEARCH("Karcher",TRIM(SUBSTITUTE(SUBSTITUTE(MID(Общий!B81,SEARCH("Karcher",Общий!B81,1),19),".",""),"-","")),1)+8,8)),VALUE(LEFT(SUBSTITUTE(SUBSTITUTE(Общий!B81,".",""),"-",""),8))),"0"),IFERROR(VALUE(MID(TRIM(SUBSTITUTE(SUBSTITUTE(MID(Общий!B81,SEARCH("Karcher",Общий!B81,1),19),".",""),"-","")),SEARCH("Karcher",TRIM(SUBSTITUTE(SUBSTITUTE(MID(Общий!B81,SEARCH("Karcher",Общий!B81,1),19),".",""),"-","")),1)+8,8)),VALUE(LEFT(SUBSTITUTE(SUBSTITUTE(Общий!B81,".",""),"-",""),8)))))," ",Общий!C81),0)</f>
        <v>26439100 2</v>
      </c>
      <c r="C81" s="29" t="str">
        <f>Общий!A81</f>
        <v>73</v>
      </c>
      <c r="D81" s="27" t="str">
        <f>Общий!B81</f>
        <v>Шланг запасной ВД в комплекте HK7,5 (серия К) Karcher 2.643-910 код : 000692</v>
      </c>
      <c r="E81" s="28">
        <f>Общий!C81</f>
        <v>2</v>
      </c>
      <c r="F81" s="21"/>
      <c r="G81" s="56" t="s">
        <v>790</v>
      </c>
      <c r="H81" s="57"/>
      <c r="I81" s="58"/>
      <c r="J81" s="60">
        <v>1</v>
      </c>
      <c r="K81" s="16"/>
    </row>
    <row r="82" spans="1:11" ht="19.5" customHeight="1">
      <c r="A82" s="31">
        <f>IFERROR(VALUE(IF(LEN(IFERROR(VALUE(MID(TRIM(SUBSTITUTE(SUBSTITUTE(MID(Общий!B82,SEARCH("Karcher",Общий!B82,1),19),".",""),"-","")),SEARCH("Karcher",TRIM(SUBSTITUTE(SUBSTITUTE(MID(Общий!B82,SEARCH("Karcher",Общий!B82,1),19),".",""),"-","")),1)+8,8)),VALUE(LEFT(SUBSTITUTE(SUBSTITUTE(Общий!B82,".",""),"-",""),8))))=7,CONCATENATE(IFERROR(VALUE(MID(TRIM(SUBSTITUTE(SUBSTITUTE(MID(Общий!B82,SEARCH("Karcher",Общий!B82,1),19),".",""),"-","")),SEARCH("Karcher",TRIM(SUBSTITUTE(SUBSTITUTE(MID(Общий!B82,SEARCH("Karcher",Общий!B82,1),19),".",""),"-","")),1)+8,8)),VALUE(LEFT(SUBSTITUTE(SUBSTITUTE(Общий!B82,".",""),"-",""),8))),"0"),IFERROR(VALUE(MID(TRIM(SUBSTITUTE(SUBSTITUTE(MID(Общий!B82,SEARCH("Karcher",Общий!B82,1),19),".",""),"-","")),SEARCH("Karcher",TRIM(SUBSTITUTE(SUBSTITUTE(MID(Общий!B82,SEARCH("Karcher",Общий!B82,1),19),".",""),"-","")),1)+8,8)),VALUE(LEFT(SUBSTITUTE(SUBSTITUTE(Общий!B82,".",""),"-",""),8))))),0)</f>
        <v>26451380</v>
      </c>
      <c r="B82" s="25" t="str">
        <f>IFERROR(CONCATENATE(VALUE(IF(LEN(IFERROR(VALUE(MID(TRIM(SUBSTITUTE(SUBSTITUTE(MID(Общий!B82,SEARCH("Karcher",Общий!B82,1),19),".",""),"-","")),SEARCH("Karcher",TRIM(SUBSTITUTE(SUBSTITUTE(MID(Общий!B82,SEARCH("Karcher",Общий!B82,1),19),".",""),"-","")),1)+8,8)),VALUE(LEFT(SUBSTITUTE(SUBSTITUTE(Общий!B82,".",""),"-",""),8))))=7,CONCATENATE(IFERROR(VALUE(MID(TRIM(SUBSTITUTE(SUBSTITUTE(MID(Общий!B82,SEARCH("Karcher",Общий!B82,1),19),".",""),"-","")),SEARCH("Karcher",TRIM(SUBSTITUTE(SUBSTITUTE(MID(Общий!B82,SEARCH("Karcher",Общий!B82,1),19),".",""),"-","")),1)+8,8)),VALUE(LEFT(SUBSTITUTE(SUBSTITUTE(Общий!B82,".",""),"-",""),8))),"0"),IFERROR(VALUE(MID(TRIM(SUBSTITUTE(SUBSTITUTE(MID(Общий!B82,SEARCH("Karcher",Общий!B82,1),19),".",""),"-","")),SEARCH("Karcher",TRIM(SUBSTITUTE(SUBSTITUTE(MID(Общий!B82,SEARCH("Karcher",Общий!B82,1),19),".",""),"-","")),1)+8,8)),VALUE(LEFT(SUBSTITUTE(SUBSTITUTE(Общий!B82,".",""),"-",""),8)))))," ",Общий!C82),0)</f>
        <v>26451380 3</v>
      </c>
      <c r="C82" s="29" t="str">
        <f>Общий!A82</f>
        <v>74</v>
      </c>
      <c r="D82" s="27" t="str">
        <f>Общий!B82</f>
        <v>Шланг "PrimoFlex" 1/2" бухта 20м  Karcher 2.645-138 код : 020101</v>
      </c>
      <c r="E82" s="28">
        <f>Общий!C82</f>
        <v>3</v>
      </c>
      <c r="F82" s="21"/>
      <c r="G82" s="56" t="s">
        <v>791</v>
      </c>
      <c r="H82" s="57"/>
      <c r="I82" s="58"/>
      <c r="J82" s="60">
        <v>1</v>
      </c>
      <c r="K82" s="16"/>
    </row>
    <row r="83" spans="1:11" ht="19.5" customHeight="1">
      <c r="A83" s="31">
        <f>IFERROR(VALUE(IF(LEN(IFERROR(VALUE(MID(TRIM(SUBSTITUTE(SUBSTITUTE(MID(Общий!B83,SEARCH("Karcher",Общий!B83,1),19),".",""),"-","")),SEARCH("Karcher",TRIM(SUBSTITUTE(SUBSTITUTE(MID(Общий!B83,SEARCH("Karcher",Общий!B83,1),19),".",""),"-","")),1)+8,8)),VALUE(LEFT(SUBSTITUTE(SUBSTITUTE(Общий!B83,".",""),"-",""),8))))=7,CONCATENATE(IFERROR(VALUE(MID(TRIM(SUBSTITUTE(SUBSTITUTE(MID(Общий!B83,SEARCH("Karcher",Общий!B83,1),19),".",""),"-","")),SEARCH("Karcher",TRIM(SUBSTITUTE(SUBSTITUTE(MID(Общий!B83,SEARCH("Karcher",Общий!B83,1),19),".",""),"-","")),1)+8,8)),VALUE(LEFT(SUBSTITUTE(SUBSTITUTE(Общий!B83,".",""),"-",""),8))),"0"),IFERROR(VALUE(MID(TRIM(SUBSTITUTE(SUBSTITUTE(MID(Общий!B83,SEARCH("Karcher",Общий!B83,1),19),".",""),"-","")),SEARCH("Karcher",TRIM(SUBSTITUTE(SUBSTITUTE(MID(Общий!B83,SEARCH("Karcher",Общий!B83,1),19),".",""),"-","")),1)+8,8)),VALUE(LEFT(SUBSTITUTE(SUBSTITUTE(Общий!B83,".",""),"-",""),8))))),0)</f>
        <v>53324440</v>
      </c>
      <c r="B83" s="25" t="str">
        <f>IFERROR(CONCATENATE(VALUE(IF(LEN(IFERROR(VALUE(MID(TRIM(SUBSTITUTE(SUBSTITUTE(MID(Общий!B83,SEARCH("Karcher",Общий!B83,1),19),".",""),"-","")),SEARCH("Karcher",TRIM(SUBSTITUTE(SUBSTITUTE(MID(Общий!B83,SEARCH("Karcher",Общий!B83,1),19),".",""),"-","")),1)+8,8)),VALUE(LEFT(SUBSTITUTE(SUBSTITUTE(Общий!B83,".",""),"-",""),8))))=7,CONCATENATE(IFERROR(VALUE(MID(TRIM(SUBSTITUTE(SUBSTITUTE(MID(Общий!B83,SEARCH("Karcher",Общий!B83,1),19),".",""),"-","")),SEARCH("Karcher",TRIM(SUBSTITUTE(SUBSTITUTE(MID(Общий!B83,SEARCH("Karcher",Общий!B83,1),19),".",""),"-","")),1)+8,8)),VALUE(LEFT(SUBSTITUTE(SUBSTITUTE(Общий!B83,".",""),"-",""),8))),"0"),IFERROR(VALUE(MID(TRIM(SUBSTITUTE(SUBSTITUTE(MID(Общий!B83,SEARCH("Karcher",Общий!B83,1),19),".",""),"-","")),SEARCH("Karcher",TRIM(SUBSTITUTE(SUBSTITUTE(MID(Общий!B83,SEARCH("Karcher",Общий!B83,1),19),".",""),"-","")),1)+8,8)),VALUE(LEFT(SUBSTITUTE(SUBSTITUTE(Общий!B83,".",""),"-",""),8)))))," ",Общий!C83),0)</f>
        <v>53324440 1</v>
      </c>
      <c r="C83" s="29" t="str">
        <f>Общий!A83</f>
        <v>75</v>
      </c>
      <c r="D83" s="27" t="str">
        <f>Общий!B83</f>
        <v>Винтовая пружина Karcher 5.332-444 код : 006065</v>
      </c>
      <c r="E83" s="28">
        <f>Общий!C83</f>
        <v>1</v>
      </c>
      <c r="F83" s="21"/>
      <c r="G83" s="56" t="s">
        <v>792</v>
      </c>
      <c r="H83" s="57"/>
      <c r="I83" s="58"/>
      <c r="J83" s="60">
        <v>2</v>
      </c>
      <c r="K83" s="16"/>
    </row>
    <row r="84" spans="1:11" ht="19.5" customHeight="1">
      <c r="A84" s="31">
        <f>IFERROR(VALUE(IF(LEN(IFERROR(VALUE(MID(TRIM(SUBSTITUTE(SUBSTITUTE(MID(Общий!B84,SEARCH("Karcher",Общий!B84,1),19),".",""),"-","")),SEARCH("Karcher",TRIM(SUBSTITUTE(SUBSTITUTE(MID(Общий!B84,SEARCH("Karcher",Общий!B84,1),19),".",""),"-","")),1)+8,8)),VALUE(LEFT(SUBSTITUTE(SUBSTITUTE(Общий!B84,".",""),"-",""),8))))=7,CONCATENATE(IFERROR(VALUE(MID(TRIM(SUBSTITUTE(SUBSTITUTE(MID(Общий!B84,SEARCH("Karcher",Общий!B84,1),19),".",""),"-","")),SEARCH("Karcher",TRIM(SUBSTITUTE(SUBSTITUTE(MID(Общий!B84,SEARCH("Karcher",Общий!B84,1),19),".",""),"-","")),1)+8,8)),VALUE(LEFT(SUBSTITUTE(SUBSTITUTE(Общий!B84,".",""),"-",""),8))),"0"),IFERROR(VALUE(MID(TRIM(SUBSTITUTE(SUBSTITUTE(MID(Общий!B84,SEARCH("Karcher",Общий!B84,1),19),".",""),"-","")),SEARCH("Karcher",TRIM(SUBSTITUTE(SUBSTITUTE(MID(Общий!B84,SEARCH("Karcher",Общий!B84,1),19),".",""),"-","")),1)+8,8)),VALUE(LEFT(SUBSTITUTE(SUBSTITUTE(Общий!B84,".",""),"-",""),8))))),0)</f>
        <v>0</v>
      </c>
      <c r="B84" s="25">
        <f>IFERROR(CONCATENATE(VALUE(IF(LEN(IFERROR(VALUE(MID(TRIM(SUBSTITUTE(SUBSTITUTE(MID(Общий!B84,SEARCH("Karcher",Общий!B84,1),19),".",""),"-","")),SEARCH("Karcher",TRIM(SUBSTITUTE(SUBSTITUTE(MID(Общий!B84,SEARCH("Karcher",Общий!B84,1),19),".",""),"-","")),1)+8,8)),VALUE(LEFT(SUBSTITUTE(SUBSTITUTE(Общий!B84,".",""),"-",""),8))))=7,CONCATENATE(IFERROR(VALUE(MID(TRIM(SUBSTITUTE(SUBSTITUTE(MID(Общий!B84,SEARCH("Karcher",Общий!B84,1),19),".",""),"-","")),SEARCH("Karcher",TRIM(SUBSTITUTE(SUBSTITUTE(MID(Общий!B84,SEARCH("Karcher",Общий!B84,1),19),".",""),"-","")),1)+8,8)),VALUE(LEFT(SUBSTITUTE(SUBSTITUTE(Общий!B84,".",""),"-",""),8))),"0"),IFERROR(VALUE(MID(TRIM(SUBSTITUTE(SUBSTITUTE(MID(Общий!B84,SEARCH("Karcher",Общий!B84,1),19),".",""),"-","")),SEARCH("Karcher",TRIM(SUBSTITUTE(SUBSTITUTE(MID(Общий!B84,SEARCH("Karcher",Общий!B84,1),19),".",""),"-","")),1)+8,8)),VALUE(LEFT(SUBSTITUTE(SUBSTITUTE(Общий!B84,".",""),"-",""),8)))))," ",Общий!C84),0)</f>
        <v>0</v>
      </c>
      <c r="C84" s="29" t="str">
        <f>Общий!A84</f>
        <v>76</v>
      </c>
      <c r="D84" s="27" t="str">
        <f>Общий!B84</f>
        <v xml:space="preserve"> код :</v>
      </c>
      <c r="E84" s="28">
        <f>Общий!C84</f>
        <v>0</v>
      </c>
      <c r="F84" s="21"/>
      <c r="G84" s="56" t="s">
        <v>793</v>
      </c>
      <c r="H84" s="57"/>
      <c r="I84" s="58"/>
      <c r="J84" s="60">
        <v>3</v>
      </c>
      <c r="K84" s="16"/>
    </row>
    <row r="85" spans="1:11" ht="19.5" customHeight="1">
      <c r="A85" s="31">
        <f>IFERROR(VALUE(IF(LEN(IFERROR(VALUE(MID(TRIM(SUBSTITUTE(SUBSTITUTE(MID(Общий!B85,SEARCH("Karcher",Общий!B85,1),19),".",""),"-","")),SEARCH("Karcher",TRIM(SUBSTITUTE(SUBSTITUTE(MID(Общий!B85,SEARCH("Karcher",Общий!B85,1),19),".",""),"-","")),1)+8,8)),VALUE(LEFT(SUBSTITUTE(SUBSTITUTE(Общий!B85,".",""),"-",""),8))))=7,CONCATENATE(IFERROR(VALUE(MID(TRIM(SUBSTITUTE(SUBSTITUTE(MID(Общий!B85,SEARCH("Karcher",Общий!B85,1),19),".",""),"-","")),SEARCH("Karcher",TRIM(SUBSTITUTE(SUBSTITUTE(MID(Общий!B85,SEARCH("Karcher",Общий!B85,1),19),".",""),"-","")),1)+8,8)),VALUE(LEFT(SUBSTITUTE(SUBSTITUTE(Общий!B85,".",""),"-",""),8))),"0"),IFERROR(VALUE(MID(TRIM(SUBSTITUTE(SUBSTITUTE(MID(Общий!B85,SEARCH("Karcher",Общий!B85,1),19),".",""),"-","")),SEARCH("Karcher",TRIM(SUBSTITUTE(SUBSTITUTE(MID(Общий!B85,SEARCH("Karcher",Общий!B85,1),19),".",""),"-","")),1)+8,8)),VALUE(LEFT(SUBSTITUTE(SUBSTITUTE(Общий!B85,".",""),"-",""),8))))),0)</f>
        <v>26440320</v>
      </c>
      <c r="B85" s="25" t="str">
        <f>IFERROR(CONCATENATE(VALUE(IF(LEN(IFERROR(VALUE(MID(TRIM(SUBSTITUTE(SUBSTITUTE(MID(Общий!B85,SEARCH("Karcher",Общий!B85,1),19),".",""),"-","")),SEARCH("Karcher",TRIM(SUBSTITUTE(SUBSTITUTE(MID(Общий!B85,SEARCH("Karcher",Общий!B85,1),19),".",""),"-","")),1)+8,8)),VALUE(LEFT(SUBSTITUTE(SUBSTITUTE(Общий!B85,".",""),"-",""),8))))=7,CONCATENATE(IFERROR(VALUE(MID(TRIM(SUBSTITUTE(SUBSTITUTE(MID(Общий!B85,SEARCH("Karcher",Общий!B85,1),19),".",""),"-","")),SEARCH("Karcher",TRIM(SUBSTITUTE(SUBSTITUTE(MID(Общий!B85,SEARCH("Karcher",Общий!B85,1),19),".",""),"-","")),1)+8,8)),VALUE(LEFT(SUBSTITUTE(SUBSTITUTE(Общий!B85,".",""),"-",""),8))),"0"),IFERROR(VALUE(MID(TRIM(SUBSTITUTE(SUBSTITUTE(MID(Общий!B85,SEARCH("Karcher",Общий!B85,1),19),".",""),"-","")),SEARCH("Karcher",TRIM(SUBSTITUTE(SUBSTITUTE(MID(Общий!B85,SEARCH("Karcher",Общий!B85,1),19),".",""),"-","")),1)+8,8)),VALUE(LEFT(SUBSTITUTE(SUBSTITUTE(Общий!B85,".",""),"-",""),8)))))," ",Общий!C85),0)</f>
        <v>26440320 1</v>
      </c>
      <c r="C85" s="29" t="str">
        <f>Общий!A85</f>
        <v>77</v>
      </c>
      <c r="D85" s="27" t="str">
        <f>Общий!B85</f>
        <v>Боковая щетка для влажных отходов S4 Karcher 2.644-032 код : 030045</v>
      </c>
      <c r="E85" s="28">
        <f>Общий!C85</f>
        <v>1</v>
      </c>
      <c r="F85" s="21"/>
      <c r="G85" s="56" t="s">
        <v>794</v>
      </c>
      <c r="H85" s="57"/>
      <c r="I85" s="58"/>
      <c r="J85" s="60">
        <v>3</v>
      </c>
      <c r="K85" s="16"/>
    </row>
    <row r="86" spans="1:11" ht="19.5" customHeight="1">
      <c r="A86" s="31">
        <f>IFERROR(VALUE(IF(LEN(IFERROR(VALUE(MID(TRIM(SUBSTITUTE(SUBSTITUTE(MID(Общий!B86,SEARCH("Karcher",Общий!B86,1),19),".",""),"-","")),SEARCH("Karcher",TRIM(SUBSTITUTE(SUBSTITUTE(MID(Общий!B86,SEARCH("Karcher",Общий!B86,1),19),".",""),"-","")),1)+8,8)),VALUE(LEFT(SUBSTITUTE(SUBSTITUTE(Общий!B86,".",""),"-",""),8))))=7,CONCATENATE(IFERROR(VALUE(MID(TRIM(SUBSTITUTE(SUBSTITUTE(MID(Общий!B86,SEARCH("Karcher",Общий!B86,1),19),".",""),"-","")),SEARCH("Karcher",TRIM(SUBSTITUTE(SUBSTITUTE(MID(Общий!B86,SEARCH("Karcher",Общий!B86,1),19),".",""),"-","")),1)+8,8)),VALUE(LEFT(SUBSTITUTE(SUBSTITUTE(Общий!B86,".",""),"-",""),8))),"0"),IFERROR(VALUE(MID(TRIM(SUBSTITUTE(SUBSTITUTE(MID(Общий!B86,SEARCH("Karcher",Общий!B86,1),19),".",""),"-","")),SEARCH("Karcher",TRIM(SUBSTITUTE(SUBSTITUTE(MID(Общий!B86,SEARCH("Karcher",Общий!B86,1),19),".",""),"-","")),1)+8,8)),VALUE(LEFT(SUBSTITUTE(SUBSTITUTE(Общий!B86,".",""),"-",""),8))))),0)</f>
        <v>26450190</v>
      </c>
      <c r="B86" s="25" t="str">
        <f>IFERROR(CONCATENATE(VALUE(IF(LEN(IFERROR(VALUE(MID(TRIM(SUBSTITUTE(SUBSTITUTE(MID(Общий!B86,SEARCH("Karcher",Общий!B86,1),19),".",""),"-","")),SEARCH("Karcher",TRIM(SUBSTITUTE(SUBSTITUTE(MID(Общий!B86,SEARCH("Karcher",Общий!B86,1),19),".",""),"-","")),1)+8,8)),VALUE(LEFT(SUBSTITUTE(SUBSTITUTE(Общий!B86,".",""),"-",""),8))))=7,CONCATENATE(IFERROR(VALUE(MID(TRIM(SUBSTITUTE(SUBSTITUTE(MID(Общий!B86,SEARCH("Karcher",Общий!B86,1),19),".",""),"-","")),SEARCH("Karcher",TRIM(SUBSTITUTE(SUBSTITUTE(MID(Общий!B86,SEARCH("Karcher",Общий!B86,1),19),".",""),"-","")),1)+8,8)),VALUE(LEFT(SUBSTITUTE(SUBSTITUTE(Общий!B86,".",""),"-",""),8))),"0"),IFERROR(VALUE(MID(TRIM(SUBSTITUTE(SUBSTITUTE(MID(Общий!B86,SEARCH("Karcher",Общий!B86,1),19),".",""),"-","")),SEARCH("Karcher",TRIM(SUBSTITUTE(SUBSTITUTE(MID(Общий!B86,SEARCH("Karcher",Общий!B86,1),19),".",""),"-","")),1)+8,8)),VALUE(LEFT(SUBSTITUTE(SUBSTITUTE(Общий!B86,".",""),"-",""),8)))))," ",Общий!C86),0)</f>
        <v>26450190 4</v>
      </c>
      <c r="C86" s="29" t="str">
        <f>Общий!A86</f>
        <v>78</v>
      </c>
      <c r="D86" s="27" t="str">
        <f>Общий!B86</f>
        <v>Вращающийся разбрызгиватель RS 130/3 Karcher 2.645-019 код : 020071</v>
      </c>
      <c r="E86" s="28">
        <f>Общий!C86</f>
        <v>4</v>
      </c>
      <c r="F86" s="21"/>
      <c r="G86" s="56" t="s">
        <v>795</v>
      </c>
      <c r="H86" s="57"/>
      <c r="I86" s="58"/>
      <c r="J86" s="59">
        <v>3</v>
      </c>
      <c r="K86" s="16"/>
    </row>
    <row r="87" spans="1:11" ht="12" customHeight="1">
      <c r="A87" s="31">
        <f>IFERROR(VALUE(IF(LEN(IFERROR(VALUE(MID(TRIM(SUBSTITUTE(SUBSTITUTE(MID(Общий!B87,SEARCH("Karcher",Общий!B87,1),19),".",""),"-","")),SEARCH("Karcher",TRIM(SUBSTITUTE(SUBSTITUTE(MID(Общий!B87,SEARCH("Karcher",Общий!B87,1),19),".",""),"-","")),1)+8,8)),VALUE(LEFT(SUBSTITUTE(SUBSTITUTE(Общий!B87,".",""),"-",""),8))))=7,CONCATENATE(IFERROR(VALUE(MID(TRIM(SUBSTITUTE(SUBSTITUTE(MID(Общий!B87,SEARCH("Karcher",Общий!B87,1),19),".",""),"-","")),SEARCH("Karcher",TRIM(SUBSTITUTE(SUBSTITUTE(MID(Общий!B87,SEARCH("Karcher",Общий!B87,1),19),".",""),"-","")),1)+8,8)),VALUE(LEFT(SUBSTITUTE(SUBSTITUTE(Общий!B87,".",""),"-",""),8))),"0"),IFERROR(VALUE(MID(TRIM(SUBSTITUTE(SUBSTITUTE(MID(Общий!B87,SEARCH("Karcher",Общий!B87,1),19),".",""),"-","")),SEARCH("Karcher",TRIM(SUBSTITUTE(SUBSTITUTE(MID(Общий!B87,SEARCH("Karcher",Общий!B87,1),19),".",""),"-","")),1)+8,8)),VALUE(LEFT(SUBSTITUTE(SUBSTITUTE(Общий!B87,".",""),"-",""),8))))),0)</f>
        <v>26450230</v>
      </c>
      <c r="B87" s="25" t="str">
        <f>IFERROR(CONCATENATE(VALUE(IF(LEN(IFERROR(VALUE(MID(TRIM(SUBSTITUTE(SUBSTITUTE(MID(Общий!B87,SEARCH("Karcher",Общий!B87,1),19),".",""),"-","")),SEARCH("Karcher",TRIM(SUBSTITUTE(SUBSTITUTE(MID(Общий!B87,SEARCH("Karcher",Общий!B87,1),19),".",""),"-","")),1)+8,8)),VALUE(LEFT(SUBSTITUTE(SUBSTITUTE(Общий!B87,".",""),"-",""),8))))=7,CONCATENATE(IFERROR(VALUE(MID(TRIM(SUBSTITUTE(SUBSTITUTE(MID(Общий!B87,SEARCH("Karcher",Общий!B87,1),19),".",""),"-","")),SEARCH("Karcher",TRIM(SUBSTITUTE(SUBSTITUTE(MID(Общий!B87,SEARCH("Karcher",Общий!B87,1),19),".",""),"-","")),1)+8,8)),VALUE(LEFT(SUBSTITUTE(SUBSTITUTE(Общий!B87,".",""),"-",""),8))),"0"),IFERROR(VALUE(MID(TRIM(SUBSTITUTE(SUBSTITUTE(MID(Общий!B87,SEARCH("Karcher",Общий!B87,1),19),".",""),"-","")),SEARCH("Karcher",TRIM(SUBSTITUTE(SUBSTITUTE(MID(Общий!B87,SEARCH("Karcher",Общий!B87,1),19),".",""),"-","")),1)+8,8)),VALUE(LEFT(SUBSTITUTE(SUBSTITUTE(Общий!B87,".",""),"-",""),8)))))," ",Общий!C87),0)</f>
        <v>26450230 2</v>
      </c>
      <c r="C87" s="29" t="str">
        <f>Общий!A87</f>
        <v>79</v>
      </c>
      <c r="D87" s="27" t="str">
        <f>Общий!B87</f>
        <v>Импульсный разбрызгиватель (30-360) PS 300 Karcher 2.645-023 код : 020075</v>
      </c>
      <c r="E87" s="28">
        <f>Общий!C87</f>
        <v>2</v>
      </c>
      <c r="F87" s="21"/>
      <c r="G87" s="56" t="s">
        <v>796</v>
      </c>
      <c r="H87" s="57"/>
      <c r="I87" s="58"/>
      <c r="J87" s="60">
        <v>1</v>
      </c>
      <c r="K87" s="16"/>
    </row>
    <row r="88" spans="1:11" ht="19.5" customHeight="1">
      <c r="A88" s="31">
        <f>IFERROR(VALUE(IF(LEN(IFERROR(VALUE(MID(TRIM(SUBSTITUTE(SUBSTITUTE(MID(Общий!B88,SEARCH("Karcher",Общий!B88,1),19),".",""),"-","")),SEARCH("Karcher",TRIM(SUBSTITUTE(SUBSTITUTE(MID(Общий!B88,SEARCH("Karcher",Общий!B88,1),19),".",""),"-","")),1)+8,8)),VALUE(LEFT(SUBSTITUTE(SUBSTITUTE(Общий!B88,".",""),"-",""),8))))=7,CONCATENATE(IFERROR(VALUE(MID(TRIM(SUBSTITUTE(SUBSTITUTE(MID(Общий!B88,SEARCH("Karcher",Общий!B88,1),19),".",""),"-","")),SEARCH("Karcher",TRIM(SUBSTITUTE(SUBSTITUTE(MID(Общий!B88,SEARCH("Karcher",Общий!B88,1),19),".",""),"-","")),1)+8,8)),VALUE(LEFT(SUBSTITUTE(SUBSTITUTE(Общий!B88,".",""),"-",""),8))),"0"),IFERROR(VALUE(MID(TRIM(SUBSTITUTE(SUBSTITUTE(MID(Общий!B88,SEARCH("Karcher",Общий!B88,1),19),".",""),"-","")),SEARCH("Karcher",TRIM(SUBSTITUTE(SUBSTITUTE(MID(Общий!B88,SEARCH("Karcher",Общий!B88,1),19),".",""),"-","")),1)+8,8)),VALUE(LEFT(SUBSTITUTE(SUBSTITUTE(Общий!B88,".",""),"-",""),8))))),0)</f>
        <v>26451410</v>
      </c>
      <c r="B88" s="25" t="str">
        <f>IFERROR(CONCATENATE(VALUE(IF(LEN(IFERROR(VALUE(MID(TRIM(SUBSTITUTE(SUBSTITUTE(MID(Общий!B88,SEARCH("Karcher",Общий!B88,1),19),".",""),"-","")),SEARCH("Karcher",TRIM(SUBSTITUTE(SUBSTITUTE(MID(Общий!B88,SEARCH("Karcher",Общий!B88,1),19),".",""),"-","")),1)+8,8)),VALUE(LEFT(SUBSTITUTE(SUBSTITUTE(Общий!B88,".",""),"-",""),8))))=7,CONCATENATE(IFERROR(VALUE(MID(TRIM(SUBSTITUTE(SUBSTITUTE(MID(Общий!B88,SEARCH("Karcher",Общий!B88,1),19),".",""),"-","")),SEARCH("Karcher",TRIM(SUBSTITUTE(SUBSTITUTE(MID(Общий!B88,SEARCH("Karcher",Общий!B88,1),19),".",""),"-","")),1)+8,8)),VALUE(LEFT(SUBSTITUTE(SUBSTITUTE(Общий!B88,".",""),"-",""),8))),"0"),IFERROR(VALUE(MID(TRIM(SUBSTITUTE(SUBSTITUTE(MID(Общий!B88,SEARCH("Karcher",Общий!B88,1),19),".",""),"-","")),SEARCH("Karcher",TRIM(SUBSTITUTE(SUBSTITUTE(MID(Общий!B88,SEARCH("Karcher",Общий!B88,1),19),".",""),"-","")),1)+8,8)),VALUE(LEFT(SUBSTITUTE(SUBSTITUTE(Общий!B88,".",""),"-",""),8)))))," ",Общий!C88),0)</f>
        <v>26451410 50</v>
      </c>
      <c r="C88" s="29" t="str">
        <f>Общий!A88</f>
        <v>80</v>
      </c>
      <c r="D88" s="27" t="str">
        <f>Общий!B88</f>
        <v>Шланг "PrimoFlex" 5/8" Karcher 2.645-141  1м код : 020110</v>
      </c>
      <c r="E88" s="28">
        <f>Общий!C88</f>
        <v>50</v>
      </c>
      <c r="F88" s="21"/>
      <c r="G88" s="56" t="s">
        <v>797</v>
      </c>
      <c r="H88" s="57"/>
      <c r="I88" s="58"/>
      <c r="J88" s="60">
        <v>2</v>
      </c>
      <c r="K88" s="16"/>
    </row>
    <row r="89" spans="1:11" ht="19.5" customHeight="1">
      <c r="A89" s="31">
        <f>IFERROR(VALUE(IF(LEN(IFERROR(VALUE(MID(TRIM(SUBSTITUTE(SUBSTITUTE(MID(Общий!B89,SEARCH("Karcher",Общий!B89,1),19),".",""),"-","")),SEARCH("Karcher",TRIM(SUBSTITUTE(SUBSTITUTE(MID(Общий!B89,SEARCH("Karcher",Общий!B89,1),19),".",""),"-","")),1)+8,8)),VALUE(LEFT(SUBSTITUTE(SUBSTITUTE(Общий!B89,".",""),"-",""),8))))=7,CONCATENATE(IFERROR(VALUE(MID(TRIM(SUBSTITUTE(SUBSTITUTE(MID(Общий!B89,SEARCH("Karcher",Общий!B89,1),19),".",""),"-","")),SEARCH("Karcher",TRIM(SUBSTITUTE(SUBSTITUTE(MID(Общий!B89,SEARCH("Karcher",Общий!B89,1),19),".",""),"-","")),1)+8,8)),VALUE(LEFT(SUBSTITUTE(SUBSTITUTE(Общий!B89,".",""),"-",""),8))),"0"),IFERROR(VALUE(MID(TRIM(SUBSTITUTE(SUBSTITUTE(MID(Общий!B89,SEARCH("Karcher",Общий!B89,1),19),".",""),"-","")),SEARCH("Karcher",TRIM(SUBSTITUTE(SUBSTITUTE(MID(Общий!B89,SEARCH("Karcher",Общий!B89,1),19),".",""),"-","")),1)+8,8)),VALUE(LEFT(SUBSTITUTE(SUBSTITUTE(Общий!B89,".",""),"-",""),8))))),0)</f>
        <v>56000603</v>
      </c>
      <c r="B89" s="25" t="str">
        <f>IFERROR(CONCATENATE(VALUE(IF(LEN(IFERROR(VALUE(MID(TRIM(SUBSTITUTE(SUBSTITUTE(MID(Общий!B89,SEARCH("Karcher",Общий!B89,1),19),".",""),"-","")),SEARCH("Karcher",TRIM(SUBSTITUTE(SUBSTITUTE(MID(Общий!B89,SEARCH("Karcher",Общий!B89,1),19),".",""),"-","")),1)+8,8)),VALUE(LEFT(SUBSTITUTE(SUBSTITUTE(Общий!B89,".",""),"-",""),8))))=7,CONCATENATE(IFERROR(VALUE(MID(TRIM(SUBSTITUTE(SUBSTITUTE(MID(Общий!B89,SEARCH("Karcher",Общий!B89,1),19),".",""),"-","")),SEARCH("Karcher",TRIM(SUBSTITUTE(SUBSTITUTE(MID(Общий!B89,SEARCH("Karcher",Общий!B89,1),19),".",""),"-","")),1)+8,8)),VALUE(LEFT(SUBSTITUTE(SUBSTITUTE(Общий!B89,".",""),"-",""),8))),"0"),IFERROR(VALUE(MID(TRIM(SUBSTITUTE(SUBSTITUTE(MID(Общий!B89,SEARCH("Karcher",Общий!B89,1),19),".",""),"-","")),SEARCH("Karcher",TRIM(SUBSTITUTE(SUBSTITUTE(MID(Общий!B89,SEARCH("Karcher",Общий!B89,1),19),".",""),"-","")),1)+8,8)),VALUE(LEFT(SUBSTITUTE(SUBSTITUTE(Общий!B89,".",""),"-",""),8)))))," ",Общий!C89),0)</f>
        <v>56000603 2</v>
      </c>
      <c r="C89" s="29" t="str">
        <f>Общий!A89</f>
        <v>81</v>
      </c>
      <c r="D89" s="27" t="str">
        <f>Общий!B89</f>
        <v>56000603 Крыльчатка Karcher *1* код : 005195</v>
      </c>
      <c r="E89" s="28">
        <f>Общий!C89</f>
        <v>2</v>
      </c>
      <c r="F89" s="21"/>
      <c r="G89" s="56" t="s">
        <v>798</v>
      </c>
      <c r="H89" s="57"/>
      <c r="I89" s="58"/>
      <c r="J89" s="60">
        <v>3</v>
      </c>
      <c r="K89" s="16"/>
    </row>
    <row r="90" spans="1:11" ht="19.5" customHeight="1">
      <c r="A90" s="31">
        <f>IFERROR(VALUE(IF(LEN(IFERROR(VALUE(MID(TRIM(SUBSTITUTE(SUBSTITUTE(MID(Общий!B90,SEARCH("Karcher",Общий!B90,1),19),".",""),"-","")),SEARCH("Karcher",TRIM(SUBSTITUTE(SUBSTITUTE(MID(Общий!B90,SEARCH("Karcher",Общий!B90,1),19),".",""),"-","")),1)+8,8)),VALUE(LEFT(SUBSTITUTE(SUBSTITUTE(Общий!B90,".",""),"-",""),8))))=7,CONCATENATE(IFERROR(VALUE(MID(TRIM(SUBSTITUTE(SUBSTITUTE(MID(Общий!B90,SEARCH("Karcher",Общий!B90,1),19),".",""),"-","")),SEARCH("Karcher",TRIM(SUBSTITUTE(SUBSTITUTE(MID(Общий!B90,SEARCH("Karcher",Общий!B90,1),19),".",""),"-","")),1)+8,8)),VALUE(LEFT(SUBSTITUTE(SUBSTITUTE(Общий!B90,".",""),"-",""),8))),"0"),IFERROR(VALUE(MID(TRIM(SUBSTITUTE(SUBSTITUTE(MID(Общий!B90,SEARCH("Karcher",Общий!B90,1),19),".",""),"-","")),SEARCH("Karcher",TRIM(SUBSTITUTE(SUBSTITUTE(MID(Общий!B90,SEARCH("Karcher",Общий!B90,1),19),".",""),"-","")),1)+8,8)),VALUE(LEFT(SUBSTITUTE(SUBSTITUTE(Общий!B90,".",""),"-",""),8))))),0)</f>
        <v>0</v>
      </c>
      <c r="B90" s="25">
        <f>IFERROR(CONCATENATE(VALUE(IF(LEN(IFERROR(VALUE(MID(TRIM(SUBSTITUTE(SUBSTITUTE(MID(Общий!B90,SEARCH("Karcher",Общий!B90,1),19),".",""),"-","")),SEARCH("Karcher",TRIM(SUBSTITUTE(SUBSTITUTE(MID(Общий!B90,SEARCH("Karcher",Общий!B90,1),19),".",""),"-","")),1)+8,8)),VALUE(LEFT(SUBSTITUTE(SUBSTITUTE(Общий!B90,".",""),"-",""),8))))=7,CONCATENATE(IFERROR(VALUE(MID(TRIM(SUBSTITUTE(SUBSTITUTE(MID(Общий!B90,SEARCH("Karcher",Общий!B90,1),19),".",""),"-","")),SEARCH("Karcher",TRIM(SUBSTITUTE(SUBSTITUTE(MID(Общий!B90,SEARCH("Karcher",Общий!B90,1),19),".",""),"-","")),1)+8,8)),VALUE(LEFT(SUBSTITUTE(SUBSTITUTE(Общий!B90,".",""),"-",""),8))),"0"),IFERROR(VALUE(MID(TRIM(SUBSTITUTE(SUBSTITUTE(MID(Общий!B90,SEARCH("Karcher",Общий!B90,1),19),".",""),"-","")),SEARCH("Karcher",TRIM(SUBSTITUTE(SUBSTITUTE(MID(Общий!B90,SEARCH("Karcher",Общий!B90,1),19),".",""),"-","")),1)+8,8)),VALUE(LEFT(SUBSTITUTE(SUBSTITUTE(Общий!B90,".",""),"-",""),8)))))," ",Общий!C90),0)</f>
        <v>0</v>
      </c>
      <c r="C90" s="29" t="str">
        <f>Общий!A90</f>
        <v>82</v>
      </c>
      <c r="D90" s="27" t="str">
        <f>Общий!B90</f>
        <v xml:space="preserve"> код :</v>
      </c>
      <c r="E90" s="28">
        <f>Общий!C90</f>
        <v>0</v>
      </c>
      <c r="F90" s="21"/>
      <c r="G90" s="56" t="s">
        <v>799</v>
      </c>
      <c r="H90" s="57"/>
      <c r="I90" s="58"/>
      <c r="J90" s="60">
        <v>1</v>
      </c>
      <c r="K90" s="16"/>
    </row>
    <row r="91" spans="1:11" ht="19.5" customHeight="1">
      <c r="A91" s="31">
        <f>IFERROR(VALUE(IF(LEN(IFERROR(VALUE(MID(TRIM(SUBSTITUTE(SUBSTITUTE(MID(Общий!B91,SEARCH("Karcher",Общий!B91,1),19),".",""),"-","")),SEARCH("Karcher",TRIM(SUBSTITUTE(SUBSTITUTE(MID(Общий!B91,SEARCH("Karcher",Общий!B91,1),19),".",""),"-","")),1)+8,8)),VALUE(LEFT(SUBSTITUTE(SUBSTITUTE(Общий!B91,".",""),"-",""),8))))=7,CONCATENATE(IFERROR(VALUE(MID(TRIM(SUBSTITUTE(SUBSTITUTE(MID(Общий!B91,SEARCH("Karcher",Общий!B91,1),19),".",""),"-","")),SEARCH("Karcher",TRIM(SUBSTITUTE(SUBSTITUTE(MID(Общий!B91,SEARCH("Karcher",Общий!B91,1),19),".",""),"-","")),1)+8,8)),VALUE(LEFT(SUBSTITUTE(SUBSTITUTE(Общий!B91,".",""),"-",""),8))),"0"),IFERROR(VALUE(MID(TRIM(SUBSTITUTE(SUBSTITUTE(MID(Общий!B91,SEARCH("Karcher",Общий!B91,1),19),".",""),"-","")),SEARCH("Karcher",TRIM(SUBSTITUTE(SUBSTITUTE(MID(Общий!B91,SEARCH("Karcher",Общий!B91,1),19),".",""),"-","")),1)+8,8)),VALUE(LEFT(SUBSTITUTE(SUBSTITUTE(Общий!B91,".",""),"-",""),8))))),0)</f>
        <v>66100260</v>
      </c>
      <c r="B91" s="25" t="str">
        <f>IFERROR(CONCATENATE(VALUE(IF(LEN(IFERROR(VALUE(MID(TRIM(SUBSTITUTE(SUBSTITUTE(MID(Общий!B91,SEARCH("Karcher",Общий!B91,1),19),".",""),"-","")),SEARCH("Karcher",TRIM(SUBSTITUTE(SUBSTITUTE(MID(Общий!B91,SEARCH("Karcher",Общий!B91,1),19),".",""),"-","")),1)+8,8)),VALUE(LEFT(SUBSTITUTE(SUBSTITUTE(Общий!B91,".",""),"-",""),8))))=7,CONCATENATE(IFERROR(VALUE(MID(TRIM(SUBSTITUTE(SUBSTITUTE(MID(Общий!B91,SEARCH("Karcher",Общий!B91,1),19),".",""),"-","")),SEARCH("Karcher",TRIM(SUBSTITUTE(SUBSTITUTE(MID(Общий!B91,SEARCH("Karcher",Общий!B91,1),19),".",""),"-","")),1)+8,8)),VALUE(LEFT(SUBSTITUTE(SUBSTITUTE(Общий!B91,".",""),"-",""),8))),"0"),IFERROR(VALUE(MID(TRIM(SUBSTITUTE(SUBSTITUTE(MID(Общий!B91,SEARCH("Karcher",Общий!B91,1),19),".",""),"-","")),SEARCH("Karcher",TRIM(SUBSTITUTE(SUBSTITUTE(MID(Общий!B91,SEARCH("Karcher",Общий!B91,1),19),".",""),"-","")),1)+8,8)),VALUE(LEFT(SUBSTITUTE(SUBSTITUTE(Общий!B91,".",""),"-",""),8)))))," ",Общий!C91),0)</f>
        <v>66100260 1</v>
      </c>
      <c r="C91" s="29" t="str">
        <f>Общий!A91</f>
        <v>83</v>
      </c>
      <c r="D91" s="27" t="str">
        <f>Общий!B91</f>
        <v>6610026 Набор угольных щеток Karcher код : 030733</v>
      </c>
      <c r="E91" s="28">
        <f>Общий!C91</f>
        <v>1</v>
      </c>
      <c r="F91" s="21"/>
      <c r="G91" s="56" t="s">
        <v>800</v>
      </c>
      <c r="H91" s="57"/>
      <c r="I91" s="58"/>
      <c r="J91" s="60">
        <v>6</v>
      </c>
      <c r="K91" s="16"/>
    </row>
    <row r="92" spans="1:11" ht="19.5" customHeight="1">
      <c r="A92" s="31">
        <f>IFERROR(VALUE(IF(LEN(IFERROR(VALUE(MID(TRIM(SUBSTITUTE(SUBSTITUTE(MID(Общий!B92,SEARCH("Karcher",Общий!B92,1),19),".",""),"-","")),SEARCH("Karcher",TRIM(SUBSTITUTE(SUBSTITUTE(MID(Общий!B92,SEARCH("Karcher",Общий!B92,1),19),".",""),"-","")),1)+8,8)),VALUE(LEFT(SUBSTITUTE(SUBSTITUTE(Общий!B92,".",""),"-",""),8))))=7,CONCATENATE(IFERROR(VALUE(MID(TRIM(SUBSTITUTE(SUBSTITUTE(MID(Общий!B92,SEARCH("Karcher",Общий!B92,1),19),".",""),"-","")),SEARCH("Karcher",TRIM(SUBSTITUTE(SUBSTITUTE(MID(Общий!B92,SEARCH("Karcher",Общий!B92,1),19),".",""),"-","")),1)+8,8)),VALUE(LEFT(SUBSTITUTE(SUBSTITUTE(Общий!B92,".",""),"-",""),8))),"0"),IFERROR(VALUE(MID(TRIM(SUBSTITUTE(SUBSTITUTE(MID(Общий!B92,SEARCH("Karcher",Общий!B92,1),19),".",""),"-","")),SEARCH("Karcher",TRIM(SUBSTITUTE(SUBSTITUTE(MID(Общий!B92,SEARCH("Karcher",Общий!B92,1),19),".",""),"-","")),1)+8,8)),VALUE(LEFT(SUBSTITUTE(SUBSTITUTE(Общий!B92,".",""),"-",""),8))))),0)</f>
        <v>0</v>
      </c>
      <c r="B92" s="25">
        <f>IFERROR(CONCATENATE(VALUE(IF(LEN(IFERROR(VALUE(MID(TRIM(SUBSTITUTE(SUBSTITUTE(MID(Общий!B92,SEARCH("Karcher",Общий!B92,1),19),".",""),"-","")),SEARCH("Karcher",TRIM(SUBSTITUTE(SUBSTITUTE(MID(Общий!B92,SEARCH("Karcher",Общий!B92,1),19),".",""),"-","")),1)+8,8)),VALUE(LEFT(SUBSTITUTE(SUBSTITUTE(Общий!B92,".",""),"-",""),8))))=7,CONCATENATE(IFERROR(VALUE(MID(TRIM(SUBSTITUTE(SUBSTITUTE(MID(Общий!B92,SEARCH("Karcher",Общий!B92,1),19),".",""),"-","")),SEARCH("Karcher",TRIM(SUBSTITUTE(SUBSTITUTE(MID(Общий!B92,SEARCH("Karcher",Общий!B92,1),19),".",""),"-","")),1)+8,8)),VALUE(LEFT(SUBSTITUTE(SUBSTITUTE(Общий!B92,".",""),"-",""),8))),"0"),IFERROR(VALUE(MID(TRIM(SUBSTITUTE(SUBSTITUTE(MID(Общий!B92,SEARCH("Karcher",Общий!B92,1),19),".",""),"-","")),SEARCH("Karcher",TRIM(SUBSTITUTE(SUBSTITUTE(MID(Общий!B92,SEARCH("Karcher",Общий!B92,1),19),".",""),"-","")),1)+8,8)),VALUE(LEFT(SUBSTITUTE(SUBSTITUTE(Общий!B92,".",""),"-",""),8)))))," ",Общий!C92),0)</f>
        <v>0</v>
      </c>
      <c r="C92" s="29" t="str">
        <f>Общий!A92</f>
        <v>84</v>
      </c>
      <c r="D92" s="27" t="str">
        <f>Общий!B92</f>
        <v xml:space="preserve"> код :</v>
      </c>
      <c r="E92" s="28">
        <f>Общий!C92</f>
        <v>0</v>
      </c>
      <c r="F92" s="21"/>
      <c r="G92" s="56" t="s">
        <v>801</v>
      </c>
      <c r="H92" s="57"/>
      <c r="I92" s="58"/>
      <c r="J92" s="60">
        <v>1</v>
      </c>
      <c r="K92" s="16"/>
    </row>
    <row r="93" spans="1:11" ht="19.5" customHeight="1">
      <c r="A93" s="31">
        <f>IFERROR(VALUE(IF(LEN(IFERROR(VALUE(MID(TRIM(SUBSTITUTE(SUBSTITUTE(MID(Общий!B93,SEARCH("Karcher",Общий!B93,1),19),".",""),"-","")),SEARCH("Karcher",TRIM(SUBSTITUTE(SUBSTITUTE(MID(Общий!B93,SEARCH("Karcher",Общий!B93,1),19),".",""),"-","")),1)+8,8)),VALUE(LEFT(SUBSTITUTE(SUBSTITUTE(Общий!B93,".",""),"-",""),8))))=7,CONCATENATE(IFERROR(VALUE(MID(TRIM(SUBSTITUTE(SUBSTITUTE(MID(Общий!B93,SEARCH("Karcher",Общий!B93,1),19),".",""),"-","")),SEARCH("Karcher",TRIM(SUBSTITUTE(SUBSTITUTE(MID(Общий!B93,SEARCH("Karcher",Общий!B93,1),19),".",""),"-","")),1)+8,8)),VALUE(LEFT(SUBSTITUTE(SUBSTITUTE(Общий!B93,".",""),"-",""),8))),"0"),IFERROR(VALUE(MID(TRIM(SUBSTITUTE(SUBSTITUTE(MID(Общий!B93,SEARCH("Karcher",Общий!B93,1),19),".",""),"-","")),SEARCH("Karcher",TRIM(SUBSTITUTE(SUBSTITUTE(MID(Общий!B93,SEARCH("Karcher",Общий!B93,1),19),".",""),"-","")),1)+8,8)),VALUE(LEFT(SUBSTITUTE(SUBSTITUTE(Общий!B93,".",""),"-",""),8))))),0)</f>
        <v>26427250</v>
      </c>
      <c r="B93" s="25" t="str">
        <f>IFERROR(CONCATENATE(VALUE(IF(LEN(IFERROR(VALUE(MID(TRIM(SUBSTITUTE(SUBSTITUTE(MID(Общий!B93,SEARCH("Karcher",Общий!B93,1),19),".",""),"-","")),SEARCH("Karcher",TRIM(SUBSTITUTE(SUBSTITUTE(MID(Общий!B93,SEARCH("Karcher",Общий!B93,1),19),".",""),"-","")),1)+8,8)),VALUE(LEFT(SUBSTITUTE(SUBSTITUTE(Общий!B93,".",""),"-",""),8))))=7,CONCATENATE(IFERROR(VALUE(MID(TRIM(SUBSTITUTE(SUBSTITUTE(MID(Общий!B93,SEARCH("Karcher",Общий!B93,1),19),".",""),"-","")),SEARCH("Karcher",TRIM(SUBSTITUTE(SUBSTITUTE(MID(Общий!B93,SEARCH("Karcher",Общий!B93,1),19),".",""),"-","")),1)+8,8)),VALUE(LEFT(SUBSTITUTE(SUBSTITUTE(Общий!B93,".",""),"-",""),8))),"0"),IFERROR(VALUE(MID(TRIM(SUBSTITUTE(SUBSTITUTE(MID(Общий!B93,SEARCH("Karcher",Общий!B93,1),19),".",""),"-","")),SEARCH("Karcher",TRIM(SUBSTITUTE(SUBSTITUTE(MID(Общий!B93,SEARCH("Karcher",Общий!B93,1),19),".",""),"-","")),1)+8,8)),VALUE(LEFT(SUBSTITUTE(SUBSTITUTE(Общий!B93,".",""),"-",""),8)))))," ",Общий!C93),0)</f>
        <v>26427250 5</v>
      </c>
      <c r="C93" s="29" t="str">
        <f>Общий!A93</f>
        <v>85</v>
      </c>
      <c r="D93" s="27" t="str">
        <f>Общий!B93</f>
        <v>Струйная трубка VP 145 (серия К4 - К5) Karcher 2.642-725 код : 000643</v>
      </c>
      <c r="E93" s="28">
        <f>Общий!C93</f>
        <v>5</v>
      </c>
      <c r="F93" s="21"/>
      <c r="G93" s="56" t="s">
        <v>802</v>
      </c>
      <c r="H93" s="57"/>
      <c r="I93" s="58"/>
      <c r="J93" s="60">
        <v>2</v>
      </c>
      <c r="K93" s="16"/>
    </row>
    <row r="94" spans="1:11" ht="19.5" customHeight="1">
      <c r="A94" s="31">
        <f>IFERROR(VALUE(IF(LEN(IFERROR(VALUE(MID(TRIM(SUBSTITUTE(SUBSTITUTE(MID(Общий!B94,SEARCH("Karcher",Общий!B94,1),19),".",""),"-","")),SEARCH("Karcher",TRIM(SUBSTITUTE(SUBSTITUTE(MID(Общий!B94,SEARCH("Karcher",Общий!B94,1),19),".",""),"-","")),1)+8,8)),VALUE(LEFT(SUBSTITUTE(SUBSTITUTE(Общий!B94,".",""),"-",""),8))))=7,CONCATENATE(IFERROR(VALUE(MID(TRIM(SUBSTITUTE(SUBSTITUTE(MID(Общий!B94,SEARCH("Karcher",Общий!B94,1),19),".",""),"-","")),SEARCH("Karcher",TRIM(SUBSTITUTE(SUBSTITUTE(MID(Общий!B94,SEARCH("Karcher",Общий!B94,1),19),".",""),"-","")),1)+8,8)),VALUE(LEFT(SUBSTITUTE(SUBSTITUTE(Общий!B94,".",""),"-",""),8))),"0"),IFERROR(VALUE(MID(TRIM(SUBSTITUTE(SUBSTITUTE(MID(Общий!B94,SEARCH("Karcher",Общий!B94,1),19),".",""),"-","")),SEARCH("Karcher",TRIM(SUBSTITUTE(SUBSTITUTE(MID(Общий!B94,SEARCH("Karcher",Общий!B94,1),19),".",""),"-","")),1)+8,8)),VALUE(LEFT(SUBSTITUTE(SUBSTITUTE(Общий!B94,".",""),"-",""),8))))),0)</f>
        <v>26427280</v>
      </c>
      <c r="B94" s="25" t="str">
        <f>IFERROR(CONCATENATE(VALUE(IF(LEN(IFERROR(VALUE(MID(TRIM(SUBSTITUTE(SUBSTITUTE(MID(Общий!B94,SEARCH("Karcher",Общий!B94,1),19),".",""),"-","")),SEARCH("Karcher",TRIM(SUBSTITUTE(SUBSTITUTE(MID(Общий!B94,SEARCH("Karcher",Общий!B94,1),19),".",""),"-","")),1)+8,8)),VALUE(LEFT(SUBSTITUTE(SUBSTITUTE(Общий!B94,".",""),"-",""),8))))=7,CONCATENATE(IFERROR(VALUE(MID(TRIM(SUBSTITUTE(SUBSTITUTE(MID(Общий!B94,SEARCH("Karcher",Общий!B94,1),19),".",""),"-","")),SEARCH("Karcher",TRIM(SUBSTITUTE(SUBSTITUTE(MID(Общий!B94,SEARCH("Karcher",Общий!B94,1),19),".",""),"-","")),1)+8,8)),VALUE(LEFT(SUBSTITUTE(SUBSTITUTE(Общий!B94,".",""),"-",""),8))),"0"),IFERROR(VALUE(MID(TRIM(SUBSTITUTE(SUBSTITUTE(MID(Общий!B94,SEARCH("Karcher",Общий!B94,1),19),".",""),"-","")),SEARCH("Karcher",TRIM(SUBSTITUTE(SUBSTITUTE(MID(Общий!B94,SEARCH("Karcher",Общий!B94,1),19),".",""),"-","")),1)+8,8)),VALUE(LEFT(SUBSTITUTE(SUBSTITUTE(Общий!B94,".",""),"-",""),8)))))," ",Общий!C94),0)</f>
        <v>26427280 4</v>
      </c>
      <c r="C94" s="29" t="str">
        <f>Общий!A94</f>
        <v>86</v>
      </c>
      <c r="D94" s="27" t="str">
        <f>Общий!B94</f>
        <v>Грязевая фреза DB145 Full Controll (серия К4 - К5) Karcher 2.642-728 код : 000625</v>
      </c>
      <c r="E94" s="28">
        <f>Общий!C94</f>
        <v>4</v>
      </c>
      <c r="F94" s="21"/>
      <c r="G94" s="56" t="s">
        <v>803</v>
      </c>
      <c r="H94" s="57"/>
      <c r="I94" s="58"/>
      <c r="J94" s="60">
        <v>2</v>
      </c>
      <c r="K94" s="16"/>
    </row>
    <row r="95" spans="1:11" ht="19.5" customHeight="1">
      <c r="A95" s="31">
        <f>IFERROR(VALUE(IF(LEN(IFERROR(VALUE(MID(TRIM(SUBSTITUTE(SUBSTITUTE(MID(Общий!B95,SEARCH("Karcher",Общий!B95,1),19),".",""),"-","")),SEARCH("Karcher",TRIM(SUBSTITUTE(SUBSTITUTE(MID(Общий!B95,SEARCH("Karcher",Общий!B95,1),19),".",""),"-","")),1)+8,8)),VALUE(LEFT(SUBSTITUTE(SUBSTITUTE(Общий!B95,".",""),"-",""),8))))=7,CONCATENATE(IFERROR(VALUE(MID(TRIM(SUBSTITUTE(SUBSTITUTE(MID(Общий!B95,SEARCH("Karcher",Общий!B95,1),19),".",""),"-","")),SEARCH("Karcher",TRIM(SUBSTITUTE(SUBSTITUTE(MID(Общий!B95,SEARCH("Karcher",Общий!B95,1),19),".",""),"-","")),1)+8,8)),VALUE(LEFT(SUBSTITUTE(SUBSTITUTE(Общий!B95,".",""),"-",""),8))),"0"),IFERROR(VALUE(MID(TRIM(SUBSTITUTE(SUBSTITUTE(MID(Общий!B95,SEARCH("Karcher",Общий!B95,1),19),".",""),"-","")),SEARCH("Karcher",TRIM(SUBSTITUTE(SUBSTITUTE(MID(Общий!B95,SEARCH("Karcher",Общий!B95,1),19),".",""),"-","")),1)+8,8)),VALUE(LEFT(SUBSTITUTE(SUBSTITUTE(Общий!B95,".",""),"-",""),8))))),0)</f>
        <v>26452700</v>
      </c>
      <c r="B95" s="25" t="str">
        <f>IFERROR(CONCATENATE(VALUE(IF(LEN(IFERROR(VALUE(MID(TRIM(SUBSTITUTE(SUBSTITUTE(MID(Общий!B95,SEARCH("Karcher",Общий!B95,1),19),".",""),"-","")),SEARCH("Karcher",TRIM(SUBSTITUTE(SUBSTITUTE(MID(Общий!B95,SEARCH("Karcher",Общий!B95,1),19),".",""),"-","")),1)+8,8)),VALUE(LEFT(SUBSTITUTE(SUBSTITUTE(Общий!B95,".",""),"-",""),8))))=7,CONCATENATE(IFERROR(VALUE(MID(TRIM(SUBSTITUTE(SUBSTITUTE(MID(Общий!B95,SEARCH("Karcher",Общий!B95,1),19),".",""),"-","")),SEARCH("Karcher",TRIM(SUBSTITUTE(SUBSTITUTE(MID(Общий!B95,SEARCH("Karcher",Общий!B95,1),19),".",""),"-","")),1)+8,8)),VALUE(LEFT(SUBSTITUTE(SUBSTITUTE(Общий!B95,".",""),"-",""),8))),"0"),IFERROR(VALUE(MID(TRIM(SUBSTITUTE(SUBSTITUTE(MID(Общий!B95,SEARCH("Karcher",Общий!B95,1),19),".",""),"-","")),SEARCH("Karcher",TRIM(SUBSTITUTE(SUBSTITUTE(MID(Общий!B95,SEARCH("Karcher",Общий!B95,1),19),".",""),"-","")),1)+8,8)),VALUE(LEFT(SUBSTITUTE(SUBSTITUTE(Общий!B95,".",""),"-",""),8)))))," ",Общий!C95),0)</f>
        <v>26452700 3</v>
      </c>
      <c r="C95" s="29" t="str">
        <f>Общий!A95</f>
        <v>87</v>
      </c>
      <c r="D95" s="27" t="str">
        <f>Общий!B95</f>
        <v>Металл. распылитель Premium Karcher 2.645-270 код : 020062</v>
      </c>
      <c r="E95" s="28">
        <f>Общий!C95</f>
        <v>3</v>
      </c>
      <c r="F95" s="21"/>
      <c r="G95" s="56" t="s">
        <v>804</v>
      </c>
      <c r="H95" s="57"/>
      <c r="I95" s="58"/>
      <c r="J95" s="60">
        <v>1</v>
      </c>
      <c r="K95" s="16"/>
    </row>
    <row r="96" spans="1:11" ht="19.5" customHeight="1">
      <c r="A96" s="31">
        <f>IFERROR(VALUE(IF(LEN(IFERROR(VALUE(MID(TRIM(SUBSTITUTE(SUBSTITUTE(MID(Общий!B96,SEARCH("Karcher",Общий!B96,1),19),".",""),"-","")),SEARCH("Karcher",TRIM(SUBSTITUTE(SUBSTITUTE(MID(Общий!B96,SEARCH("Karcher",Общий!B96,1),19),".",""),"-","")),1)+8,8)),VALUE(LEFT(SUBSTITUTE(SUBSTITUTE(Общий!B96,".",""),"-",""),8))))=7,CONCATENATE(IFERROR(VALUE(MID(TRIM(SUBSTITUTE(SUBSTITUTE(MID(Общий!B96,SEARCH("Karcher",Общий!B96,1),19),".",""),"-","")),SEARCH("Karcher",TRIM(SUBSTITUTE(SUBSTITUTE(MID(Общий!B96,SEARCH("Karcher",Общий!B96,1),19),".",""),"-","")),1)+8,8)),VALUE(LEFT(SUBSTITUTE(SUBSTITUTE(Общий!B96,".",""),"-",""),8))),"0"),IFERROR(VALUE(MID(TRIM(SUBSTITUTE(SUBSTITUTE(MID(Общий!B96,SEARCH("Karcher",Общий!B96,1),19),".",""),"-","")),SEARCH("Karcher",TRIM(SUBSTITUTE(SUBSTITUTE(MID(Общий!B96,SEARCH("Karcher",Общий!B96,1),19),".",""),"-","")),1)+8,8)),VALUE(LEFT(SUBSTITUTE(SUBSTITUTE(Общий!B96,".",""),"-",""),8))))),0)</f>
        <v>28630250</v>
      </c>
      <c r="B96" s="25" t="str">
        <f>IFERROR(CONCATENATE(VALUE(IF(LEN(IFERROR(VALUE(MID(TRIM(SUBSTITUTE(SUBSTITUTE(MID(Общий!B96,SEARCH("Karcher",Общий!B96,1),19),".",""),"-","")),SEARCH("Karcher",TRIM(SUBSTITUTE(SUBSTITUTE(MID(Общий!B96,SEARCH("Karcher",Общий!B96,1),19),".",""),"-","")),1)+8,8)),VALUE(LEFT(SUBSTITUTE(SUBSTITUTE(Общий!B96,".",""),"-",""),8))))=7,CONCATENATE(IFERROR(VALUE(MID(TRIM(SUBSTITUTE(SUBSTITUTE(MID(Общий!B96,SEARCH("Karcher",Общий!B96,1),19),".",""),"-","")),SEARCH("Karcher",TRIM(SUBSTITUTE(SUBSTITUTE(MID(Общий!B96,SEARCH("Karcher",Общий!B96,1),19),".",""),"-","")),1)+8,8)),VALUE(LEFT(SUBSTITUTE(SUBSTITUTE(Общий!B96,".",""),"-",""),8))),"0"),IFERROR(VALUE(MID(TRIM(SUBSTITUTE(SUBSTITUTE(MID(Общий!B96,SEARCH("Karcher",Общий!B96,1),19),".",""),"-","")),SEARCH("Karcher",TRIM(SUBSTITUTE(SUBSTITUTE(MID(Общий!B96,SEARCH("Karcher",Общий!B96,1),19),".",""),"-","")),1)+8,8)),VALUE(LEFT(SUBSTITUTE(SUBSTITUTE(Общий!B96,".",""),"-",""),8)))))," ",Общий!C96),0)</f>
        <v>28630250 5</v>
      </c>
      <c r="C96" s="29" t="str">
        <f>Общий!A96</f>
        <v>88</v>
      </c>
      <c r="D96" s="27" t="str">
        <f>Общий!B96</f>
        <v>Насадка для мойки окон для пароочистителей SC, кроме паропылесосов Karcher 2.863-025 код : 001499</v>
      </c>
      <c r="E96" s="28">
        <f>Общий!C96</f>
        <v>5</v>
      </c>
      <c r="F96" s="21"/>
      <c r="G96" s="56" t="s">
        <v>805</v>
      </c>
      <c r="H96" s="57"/>
      <c r="I96" s="58"/>
      <c r="J96" s="60">
        <v>1</v>
      </c>
      <c r="K96" s="16"/>
    </row>
    <row r="97" spans="1:11">
      <c r="A97" s="31">
        <f>IFERROR(VALUE(IF(LEN(IFERROR(VALUE(MID(TRIM(SUBSTITUTE(SUBSTITUTE(MID(Общий!B97,SEARCH("Karcher",Общий!B97,1),19),".",""),"-","")),SEARCH("Karcher",TRIM(SUBSTITUTE(SUBSTITUTE(MID(Общий!B97,SEARCH("Karcher",Общий!B97,1),19),".",""),"-","")),1)+8,8)),VALUE(LEFT(SUBSTITUTE(SUBSTITUTE(Общий!B97,".",""),"-",""),8))))=7,CONCATENATE(IFERROR(VALUE(MID(TRIM(SUBSTITUTE(SUBSTITUTE(MID(Общий!B97,SEARCH("Karcher",Общий!B97,1),19),".",""),"-","")),SEARCH("Karcher",TRIM(SUBSTITUTE(SUBSTITUTE(MID(Общий!B97,SEARCH("Karcher",Общий!B97,1),19),".",""),"-","")),1)+8,8)),VALUE(LEFT(SUBSTITUTE(SUBSTITUTE(Общий!B97,".",""),"-",""),8))),"0"),IFERROR(VALUE(MID(TRIM(SUBSTITUTE(SUBSTITUTE(MID(Общий!B97,SEARCH("Karcher",Общий!B97,1),19),".",""),"-","")),SEARCH("Karcher",TRIM(SUBSTITUTE(SUBSTITUTE(MID(Общий!B97,SEARCH("Karcher",Общий!B97,1),19),".",""),"-","")),1)+8,8)),VALUE(LEFT(SUBSTITUTE(SUBSTITUTE(Общий!B97,".",""),"-",""),8))))),0)</f>
        <v>44730320</v>
      </c>
      <c r="B97" s="25" t="str">
        <f>IFERROR(CONCATENATE(VALUE(IF(LEN(IFERROR(VALUE(MID(TRIM(SUBSTITUTE(SUBSTITUTE(MID(Общий!B97,SEARCH("Karcher",Общий!B97,1),19),".",""),"-","")),SEARCH("Karcher",TRIM(SUBSTITUTE(SUBSTITUTE(MID(Общий!B97,SEARCH("Karcher",Общий!B97,1),19),".",""),"-","")),1)+8,8)),VALUE(LEFT(SUBSTITUTE(SUBSTITUTE(Общий!B97,".",""),"-",""),8))))=7,CONCATENATE(IFERROR(VALUE(MID(TRIM(SUBSTITUTE(SUBSTITUTE(MID(Общий!B97,SEARCH("Karcher",Общий!B97,1),19),".",""),"-","")),SEARCH("Karcher",TRIM(SUBSTITUTE(SUBSTITUTE(MID(Общий!B97,SEARCH("Karcher",Общий!B97,1),19),".",""),"-","")),1)+8,8)),VALUE(LEFT(SUBSTITUTE(SUBSTITUTE(Общий!B97,".",""),"-",""),8))),"0"),IFERROR(VALUE(MID(TRIM(SUBSTITUTE(SUBSTITUTE(MID(Общий!B97,SEARCH("Karcher",Общий!B97,1),19),".",""),"-","")),SEARCH("Karcher",TRIM(SUBSTITUTE(SUBSTITUTE(MID(Общий!B97,SEARCH("Karcher",Общий!B97,1),19),".",""),"-","")),1)+8,8)),VALUE(LEFT(SUBSTITUTE(SUBSTITUTE(Общий!B97,".",""),"-",""),8)))))," ",Общий!C97),0)</f>
        <v>44730320 1</v>
      </c>
      <c r="C97" s="29" t="str">
        <f>Общий!A97</f>
        <v>89</v>
      </c>
      <c r="D97" s="27" t="str">
        <f>Общий!B97</f>
        <v>4473032 Топливный насос только для замены Karcher *0* код : 005347</v>
      </c>
      <c r="E97" s="28">
        <f>Общий!C97</f>
        <v>1</v>
      </c>
      <c r="F97" s="21"/>
      <c r="G97" s="44"/>
      <c r="H97" s="44"/>
      <c r="I97" s="44"/>
      <c r="J97" s="35"/>
      <c r="K97" s="16"/>
    </row>
    <row r="98" spans="1:11">
      <c r="A98" s="31">
        <f>IFERROR(VALUE(IF(LEN(IFERROR(VALUE(MID(TRIM(SUBSTITUTE(SUBSTITUTE(MID(Общий!B98,SEARCH("Karcher",Общий!B98,1),19),".",""),"-","")),SEARCH("Karcher",TRIM(SUBSTITUTE(SUBSTITUTE(MID(Общий!B98,SEARCH("Karcher",Общий!B98,1),19),".",""),"-","")),1)+8,8)),VALUE(LEFT(SUBSTITUTE(SUBSTITUTE(Общий!B98,".",""),"-",""),8))))=7,CONCATENATE(IFERROR(VALUE(MID(TRIM(SUBSTITUTE(SUBSTITUTE(MID(Общий!B98,SEARCH("Karcher",Общий!B98,1),19),".",""),"-","")),SEARCH("Karcher",TRIM(SUBSTITUTE(SUBSTITUTE(MID(Общий!B98,SEARCH("Karcher",Общий!B98,1),19),".",""),"-","")),1)+8,8)),VALUE(LEFT(SUBSTITUTE(SUBSTITUTE(Общий!B98,".",""),"-",""),8))),"0"),IFERROR(VALUE(MID(TRIM(SUBSTITUTE(SUBSTITUTE(MID(Общий!B98,SEARCH("Karcher",Общий!B98,1),19),".",""),"-","")),SEARCH("Karcher",TRIM(SUBSTITUTE(SUBSTITUTE(MID(Общий!B98,SEARCH("Karcher",Общий!B98,1),19),".",""),"-","")),1)+8,8)),VALUE(LEFT(SUBSTITUTE(SUBSTITUTE(Общий!B98,".",""),"-",""),8))))),0)</f>
        <v>46831280</v>
      </c>
      <c r="B98" s="25" t="str">
        <f>IFERROR(CONCATENATE(VALUE(IF(LEN(IFERROR(VALUE(MID(TRIM(SUBSTITUTE(SUBSTITUTE(MID(Общий!B98,SEARCH("Karcher",Общий!B98,1),19),".",""),"-","")),SEARCH("Karcher",TRIM(SUBSTITUTE(SUBSTITUTE(MID(Общий!B98,SEARCH("Karcher",Общий!B98,1),19),".",""),"-","")),1)+8,8)),VALUE(LEFT(SUBSTITUTE(SUBSTITUTE(Общий!B98,".",""),"-",""),8))))=7,CONCATENATE(IFERROR(VALUE(MID(TRIM(SUBSTITUTE(SUBSTITUTE(MID(Общий!B98,SEARCH("Karcher",Общий!B98,1),19),".",""),"-","")),SEARCH("Karcher",TRIM(SUBSTITUTE(SUBSTITUTE(MID(Общий!B98,SEARCH("Karcher",Общий!B98,1),19),".",""),"-","")),1)+8,8)),VALUE(LEFT(SUBSTITUTE(SUBSTITUTE(Общий!B98,".",""),"-",""),8))),"0"),IFERROR(VALUE(MID(TRIM(SUBSTITUTE(SUBSTITUTE(MID(Общий!B98,SEARCH("Karcher",Общий!B98,1),19),".",""),"-","")),SEARCH("Karcher",TRIM(SUBSTITUTE(SUBSTITUTE(MID(Общий!B98,SEARCH("Karcher",Общий!B98,1),19),".",""),"-","")),1)+8,8)),VALUE(LEFT(SUBSTITUTE(SUBSTITUTE(Общий!B98,".",""),"-",""),8)))))," ",Общий!C98),0)</f>
        <v>46831280 1</v>
      </c>
      <c r="C98" s="29" t="str">
        <f>Общий!A98</f>
        <v>90</v>
      </c>
      <c r="D98" s="27" t="str">
        <f>Общий!B98</f>
        <v>Силовая электроника КМ85/50R Karcher 4.683-128 код : 030048</v>
      </c>
      <c r="E98" s="28">
        <f>Общий!C98</f>
        <v>1</v>
      </c>
      <c r="F98" s="21"/>
      <c r="G98" s="44"/>
      <c r="H98" s="44"/>
      <c r="I98" s="44"/>
      <c r="J98" s="35"/>
      <c r="K98" s="16"/>
    </row>
    <row r="99" spans="1:11">
      <c r="A99" s="31">
        <f>IFERROR(VALUE(IF(LEN(IFERROR(VALUE(MID(TRIM(SUBSTITUTE(SUBSTITUTE(MID(Общий!B99,SEARCH("Karcher",Общий!B99,1),19),".",""),"-","")),SEARCH("Karcher",TRIM(SUBSTITUTE(SUBSTITUTE(MID(Общий!B99,SEARCH("Karcher",Общий!B99,1),19),".",""),"-","")),1)+8,8)),VALUE(LEFT(SUBSTITUTE(SUBSTITUTE(Общий!B99,".",""),"-",""),8))))=7,CONCATENATE(IFERROR(VALUE(MID(TRIM(SUBSTITUTE(SUBSTITUTE(MID(Общий!B99,SEARCH("Karcher",Общий!B99,1),19),".",""),"-","")),SEARCH("Karcher",TRIM(SUBSTITUTE(SUBSTITUTE(MID(Общий!B99,SEARCH("Karcher",Общий!B99,1),19),".",""),"-","")),1)+8,8)),VALUE(LEFT(SUBSTITUTE(SUBSTITUTE(Общий!B99,".",""),"-",""),8))),"0"),IFERROR(VALUE(MID(TRIM(SUBSTITUTE(SUBSTITUTE(MID(Общий!B99,SEARCH("Karcher",Общий!B99,1),19),".",""),"-","")),SEARCH("Karcher",TRIM(SUBSTITUTE(SUBSTITUTE(MID(Общий!B99,SEARCH("Karcher",Общий!B99,1),19),".",""),"-","")),1)+8,8)),VALUE(LEFT(SUBSTITUTE(SUBSTITUTE(Общий!B99,".",""),"-",""),8))))),0)</f>
        <v>47441680</v>
      </c>
      <c r="B99" s="25" t="str">
        <f>IFERROR(CONCATENATE(VALUE(IF(LEN(IFERROR(VALUE(MID(TRIM(SUBSTITUTE(SUBSTITUTE(MID(Общий!B99,SEARCH("Karcher",Общий!B99,1),19),".",""),"-","")),SEARCH("Karcher",TRIM(SUBSTITUTE(SUBSTITUTE(MID(Общий!B99,SEARCH("Karcher",Общий!B99,1),19),".",""),"-","")),1)+8,8)),VALUE(LEFT(SUBSTITUTE(SUBSTITUTE(Общий!B99,".",""),"-",""),8))))=7,CONCATENATE(IFERROR(VALUE(MID(TRIM(SUBSTITUTE(SUBSTITUTE(MID(Общий!B99,SEARCH("Karcher",Общий!B99,1),19),".",""),"-","")),SEARCH("Karcher",TRIM(SUBSTITUTE(SUBSTITUTE(MID(Общий!B99,SEARCH("Karcher",Общий!B99,1),19),".",""),"-","")),1)+8,8)),VALUE(LEFT(SUBSTITUTE(SUBSTITUTE(Общий!B99,".",""),"-",""),8))),"0"),IFERROR(VALUE(MID(TRIM(SUBSTITUTE(SUBSTITUTE(MID(Общий!B99,SEARCH("Karcher",Общий!B99,1),19),".",""),"-","")),SEARCH("Karcher",TRIM(SUBSTITUTE(SUBSTITUTE(MID(Общий!B99,SEARCH("Karcher",Общий!B99,1),19),".",""),"-","")),1)+8,8)),VALUE(LEFT(SUBSTITUTE(SUBSTITUTE(Общий!B99,".",""),"-",""),8)))))," ",Общий!C99),0)</f>
        <v>47441680 5</v>
      </c>
      <c r="C99" s="29" t="str">
        <f>Общий!A99</f>
        <v>91</v>
      </c>
      <c r="D99" s="27" t="str">
        <f>Общий!B99</f>
        <v>4744168 Выключатель HD5/12.6/13.7/18      *5* код : 005151</v>
      </c>
      <c r="E99" s="28">
        <f>Общий!C99</f>
        <v>5</v>
      </c>
      <c r="F99" s="21"/>
      <c r="G99" s="44"/>
      <c r="H99" s="44"/>
      <c r="I99" s="44"/>
      <c r="J99" s="35"/>
      <c r="K99" s="16"/>
    </row>
    <row r="100" spans="1:11">
      <c r="A100" s="31">
        <f>IFERROR(VALUE(IF(LEN(IFERROR(VALUE(MID(TRIM(SUBSTITUTE(SUBSTITUTE(MID(Общий!B100,SEARCH("Karcher",Общий!B100,1),19),".",""),"-","")),SEARCH("Karcher",TRIM(SUBSTITUTE(SUBSTITUTE(MID(Общий!B100,SEARCH("Karcher",Общий!B100,1),19),".",""),"-","")),1)+8,8)),VALUE(LEFT(SUBSTITUTE(SUBSTITUTE(Общий!B100,".",""),"-",""),8))))=7,CONCATENATE(IFERROR(VALUE(MID(TRIM(SUBSTITUTE(SUBSTITUTE(MID(Общий!B100,SEARCH("Karcher",Общий!B100,1),19),".",""),"-","")),SEARCH("Karcher",TRIM(SUBSTITUTE(SUBSTITUTE(MID(Общий!B100,SEARCH("Karcher",Общий!B100,1),19),".",""),"-","")),1)+8,8)),VALUE(LEFT(SUBSTITUTE(SUBSTITUTE(Общий!B100,".",""),"-",""),8))),"0"),IFERROR(VALUE(MID(TRIM(SUBSTITUTE(SUBSTITUTE(MID(Общий!B100,SEARCH("Karcher",Общий!B100,1),19),".",""),"-","")),SEARCH("Karcher",TRIM(SUBSTITUTE(SUBSTITUTE(MID(Общий!B100,SEARCH("Karcher",Общий!B100,1),19),".",""),"-","")),1)+8,8)),VALUE(LEFT(SUBSTITUTE(SUBSTITUTE(Общий!B100,".",""),"-",""),8))))),0)</f>
        <v>63650560</v>
      </c>
      <c r="B100" s="25" t="str">
        <f>IFERROR(CONCATENATE(VALUE(IF(LEN(IFERROR(VALUE(MID(TRIM(SUBSTITUTE(SUBSTITUTE(MID(Общий!B100,SEARCH("Karcher",Общий!B100,1),19),".",""),"-","")),SEARCH("Karcher",TRIM(SUBSTITUTE(SUBSTITUTE(MID(Общий!B100,SEARCH("Karcher",Общий!B100,1),19),".",""),"-","")),1)+8,8)),VALUE(LEFT(SUBSTITUTE(SUBSTITUTE(Общий!B100,".",""),"-",""),8))))=7,CONCATENATE(IFERROR(VALUE(MID(TRIM(SUBSTITUTE(SUBSTITUTE(MID(Общий!B100,SEARCH("Karcher",Общий!B100,1),19),".",""),"-","")),SEARCH("Karcher",TRIM(SUBSTITUTE(SUBSTITUTE(MID(Общий!B100,SEARCH("Karcher",Общий!B100,1),19),".",""),"-","")),1)+8,8)),VALUE(LEFT(SUBSTITUTE(SUBSTITUTE(Общий!B100,".",""),"-",""),8))),"0"),IFERROR(VALUE(MID(TRIM(SUBSTITUTE(SUBSTITUTE(MID(Общий!B100,SEARCH("Karcher",Общий!B100,1),19),".",""),"-","")),SEARCH("Karcher",TRIM(SUBSTITUTE(SUBSTITUTE(MID(Общий!B100,SEARCH("Karcher",Общий!B100,1),19),".",""),"-","")),1)+8,8)),VALUE(LEFT(SUBSTITUTE(SUBSTITUTE(Общий!B100,".",""),"-",""),8)))))," ",Общий!C100),0)</f>
        <v>63650560 3</v>
      </c>
      <c r="C100" s="29" t="str">
        <f>Общий!A100</f>
        <v>92</v>
      </c>
      <c r="D100" s="27" t="str">
        <f>Общий!B100</f>
        <v>6365056 Сальник Karcher код : 005197</v>
      </c>
      <c r="E100" s="28">
        <f>Общий!C100</f>
        <v>3</v>
      </c>
      <c r="F100" s="21"/>
      <c r="G100" s="44"/>
      <c r="H100" s="44"/>
      <c r="I100" s="44"/>
      <c r="J100" s="35"/>
      <c r="K100" s="16"/>
    </row>
    <row r="101" spans="1:11">
      <c r="A101" s="31">
        <f>IFERROR(VALUE(IF(LEN(IFERROR(VALUE(MID(TRIM(SUBSTITUTE(SUBSTITUTE(MID(Общий!B101,SEARCH("Karcher",Общий!B101,1),19),".",""),"-","")),SEARCH("Karcher",TRIM(SUBSTITUTE(SUBSTITUTE(MID(Общий!B101,SEARCH("Karcher",Общий!B101,1),19),".",""),"-","")),1)+8,8)),VALUE(LEFT(SUBSTITUTE(SUBSTITUTE(Общий!B101,".",""),"-",""),8))))=7,CONCATENATE(IFERROR(VALUE(MID(TRIM(SUBSTITUTE(SUBSTITUTE(MID(Общий!B101,SEARCH("Karcher",Общий!B101,1),19),".",""),"-","")),SEARCH("Karcher",TRIM(SUBSTITUTE(SUBSTITUTE(MID(Общий!B101,SEARCH("Karcher",Общий!B101,1),19),".",""),"-","")),1)+8,8)),VALUE(LEFT(SUBSTITUTE(SUBSTITUTE(Общий!B101,".",""),"-",""),8))),"0"),IFERROR(VALUE(MID(TRIM(SUBSTITUTE(SUBSTITUTE(MID(Общий!B101,SEARCH("Karcher",Общий!B101,1),19),".",""),"-","")),SEARCH("Karcher",TRIM(SUBSTITUTE(SUBSTITUTE(MID(Общий!B101,SEARCH("Karcher",Общий!B101,1),19),".",""),"-","")),1)+8,8)),VALUE(LEFT(SUBSTITUTE(SUBSTITUTE(Общий!B101,".",""),"-",""),8))))),0)</f>
        <v>63924740</v>
      </c>
      <c r="B101" s="25" t="str">
        <f>IFERROR(CONCATENATE(VALUE(IF(LEN(IFERROR(VALUE(MID(TRIM(SUBSTITUTE(SUBSTITUTE(MID(Общий!B101,SEARCH("Karcher",Общий!B101,1),19),".",""),"-","")),SEARCH("Karcher",TRIM(SUBSTITUTE(SUBSTITUTE(MID(Общий!B101,SEARCH("Karcher",Общий!B101,1),19),".",""),"-","")),1)+8,8)),VALUE(LEFT(SUBSTITUTE(SUBSTITUTE(Общий!B101,".",""),"-",""),8))))=7,CONCATENATE(IFERROR(VALUE(MID(TRIM(SUBSTITUTE(SUBSTITUTE(MID(Общий!B101,SEARCH("Karcher",Общий!B101,1),19),".",""),"-","")),SEARCH("Karcher",TRIM(SUBSTITUTE(SUBSTITUTE(MID(Общий!B101,SEARCH("Karcher",Общий!B101,1),19),".",""),"-","")),1)+8,8)),VALUE(LEFT(SUBSTITUTE(SUBSTITUTE(Общий!B101,".",""),"-",""),8))),"0"),IFERROR(VALUE(MID(TRIM(SUBSTITUTE(SUBSTITUTE(MID(Общий!B101,SEARCH("Karcher",Общий!B101,1),19),".",""),"-","")),SEARCH("Karcher",TRIM(SUBSTITUTE(SUBSTITUTE(MID(Общий!B101,SEARCH("Karcher",Общий!B101,1),19),".",""),"-","")),1)+8,8)),VALUE(LEFT(SUBSTITUTE(SUBSTITUTE(Общий!B101,".",""),"-",""),8)))))," ",Общий!C101),0)</f>
        <v>63924740 1</v>
      </c>
      <c r="C101" s="29" t="str">
        <f>Общий!A101</f>
        <v>93</v>
      </c>
      <c r="D101" s="27" t="str">
        <f>Общий!B101</f>
        <v>6392474 Всасывающий шланг маслостойкий DN 38 Karcher *1* код : 030829</v>
      </c>
      <c r="E101" s="28">
        <f>Общий!C101</f>
        <v>1</v>
      </c>
      <c r="F101" s="21"/>
      <c r="G101" s="44"/>
      <c r="H101" s="44"/>
      <c r="I101" s="44"/>
      <c r="J101" s="35"/>
      <c r="K101" s="16"/>
    </row>
    <row r="102" spans="1:11">
      <c r="A102" s="31">
        <f>IFERROR(VALUE(IF(LEN(IFERROR(VALUE(MID(TRIM(SUBSTITUTE(SUBSTITUTE(MID(Общий!B102,SEARCH("Karcher",Общий!B102,1),19),".",""),"-","")),SEARCH("Karcher",TRIM(SUBSTITUTE(SUBSTITUTE(MID(Общий!B102,SEARCH("Karcher",Общий!B102,1),19),".",""),"-","")),1)+8,8)),VALUE(LEFT(SUBSTITUTE(SUBSTITUTE(Общий!B102,".",""),"-",""),8))))=7,CONCATENATE(IFERROR(VALUE(MID(TRIM(SUBSTITUTE(SUBSTITUTE(MID(Общий!B102,SEARCH("Karcher",Общий!B102,1),19),".",""),"-","")),SEARCH("Karcher",TRIM(SUBSTITUTE(SUBSTITUTE(MID(Общий!B102,SEARCH("Karcher",Общий!B102,1),19),".",""),"-","")),1)+8,8)),VALUE(LEFT(SUBSTITUTE(SUBSTITUTE(Общий!B102,".",""),"-",""),8))),"0"),IFERROR(VALUE(MID(TRIM(SUBSTITUTE(SUBSTITUTE(MID(Общий!B102,SEARCH("Karcher",Общий!B102,1),19),".",""),"-","")),SEARCH("Karcher",TRIM(SUBSTITUTE(SUBSTITUTE(MID(Общий!B102,SEARCH("Karcher",Общий!B102,1),19),".",""),"-","")),1)+8,8)),VALUE(LEFT(SUBSTITUTE(SUBSTITUTE(Общий!B102,".",""),"-",""),8))))),0)</f>
        <v>66319460</v>
      </c>
      <c r="B102" s="25" t="str">
        <f>IFERROR(CONCATENATE(VALUE(IF(LEN(IFERROR(VALUE(MID(TRIM(SUBSTITUTE(SUBSTITUTE(MID(Общий!B102,SEARCH("Karcher",Общий!B102,1),19),".",""),"-","")),SEARCH("Karcher",TRIM(SUBSTITUTE(SUBSTITUTE(MID(Общий!B102,SEARCH("Karcher",Общий!B102,1),19),".",""),"-","")),1)+8,8)),VALUE(LEFT(SUBSTITUTE(SUBSTITUTE(Общий!B102,".",""),"-",""),8))))=7,CONCATENATE(IFERROR(VALUE(MID(TRIM(SUBSTITUTE(SUBSTITUTE(MID(Общий!B102,SEARCH("Karcher",Общий!B102,1),19),".",""),"-","")),SEARCH("Karcher",TRIM(SUBSTITUTE(SUBSTITUTE(MID(Общий!B102,SEARCH("Karcher",Общий!B102,1),19),".",""),"-","")),1)+8,8)),VALUE(LEFT(SUBSTITUTE(SUBSTITUTE(Общий!B102,".",""),"-",""),8))),"0"),IFERROR(VALUE(MID(TRIM(SUBSTITUTE(SUBSTITUTE(MID(Общий!B102,SEARCH("Karcher",Общий!B102,1),19),".",""),"-","")),SEARCH("Karcher",TRIM(SUBSTITUTE(SUBSTITUTE(MID(Общий!B102,SEARCH("Karcher",Общий!B102,1),19),".",""),"-","")),1)+8,8)),VALUE(LEFT(SUBSTITUTE(SUBSTITUTE(Общий!B102,".",""),"-",""),8)))))," ",Общий!C102),0)</f>
        <v>66319460 1</v>
      </c>
      <c r="C102" s="29" t="str">
        <f>Общий!A102</f>
        <v>94</v>
      </c>
      <c r="D102" s="27" t="str">
        <f>Общий!B102</f>
        <v>6631946 Микровыкл Karcher К5,20   *2* код : 005019</v>
      </c>
      <c r="E102" s="28">
        <f>Общий!C102</f>
        <v>1</v>
      </c>
      <c r="F102" s="21"/>
      <c r="G102" s="44"/>
      <c r="H102" s="44"/>
      <c r="I102" s="44"/>
      <c r="J102" s="35"/>
      <c r="K102" s="16"/>
    </row>
    <row r="103" spans="1:11">
      <c r="A103" s="31">
        <f>IFERROR(VALUE(IF(LEN(IFERROR(VALUE(MID(TRIM(SUBSTITUTE(SUBSTITUTE(MID(Общий!B103,SEARCH("Karcher",Общий!B103,1),19),".",""),"-","")),SEARCH("Karcher",TRIM(SUBSTITUTE(SUBSTITUTE(MID(Общий!B103,SEARCH("Karcher",Общий!B103,1),19),".",""),"-","")),1)+8,8)),VALUE(LEFT(SUBSTITUTE(SUBSTITUTE(Общий!B103,".",""),"-",""),8))))=7,CONCATENATE(IFERROR(VALUE(MID(TRIM(SUBSTITUTE(SUBSTITUTE(MID(Общий!B103,SEARCH("Karcher",Общий!B103,1),19),".",""),"-","")),SEARCH("Karcher",TRIM(SUBSTITUTE(SUBSTITUTE(MID(Общий!B103,SEARCH("Karcher",Общий!B103,1),19),".",""),"-","")),1)+8,8)),VALUE(LEFT(SUBSTITUTE(SUBSTITUTE(Общий!B103,".",""),"-",""),8))),"0"),IFERROR(VALUE(MID(TRIM(SUBSTITUTE(SUBSTITUTE(MID(Общий!B103,SEARCH("Karcher",Общий!B103,1),19),".",""),"-","")),SEARCH("Karcher",TRIM(SUBSTITUTE(SUBSTITUTE(MID(Общий!B103,SEARCH("Karcher",Общий!B103,1),19),".",""),"-","")),1)+8,8)),VALUE(LEFT(SUBSTITUTE(SUBSTITUTE(Общий!B103,".",""),"-",""),8))))),0)</f>
        <v>90020100</v>
      </c>
      <c r="B103" s="25" t="str">
        <f>IFERROR(CONCATENATE(VALUE(IF(LEN(IFERROR(VALUE(MID(TRIM(SUBSTITUTE(SUBSTITUTE(MID(Общий!B103,SEARCH("Karcher",Общий!B103,1),19),".",""),"-","")),SEARCH("Karcher",TRIM(SUBSTITUTE(SUBSTITUTE(MID(Общий!B103,SEARCH("Karcher",Общий!B103,1),19),".",""),"-","")),1)+8,8)),VALUE(LEFT(SUBSTITUTE(SUBSTITUTE(Общий!B103,".",""),"-",""),8))))=7,CONCATENATE(IFERROR(VALUE(MID(TRIM(SUBSTITUTE(SUBSTITUTE(MID(Общий!B103,SEARCH("Karcher",Общий!B103,1),19),".",""),"-","")),SEARCH("Karcher",TRIM(SUBSTITUTE(SUBSTITUTE(MID(Общий!B103,SEARCH("Karcher",Общий!B103,1),19),".",""),"-","")),1)+8,8)),VALUE(LEFT(SUBSTITUTE(SUBSTITUTE(Общий!B103,".",""),"-",""),8))),"0"),IFERROR(VALUE(MID(TRIM(SUBSTITUTE(SUBSTITUTE(MID(Общий!B103,SEARCH("Karcher",Общий!B103,1),19),".",""),"-","")),SEARCH("Karcher",TRIM(SUBSTITUTE(SUBSTITUTE(MID(Общий!B103,SEARCH("Karcher",Общий!B103,1),19),".",""),"-","")),1)+8,8)),VALUE(LEFT(SUBSTITUTE(SUBSTITUTE(Общий!B103,".",""),"-",""),8)))))," ",Общий!C103),0)</f>
        <v>90020100 1</v>
      </c>
      <c r="C103" s="29" t="str">
        <f>Общий!A103</f>
        <v>95</v>
      </c>
      <c r="D103" s="27" t="str">
        <f>Общий!B103</f>
        <v>9002010 Запчасть Karcher *3* код : 005251</v>
      </c>
      <c r="E103" s="28">
        <f>Общий!C103</f>
        <v>1</v>
      </c>
      <c r="F103" s="21"/>
      <c r="G103" s="44"/>
      <c r="H103" s="44"/>
      <c r="I103" s="44"/>
      <c r="J103" s="35"/>
      <c r="K103" s="16"/>
    </row>
    <row r="104" spans="1:11">
      <c r="A104" s="31">
        <f>IFERROR(VALUE(IF(LEN(IFERROR(VALUE(MID(TRIM(SUBSTITUTE(SUBSTITUTE(MID(Общий!B104,SEARCH("Karcher",Общий!B104,1),19),".",""),"-","")),SEARCH("Karcher",TRIM(SUBSTITUTE(SUBSTITUTE(MID(Общий!B104,SEARCH("Karcher",Общий!B104,1),19),".",""),"-","")),1)+8,8)),VALUE(LEFT(SUBSTITUTE(SUBSTITUTE(Общий!B104,".",""),"-",""),8))))=7,CONCATENATE(IFERROR(VALUE(MID(TRIM(SUBSTITUTE(SUBSTITUTE(MID(Общий!B104,SEARCH("Karcher",Общий!B104,1),19),".",""),"-","")),SEARCH("Karcher",TRIM(SUBSTITUTE(SUBSTITUTE(MID(Общий!B104,SEARCH("Karcher",Общий!B104,1),19),".",""),"-","")),1)+8,8)),VALUE(LEFT(SUBSTITUTE(SUBSTITUTE(Общий!B104,".",""),"-",""),8))),"0"),IFERROR(VALUE(MID(TRIM(SUBSTITUTE(SUBSTITUTE(MID(Общий!B104,SEARCH("Karcher",Общий!B104,1),19),".",""),"-","")),SEARCH("Karcher",TRIM(SUBSTITUTE(SUBSTITUTE(MID(Общий!B104,SEARCH("Karcher",Общий!B104,1),19),".",""),"-","")),1)+8,8)),VALUE(LEFT(SUBSTITUTE(SUBSTITUTE(Общий!B104,".",""),"-",""),8))))),0)</f>
        <v>90020110</v>
      </c>
      <c r="B104" s="25" t="str">
        <f>IFERROR(CONCATENATE(VALUE(IF(LEN(IFERROR(VALUE(MID(TRIM(SUBSTITUTE(SUBSTITUTE(MID(Общий!B104,SEARCH("Karcher",Общий!B104,1),19),".",""),"-","")),SEARCH("Karcher",TRIM(SUBSTITUTE(SUBSTITUTE(MID(Общий!B104,SEARCH("Karcher",Общий!B104,1),19),".",""),"-","")),1)+8,8)),VALUE(LEFT(SUBSTITUTE(SUBSTITUTE(Общий!B104,".",""),"-",""),8))))=7,CONCATENATE(IFERROR(VALUE(MID(TRIM(SUBSTITUTE(SUBSTITUTE(MID(Общий!B104,SEARCH("Karcher",Общий!B104,1),19),".",""),"-","")),SEARCH("Karcher",TRIM(SUBSTITUTE(SUBSTITUTE(MID(Общий!B104,SEARCH("Karcher",Общий!B104,1),19),".",""),"-","")),1)+8,8)),VALUE(LEFT(SUBSTITUTE(SUBSTITUTE(Общий!B104,".",""),"-",""),8))),"0"),IFERROR(VALUE(MID(TRIM(SUBSTITUTE(SUBSTITUTE(MID(Общий!B104,SEARCH("Karcher",Общий!B104,1),19),".",""),"-","")),SEARCH("Karcher",TRIM(SUBSTITUTE(SUBSTITUTE(MID(Общий!B104,SEARCH("Karcher",Общий!B104,1),19),".",""),"-","")),1)+8,8)),VALUE(LEFT(SUBSTITUTE(SUBSTITUTE(Общий!B104,".",""),"-",""),8)))))," ",Общий!C104),0)</f>
        <v>90020110 1</v>
      </c>
      <c r="C104" s="29" t="str">
        <f>Общий!A104</f>
        <v>96</v>
      </c>
      <c r="D104" s="27" t="str">
        <f>Общий!B104</f>
        <v>9002011 Управляющий корпус Karcher *10* код : 005328</v>
      </c>
      <c r="E104" s="28">
        <f>Общий!C104</f>
        <v>1</v>
      </c>
      <c r="F104" s="21"/>
      <c r="G104" s="44"/>
      <c r="H104" s="44"/>
      <c r="I104" s="44"/>
      <c r="J104" s="35"/>
      <c r="K104" s="16"/>
    </row>
    <row r="105" spans="1:11">
      <c r="A105" s="31">
        <f>IFERROR(VALUE(IF(LEN(IFERROR(VALUE(MID(TRIM(SUBSTITUTE(SUBSTITUTE(MID(Общий!B105,SEARCH("Karcher",Общий!B105,1),19),".",""),"-","")),SEARCH("Karcher",TRIM(SUBSTITUTE(SUBSTITUTE(MID(Общий!B105,SEARCH("Karcher",Общий!B105,1),19),".",""),"-","")),1)+8,8)),VALUE(LEFT(SUBSTITUTE(SUBSTITUTE(Общий!B105,".",""),"-",""),8))))=7,CONCATENATE(IFERROR(VALUE(MID(TRIM(SUBSTITUTE(SUBSTITUTE(MID(Общий!B105,SEARCH("Karcher",Общий!B105,1),19),".",""),"-","")),SEARCH("Karcher",TRIM(SUBSTITUTE(SUBSTITUTE(MID(Общий!B105,SEARCH("Karcher",Общий!B105,1),19),".",""),"-","")),1)+8,8)),VALUE(LEFT(SUBSTITUTE(SUBSTITUTE(Общий!B105,".",""),"-",""),8))),"0"),IFERROR(VALUE(MID(TRIM(SUBSTITUTE(SUBSTITUTE(MID(Общий!B105,SEARCH("Karcher",Общий!B105,1),19),".",""),"-","")),SEARCH("Karcher",TRIM(SUBSTITUTE(SUBSTITUTE(MID(Общий!B105,SEARCH("Karcher",Общий!B105,1),19),".",""),"-","")),1)+8,8)),VALUE(LEFT(SUBSTITUTE(SUBSTITUTE(Общий!B105,".",""),"-",""),8))))),0)</f>
        <v>28633030</v>
      </c>
      <c r="B105" s="25" t="str">
        <f>IFERROR(CONCATENATE(VALUE(IF(LEN(IFERROR(VALUE(MID(TRIM(SUBSTITUTE(SUBSTITUTE(MID(Общий!B105,SEARCH("Karcher",Общий!B105,1),19),".",""),"-","")),SEARCH("Karcher",TRIM(SUBSTITUTE(SUBSTITUTE(MID(Общий!B105,SEARCH("Karcher",Общий!B105,1),19),".",""),"-","")),1)+8,8)),VALUE(LEFT(SUBSTITUTE(SUBSTITUTE(Общий!B105,".",""),"-",""),8))))=7,CONCATENATE(IFERROR(VALUE(MID(TRIM(SUBSTITUTE(SUBSTITUTE(MID(Общий!B105,SEARCH("Karcher",Общий!B105,1),19),".",""),"-","")),SEARCH("Karcher",TRIM(SUBSTITUTE(SUBSTITUTE(MID(Общий!B105,SEARCH("Karcher",Общий!B105,1),19),".",""),"-","")),1)+8,8)),VALUE(LEFT(SUBSTITUTE(SUBSTITUTE(Общий!B105,".",""),"-",""),8))),"0"),IFERROR(VALUE(MID(TRIM(SUBSTITUTE(SUBSTITUTE(MID(Общий!B105,SEARCH("Karcher",Общий!B105,1),19),".",""),"-","")),SEARCH("Karcher",TRIM(SUBSTITUTE(SUBSTITUTE(MID(Общий!B105,SEARCH("Karcher",Общий!B105,1),19),".",""),"-","")),1)+8,8)),VALUE(LEFT(SUBSTITUTE(SUBSTITUTE(Общий!B105,".",""),"-",""),8)))))," ",Общий!C105),0)</f>
        <v>28633030 10</v>
      </c>
      <c r="C105" s="29" t="str">
        <f>Общий!A105</f>
        <v>97</v>
      </c>
      <c r="D105" s="27" t="str">
        <f>Общий!B105</f>
        <v>Фильтр патронный  для WD2-3 Karcher 2.863-303 код : 001453</v>
      </c>
      <c r="E105" s="28">
        <f>Общий!C105</f>
        <v>10</v>
      </c>
      <c r="F105" s="21"/>
      <c r="G105" s="44"/>
      <c r="H105" s="44"/>
      <c r="I105" s="44"/>
      <c r="J105" s="35"/>
      <c r="K105" s="16"/>
    </row>
    <row r="106" spans="1:11">
      <c r="A106" s="31">
        <f>IFERROR(VALUE(IF(LEN(IFERROR(VALUE(MID(TRIM(SUBSTITUTE(SUBSTITUTE(MID(Общий!B106,SEARCH("Karcher",Общий!B106,1),19),".",""),"-","")),SEARCH("Karcher",TRIM(SUBSTITUTE(SUBSTITUTE(MID(Общий!B106,SEARCH("Karcher",Общий!B106,1),19),".",""),"-","")),1)+8,8)),VALUE(LEFT(SUBSTITUTE(SUBSTITUTE(Общий!B106,".",""),"-",""),8))))=7,CONCATENATE(IFERROR(VALUE(MID(TRIM(SUBSTITUTE(SUBSTITUTE(MID(Общий!B106,SEARCH("Karcher",Общий!B106,1),19),".",""),"-","")),SEARCH("Karcher",TRIM(SUBSTITUTE(SUBSTITUTE(MID(Общий!B106,SEARCH("Karcher",Общий!B106,1),19),".",""),"-","")),1)+8,8)),VALUE(LEFT(SUBSTITUTE(SUBSTITUTE(Общий!B106,".",""),"-",""),8))),"0"),IFERROR(VALUE(MID(TRIM(SUBSTITUTE(SUBSTITUTE(MID(Общий!B106,SEARCH("Karcher",Общий!B106,1),19),".",""),"-","")),SEARCH("Karcher",TRIM(SUBSTITUTE(SUBSTITUTE(MID(Общий!B106,SEARCH("Karcher",Общий!B106,1),19),".",""),"-","")),1)+8,8)),VALUE(LEFT(SUBSTITUTE(SUBSTITUTE(Общий!B106,".",""),"-",""),8))))),0)</f>
        <v>84401010</v>
      </c>
      <c r="B106" s="25" t="str">
        <f>IFERROR(CONCATENATE(VALUE(IF(LEN(IFERROR(VALUE(MID(TRIM(SUBSTITUTE(SUBSTITUTE(MID(Общий!B106,SEARCH("Karcher",Общий!B106,1),19),".",""),"-","")),SEARCH("Karcher",TRIM(SUBSTITUTE(SUBSTITUTE(MID(Общий!B106,SEARCH("Karcher",Общий!B106,1),19),".",""),"-","")),1)+8,8)),VALUE(LEFT(SUBSTITUTE(SUBSTITUTE(Общий!B106,".",""),"-",""),8))))=7,CONCATENATE(IFERROR(VALUE(MID(TRIM(SUBSTITUTE(SUBSTITUTE(MID(Общий!B106,SEARCH("Karcher",Общий!B106,1),19),".",""),"-","")),SEARCH("Karcher",TRIM(SUBSTITUTE(SUBSTITUTE(MID(Общий!B106,SEARCH("Karcher",Общий!B106,1),19),".",""),"-","")),1)+8,8)),VALUE(LEFT(SUBSTITUTE(SUBSTITUTE(Общий!B106,".",""),"-",""),8))),"0"),IFERROR(VALUE(MID(TRIM(SUBSTITUTE(SUBSTITUTE(MID(Общий!B106,SEARCH("Karcher",Общий!B106,1),19),".",""),"-","")),SEARCH("Karcher",TRIM(SUBSTITUTE(SUBSTITUTE(MID(Общий!B106,SEARCH("Karcher",Общий!B106,1),19),".",""),"-","")),1)+8,8)),VALUE(LEFT(SUBSTITUTE(SUBSTITUTE(Общий!B106,".",""),"-",""),8)))))," ",Общий!C106),0)</f>
        <v>84401010 2</v>
      </c>
      <c r="C106" s="29" t="str">
        <f>Общий!A106</f>
        <v>98</v>
      </c>
      <c r="D106" s="27" t="str">
        <f>Общий!B106</f>
        <v>Фильтр-мешки нетканые для WD4-6 5 шт K-Parts Karcher 8.440-101 код : 001385</v>
      </c>
      <c r="E106" s="28">
        <f>Общий!C106</f>
        <v>2</v>
      </c>
      <c r="F106" s="21"/>
      <c r="G106" s="44"/>
      <c r="H106" s="44"/>
      <c r="I106" s="44"/>
      <c r="J106" s="35"/>
      <c r="K106" s="16"/>
    </row>
    <row r="107" spans="1:11">
      <c r="A107" s="31">
        <f>IFERROR(VALUE(IF(LEN(IFERROR(VALUE(MID(TRIM(SUBSTITUTE(SUBSTITUTE(MID(Общий!B107,SEARCH("Karcher",Общий!B107,1),19),".",""),"-","")),SEARCH("Karcher",TRIM(SUBSTITUTE(SUBSTITUTE(MID(Общий!B107,SEARCH("Karcher",Общий!B107,1),19),".",""),"-","")),1)+8,8)),VALUE(LEFT(SUBSTITUTE(SUBSTITUTE(Общий!B107,".",""),"-",""),8))))=7,CONCATENATE(IFERROR(VALUE(MID(TRIM(SUBSTITUTE(SUBSTITUTE(MID(Общий!B107,SEARCH("Karcher",Общий!B107,1),19),".",""),"-","")),SEARCH("Karcher",TRIM(SUBSTITUTE(SUBSTITUTE(MID(Общий!B107,SEARCH("Karcher",Общий!B107,1),19),".",""),"-","")),1)+8,8)),VALUE(LEFT(SUBSTITUTE(SUBSTITUTE(Общий!B107,".",""),"-",""),8))),"0"),IFERROR(VALUE(MID(TRIM(SUBSTITUTE(SUBSTITUTE(MID(Общий!B107,SEARCH("Karcher",Общий!B107,1),19),".",""),"-","")),SEARCH("Karcher",TRIM(SUBSTITUTE(SUBSTITUTE(MID(Общий!B107,SEARCH("Karcher",Общий!B107,1),19),".",""),"-","")),1)+8,8)),VALUE(LEFT(SUBSTITUTE(SUBSTITUTE(Общий!B107,".",""),"-",""),8))))),0)</f>
        <v>0</v>
      </c>
      <c r="B107" s="25">
        <f>IFERROR(CONCATENATE(VALUE(IF(LEN(IFERROR(VALUE(MID(TRIM(SUBSTITUTE(SUBSTITUTE(MID(Общий!B107,SEARCH("Karcher",Общий!B107,1),19),".",""),"-","")),SEARCH("Karcher",TRIM(SUBSTITUTE(SUBSTITUTE(MID(Общий!B107,SEARCH("Karcher",Общий!B107,1),19),".",""),"-","")),1)+8,8)),VALUE(LEFT(SUBSTITUTE(SUBSTITUTE(Общий!B107,".",""),"-",""),8))))=7,CONCATENATE(IFERROR(VALUE(MID(TRIM(SUBSTITUTE(SUBSTITUTE(MID(Общий!B107,SEARCH("Karcher",Общий!B107,1),19),".",""),"-","")),SEARCH("Karcher",TRIM(SUBSTITUTE(SUBSTITUTE(MID(Общий!B107,SEARCH("Karcher",Общий!B107,1),19),".",""),"-","")),1)+8,8)),VALUE(LEFT(SUBSTITUTE(SUBSTITUTE(Общий!B107,".",""),"-",""),8))),"0"),IFERROR(VALUE(MID(TRIM(SUBSTITUTE(SUBSTITUTE(MID(Общий!B107,SEARCH("Karcher",Общий!B107,1),19),".",""),"-","")),SEARCH("Karcher",TRIM(SUBSTITUTE(SUBSTITUTE(MID(Общий!B107,SEARCH("Karcher",Общий!B107,1),19),".",""),"-","")),1)+8,8)),VALUE(LEFT(SUBSTITUTE(SUBSTITUTE(Общий!B107,".",""),"-",""),8)))))," ",Общий!C107),0)</f>
        <v>0</v>
      </c>
      <c r="C107" s="29" t="str">
        <f>Общий!A107</f>
        <v>99</v>
      </c>
      <c r="D107" s="27" t="str">
        <f>Общий!B107</f>
        <v xml:space="preserve"> код :</v>
      </c>
      <c r="E107" s="28">
        <f>Общий!C107</f>
        <v>0</v>
      </c>
      <c r="F107" s="21"/>
      <c r="G107" s="44"/>
      <c r="H107" s="44"/>
      <c r="I107" s="44"/>
      <c r="J107" s="35"/>
      <c r="K107" s="16"/>
    </row>
    <row r="108" spans="1:11">
      <c r="A108" s="31">
        <f>IFERROR(VALUE(IF(LEN(IFERROR(VALUE(MID(TRIM(SUBSTITUTE(SUBSTITUTE(MID(Общий!B108,SEARCH("Karcher",Общий!B108,1),19),".",""),"-","")),SEARCH("Karcher",TRIM(SUBSTITUTE(SUBSTITUTE(MID(Общий!B108,SEARCH("Karcher",Общий!B108,1),19),".",""),"-","")),1)+8,8)),VALUE(LEFT(SUBSTITUTE(SUBSTITUTE(Общий!B108,".",""),"-",""),8))))=7,CONCATENATE(IFERROR(VALUE(MID(TRIM(SUBSTITUTE(SUBSTITUTE(MID(Общий!B108,SEARCH("Karcher",Общий!B108,1),19),".",""),"-","")),SEARCH("Karcher",TRIM(SUBSTITUTE(SUBSTITUTE(MID(Общий!B108,SEARCH("Karcher",Общий!B108,1),19),".",""),"-","")),1)+8,8)),VALUE(LEFT(SUBSTITUTE(SUBSTITUTE(Общий!B108,".",""),"-",""),8))),"0"),IFERROR(VALUE(MID(TRIM(SUBSTITUTE(SUBSTITUTE(MID(Общий!B108,SEARCH("Karcher",Общий!B108,1),19),".",""),"-","")),SEARCH("Karcher",TRIM(SUBSTITUTE(SUBSTITUTE(MID(Общий!B108,SEARCH("Karcher",Общий!B108,1),19),".",""),"-","")),1)+8,8)),VALUE(LEFT(SUBSTITUTE(SUBSTITUTE(Общий!B108,".",""),"-",""),8))))),0)</f>
        <v>26427250</v>
      </c>
      <c r="B108" s="25" t="str">
        <f>IFERROR(CONCATENATE(VALUE(IF(LEN(IFERROR(VALUE(MID(TRIM(SUBSTITUTE(SUBSTITUTE(MID(Общий!B108,SEARCH("Karcher",Общий!B108,1),19),".",""),"-","")),SEARCH("Karcher",TRIM(SUBSTITUTE(SUBSTITUTE(MID(Общий!B108,SEARCH("Karcher",Общий!B108,1),19),".",""),"-","")),1)+8,8)),VALUE(LEFT(SUBSTITUTE(SUBSTITUTE(Общий!B108,".",""),"-",""),8))))=7,CONCATENATE(IFERROR(VALUE(MID(TRIM(SUBSTITUTE(SUBSTITUTE(MID(Общий!B108,SEARCH("Karcher",Общий!B108,1),19),".",""),"-","")),SEARCH("Karcher",TRIM(SUBSTITUTE(SUBSTITUTE(MID(Общий!B108,SEARCH("Karcher",Общий!B108,1),19),".",""),"-","")),1)+8,8)),VALUE(LEFT(SUBSTITUTE(SUBSTITUTE(Общий!B108,".",""),"-",""),8))),"0"),IFERROR(VALUE(MID(TRIM(SUBSTITUTE(SUBSTITUTE(MID(Общий!B108,SEARCH("Karcher",Общий!B108,1),19),".",""),"-","")),SEARCH("Karcher",TRIM(SUBSTITUTE(SUBSTITUTE(MID(Общий!B108,SEARCH("Karcher",Общий!B108,1),19),".",""),"-","")),1)+8,8)),VALUE(LEFT(SUBSTITUTE(SUBSTITUTE(Общий!B108,".",""),"-",""),8)))))," ",Общий!C108),0)</f>
        <v>26427250 5</v>
      </c>
      <c r="C108" s="29" t="str">
        <f>Общий!A108</f>
        <v>100</v>
      </c>
      <c r="D108" s="27" t="str">
        <f>Общий!B108</f>
        <v>Струйная трубка VP 145 (серия К4 - К5) Karcher 2.642-725 код : 000643</v>
      </c>
      <c r="E108" s="28">
        <f>Общий!C108</f>
        <v>5</v>
      </c>
      <c r="F108" s="21"/>
      <c r="G108" s="44"/>
      <c r="H108" s="44"/>
      <c r="I108" s="44"/>
      <c r="J108" s="35"/>
      <c r="K108" s="16"/>
    </row>
    <row r="109" spans="1:11">
      <c r="A109" s="31">
        <f>IFERROR(VALUE(IF(LEN(IFERROR(VALUE(MID(TRIM(SUBSTITUTE(SUBSTITUTE(MID(Общий!B109,SEARCH("Karcher",Общий!B109,1),19),".",""),"-","")),SEARCH("Karcher",TRIM(SUBSTITUTE(SUBSTITUTE(MID(Общий!B109,SEARCH("Karcher",Общий!B109,1),19),".",""),"-","")),1)+8,8)),VALUE(LEFT(SUBSTITUTE(SUBSTITUTE(Общий!B109,".",""),"-",""),8))))=7,CONCATENATE(IFERROR(VALUE(MID(TRIM(SUBSTITUTE(SUBSTITUTE(MID(Общий!B109,SEARCH("Karcher",Общий!B109,1),19),".",""),"-","")),SEARCH("Karcher",TRIM(SUBSTITUTE(SUBSTITUTE(MID(Общий!B109,SEARCH("Karcher",Общий!B109,1),19),".",""),"-","")),1)+8,8)),VALUE(LEFT(SUBSTITUTE(SUBSTITUTE(Общий!B109,".",""),"-",""),8))),"0"),IFERROR(VALUE(MID(TRIM(SUBSTITUTE(SUBSTITUTE(MID(Общий!B109,SEARCH("Karcher",Общий!B109,1),19),".",""),"-","")),SEARCH("Karcher",TRIM(SUBSTITUTE(SUBSTITUTE(MID(Общий!B109,SEARCH("Karcher",Общий!B109,1),19),".",""),"-","")),1)+8,8)),VALUE(LEFT(SUBSTITUTE(SUBSTITUTE(Общий!B109,".",""),"-",""),8))))),0)</f>
        <v>26450660</v>
      </c>
      <c r="B109" s="25" t="str">
        <f>IFERROR(CONCATENATE(VALUE(IF(LEN(IFERROR(VALUE(MID(TRIM(SUBSTITUTE(SUBSTITUTE(MID(Общий!B109,SEARCH("Karcher",Общий!B109,1),19),".",""),"-","")),SEARCH("Karcher",TRIM(SUBSTITUTE(SUBSTITUTE(MID(Общий!B109,SEARCH("Karcher",Общий!B109,1),19),".",""),"-","")),1)+8,8)),VALUE(LEFT(SUBSTITUTE(SUBSTITUTE(Общий!B109,".",""),"-",""),8))))=7,CONCATENATE(IFERROR(VALUE(MID(TRIM(SUBSTITUTE(SUBSTITUTE(MID(Общий!B109,SEARCH("Karcher",Общий!B109,1),19),".",""),"-","")),SEARCH("Karcher",TRIM(SUBSTITUTE(SUBSTITUTE(MID(Общий!B109,SEARCH("Karcher",Общий!B109,1),19),".",""),"-","")),1)+8,8)),VALUE(LEFT(SUBSTITUTE(SUBSTITUTE(Общий!B109,".",""),"-",""),8))),"0"),IFERROR(VALUE(MID(TRIM(SUBSTITUTE(SUBSTITUTE(MID(Общий!B109,SEARCH("Karcher",Общий!B109,1),19),".",""),"-","")),SEARCH("Karcher",TRIM(SUBSTITUTE(SUBSTITUTE(MID(Общий!B109,SEARCH("Karcher",Общий!B109,1),19),".",""),"-","")),1)+8,8)),VALUE(LEFT(SUBSTITUTE(SUBSTITUTE(Общий!B109,".",""),"-",""),8)))))," ",Общий!C109),0)</f>
        <v>26450660 10</v>
      </c>
      <c r="C109" s="29" t="str">
        <f>Общий!A109</f>
        <v>101</v>
      </c>
      <c r="D109" s="27" t="str">
        <f>Общий!B109</f>
        <v>Штуцер резьбовой G1 с переходной муфтой G3/4 без упаковки Karcher 2.645-066 код : 020021</v>
      </c>
      <c r="E109" s="28">
        <f>Общий!C109</f>
        <v>10</v>
      </c>
      <c r="F109" s="21"/>
      <c r="G109" s="44"/>
      <c r="H109" s="44"/>
      <c r="I109" s="44"/>
      <c r="J109" s="35"/>
      <c r="K109" s="16"/>
    </row>
    <row r="110" spans="1:11">
      <c r="A110" s="31">
        <f>IFERROR(VALUE(IF(LEN(IFERROR(VALUE(MID(TRIM(SUBSTITUTE(SUBSTITUTE(MID(Общий!B110,SEARCH("Karcher",Общий!B110,1),19),".",""),"-","")),SEARCH("Karcher",TRIM(SUBSTITUTE(SUBSTITUTE(MID(Общий!B110,SEARCH("Karcher",Общий!B110,1),19),".",""),"-","")),1)+8,8)),VALUE(LEFT(SUBSTITUTE(SUBSTITUTE(Общий!B110,".",""),"-",""),8))))=7,CONCATENATE(IFERROR(VALUE(MID(TRIM(SUBSTITUTE(SUBSTITUTE(MID(Общий!B110,SEARCH("Karcher",Общий!B110,1),19),".",""),"-","")),SEARCH("Karcher",TRIM(SUBSTITUTE(SUBSTITUTE(MID(Общий!B110,SEARCH("Karcher",Общий!B110,1),19),".",""),"-","")),1)+8,8)),VALUE(LEFT(SUBSTITUTE(SUBSTITUTE(Общий!B110,".",""),"-",""),8))),"0"),IFERROR(VALUE(MID(TRIM(SUBSTITUTE(SUBSTITUTE(MID(Общий!B110,SEARCH("Karcher",Общий!B110,1),19),".",""),"-","")),SEARCH("Karcher",TRIM(SUBSTITUTE(SUBSTITUTE(MID(Общий!B110,SEARCH("Karcher",Общий!B110,1),19),".",""),"-","")),1)+8,8)),VALUE(LEFT(SUBSTITUTE(SUBSTITUTE(Общий!B110,".",""),"-",""),8))))),0)</f>
        <v>26451930</v>
      </c>
      <c r="B110" s="25" t="str">
        <f>IFERROR(CONCATENATE(VALUE(IF(LEN(IFERROR(VALUE(MID(TRIM(SUBSTITUTE(SUBSTITUTE(MID(Общий!B110,SEARCH("Karcher",Общий!B110,1),19),".",""),"-","")),SEARCH("Karcher",TRIM(SUBSTITUTE(SUBSTITUTE(MID(Общий!B110,SEARCH("Karcher",Общий!B110,1),19),".",""),"-","")),1)+8,8)),VALUE(LEFT(SUBSTITUTE(SUBSTITUTE(Общий!B110,".",""),"-",""),8))))=7,CONCATENATE(IFERROR(VALUE(MID(TRIM(SUBSTITUTE(SUBSTITUTE(MID(Общий!B110,SEARCH("Karcher",Общий!B110,1),19),".",""),"-","")),SEARCH("Karcher",TRIM(SUBSTITUTE(SUBSTITUTE(MID(Общий!B110,SEARCH("Karcher",Общий!B110,1),19),".",""),"-","")),1)+8,8)),VALUE(LEFT(SUBSTITUTE(SUBSTITUTE(Общий!B110,".",""),"-",""),8))),"0"),IFERROR(VALUE(MID(TRIM(SUBSTITUTE(SUBSTITUTE(MID(Общий!B110,SEARCH("Karcher",Общий!B110,1),19),".",""),"-","")),SEARCH("Karcher",TRIM(SUBSTITUTE(SUBSTITUTE(MID(Общий!B110,SEARCH("Karcher",Общий!B110,1),19),".",""),"-","")),1)+8,8)),VALUE(LEFT(SUBSTITUTE(SUBSTITUTE(Общий!B110,".",""),"-",""),8)))))," ",Общий!C110),0)</f>
        <v>26451930 20</v>
      </c>
      <c r="C110" s="29" t="str">
        <f>Общий!A110</f>
        <v>102</v>
      </c>
      <c r="D110" s="27" t="str">
        <f>Общий!B110</f>
        <v>Универсальный коннектор Plus Karcher 2.645-193 код : 020004</v>
      </c>
      <c r="E110" s="28">
        <f>Общий!C110</f>
        <v>20</v>
      </c>
      <c r="F110" s="21"/>
      <c r="G110" s="44"/>
      <c r="H110" s="44"/>
      <c r="I110" s="44"/>
      <c r="J110" s="35"/>
      <c r="K110" s="16"/>
    </row>
    <row r="111" spans="1:11">
      <c r="A111" s="31">
        <f>IFERROR(VALUE(IF(LEN(IFERROR(VALUE(MID(TRIM(SUBSTITUTE(SUBSTITUTE(MID(Общий!B111,SEARCH("Karcher",Общий!B111,1),19),".",""),"-","")),SEARCH("Karcher",TRIM(SUBSTITUTE(SUBSTITUTE(MID(Общий!B111,SEARCH("Karcher",Общий!B111,1),19),".",""),"-","")),1)+8,8)),VALUE(LEFT(SUBSTITUTE(SUBSTITUTE(Общий!B111,".",""),"-",""),8))))=7,CONCATENATE(IFERROR(VALUE(MID(TRIM(SUBSTITUTE(SUBSTITUTE(MID(Общий!B111,SEARCH("Karcher",Общий!B111,1),19),".",""),"-","")),SEARCH("Karcher",TRIM(SUBSTITUTE(SUBSTITUTE(MID(Общий!B111,SEARCH("Karcher",Общий!B111,1),19),".",""),"-","")),1)+8,8)),VALUE(LEFT(SUBSTITUTE(SUBSTITUTE(Общий!B111,".",""),"-",""),8))),"0"),IFERROR(VALUE(MID(TRIM(SUBSTITUTE(SUBSTITUTE(MID(Общий!B111,SEARCH("Karcher",Общий!B111,1),19),".",""),"-","")),SEARCH("Karcher",TRIM(SUBSTITUTE(SUBSTITUTE(MID(Общий!B111,SEARCH("Karcher",Общий!B111,1),19),".",""),"-","")),1)+8,8)),VALUE(LEFT(SUBSTITUTE(SUBSTITUTE(Общий!B111,".",""),"-",""),8))))),0)</f>
        <v>28630250</v>
      </c>
      <c r="B111" s="25" t="str">
        <f>IFERROR(CONCATENATE(VALUE(IF(LEN(IFERROR(VALUE(MID(TRIM(SUBSTITUTE(SUBSTITUTE(MID(Общий!B111,SEARCH("Karcher",Общий!B111,1),19),".",""),"-","")),SEARCH("Karcher",TRIM(SUBSTITUTE(SUBSTITUTE(MID(Общий!B111,SEARCH("Karcher",Общий!B111,1),19),".",""),"-","")),1)+8,8)),VALUE(LEFT(SUBSTITUTE(SUBSTITUTE(Общий!B111,".",""),"-",""),8))))=7,CONCATENATE(IFERROR(VALUE(MID(TRIM(SUBSTITUTE(SUBSTITUTE(MID(Общий!B111,SEARCH("Karcher",Общий!B111,1),19),".",""),"-","")),SEARCH("Karcher",TRIM(SUBSTITUTE(SUBSTITUTE(MID(Общий!B111,SEARCH("Karcher",Общий!B111,1),19),".",""),"-","")),1)+8,8)),VALUE(LEFT(SUBSTITUTE(SUBSTITUTE(Общий!B111,".",""),"-",""),8))),"0"),IFERROR(VALUE(MID(TRIM(SUBSTITUTE(SUBSTITUTE(MID(Общий!B111,SEARCH("Karcher",Общий!B111,1),19),".",""),"-","")),SEARCH("Karcher",TRIM(SUBSTITUTE(SUBSTITUTE(MID(Общий!B111,SEARCH("Karcher",Общий!B111,1),19),".",""),"-","")),1)+8,8)),VALUE(LEFT(SUBSTITUTE(SUBSTITUTE(Общий!B111,".",""),"-",""),8)))))," ",Общий!C111),0)</f>
        <v>28630250 10</v>
      </c>
      <c r="C111" s="29" t="str">
        <f>Общий!A111</f>
        <v>103</v>
      </c>
      <c r="D111" s="27" t="str">
        <f>Общий!B111</f>
        <v>Насадка для мойки окон для пароочистителей SC, кроме паропылесосов Karcher 2.863-025 код : 001499</v>
      </c>
      <c r="E111" s="28">
        <f>Общий!C111</f>
        <v>10</v>
      </c>
      <c r="F111" s="21"/>
      <c r="G111" s="44"/>
      <c r="H111" s="44"/>
      <c r="I111" s="44"/>
      <c r="J111" s="35"/>
      <c r="K111" s="16"/>
    </row>
    <row r="112" spans="1:11">
      <c r="A112" s="31">
        <f>IFERROR(VALUE(IF(LEN(IFERROR(VALUE(MID(TRIM(SUBSTITUTE(SUBSTITUTE(MID(Общий!B112,SEARCH("Karcher",Общий!B112,1),19),".",""),"-","")),SEARCH("Karcher",TRIM(SUBSTITUTE(SUBSTITUTE(MID(Общий!B112,SEARCH("Karcher",Общий!B112,1),19),".",""),"-","")),1)+8,8)),VALUE(LEFT(SUBSTITUTE(SUBSTITUTE(Общий!B112,".",""),"-",""),8))))=7,CONCATENATE(IFERROR(VALUE(MID(TRIM(SUBSTITUTE(SUBSTITUTE(MID(Общий!B112,SEARCH("Karcher",Общий!B112,1),19),".",""),"-","")),SEARCH("Karcher",TRIM(SUBSTITUTE(SUBSTITUTE(MID(Общий!B112,SEARCH("Karcher",Общий!B112,1),19),".",""),"-","")),1)+8,8)),VALUE(LEFT(SUBSTITUTE(SUBSTITUTE(Общий!B112,".",""),"-",""),8))),"0"),IFERROR(VALUE(MID(TRIM(SUBSTITUTE(SUBSTITUTE(MID(Общий!B112,SEARCH("Karcher",Общий!B112,1),19),".",""),"-","")),SEARCH("Karcher",TRIM(SUBSTITUTE(SUBSTITUTE(MID(Общий!B112,SEARCH("Karcher",Общий!B112,1),19),".",""),"-","")),1)+8,8)),VALUE(LEFT(SUBSTITUTE(SUBSTITUTE(Общий!B112,".",""),"-",""),8))))),0)</f>
        <v>28851290</v>
      </c>
      <c r="B112" s="25" t="str">
        <f>IFERROR(CONCATENATE(VALUE(IF(LEN(IFERROR(VALUE(MID(TRIM(SUBSTITUTE(SUBSTITUTE(MID(Общий!B112,SEARCH("Karcher",Общий!B112,1),19),".",""),"-","")),SEARCH("Karcher",TRIM(SUBSTITUTE(SUBSTITUTE(MID(Общий!B112,SEARCH("Karcher",Общий!B112,1),19),".",""),"-","")),1)+8,8)),VALUE(LEFT(SUBSTITUTE(SUBSTITUTE(Общий!B112,".",""),"-",""),8))))=7,CONCATENATE(IFERROR(VALUE(MID(TRIM(SUBSTITUTE(SUBSTITUTE(MID(Общий!B112,SEARCH("Karcher",Общий!B112,1),19),".",""),"-","")),SEARCH("Karcher",TRIM(SUBSTITUTE(SUBSTITUTE(MID(Общий!B112,SEARCH("Karcher",Общий!B112,1),19),".",""),"-","")),1)+8,8)),VALUE(LEFT(SUBSTITUTE(SUBSTITUTE(Общий!B112,".",""),"-",""),8))),"0"),IFERROR(VALUE(MID(TRIM(SUBSTITUTE(SUBSTITUTE(MID(Общий!B112,SEARCH("Karcher",Общий!B112,1),19),".",""),"-","")),SEARCH("Karcher",TRIM(SUBSTITUTE(SUBSTITUTE(MID(Общий!B112,SEARCH("Karcher",Общий!B112,1),19),".",""),"-","")),1)+8,8)),VALUE(LEFT(SUBSTITUTE(SUBSTITUTE(Общий!B112,".",""),"-",""),8)))))," ",Общий!C112),0)</f>
        <v>28851290 1</v>
      </c>
      <c r="C112" s="29" t="str">
        <f>Общий!A112</f>
        <v>104</v>
      </c>
      <c r="D112" s="27" t="str">
        <f>Общий!B112</f>
        <v>2885129 Сливной клапан Karcher * * код : 030830</v>
      </c>
      <c r="E112" s="28">
        <f>Общий!C112</f>
        <v>1</v>
      </c>
      <c r="F112" s="21"/>
      <c r="G112" s="44"/>
      <c r="H112" s="44"/>
      <c r="I112" s="44"/>
      <c r="J112" s="35"/>
      <c r="K112" s="16"/>
    </row>
    <row r="113" spans="1:11">
      <c r="A113" s="31">
        <f>IFERROR(VALUE(IF(LEN(IFERROR(VALUE(MID(TRIM(SUBSTITUTE(SUBSTITUTE(MID(Общий!B113,SEARCH("Karcher",Общий!B113,1),19),".",""),"-","")),SEARCH("Karcher",TRIM(SUBSTITUTE(SUBSTITUTE(MID(Общий!B113,SEARCH("Karcher",Общий!B113,1),19),".",""),"-","")),1)+8,8)),VALUE(LEFT(SUBSTITUTE(SUBSTITUTE(Общий!B113,".",""),"-",""),8))))=7,CONCATENATE(IFERROR(VALUE(MID(TRIM(SUBSTITUTE(SUBSTITUTE(MID(Общий!B113,SEARCH("Karcher",Общий!B113,1),19),".",""),"-","")),SEARCH("Karcher",TRIM(SUBSTITUTE(SUBSTITUTE(MID(Общий!B113,SEARCH("Karcher",Общий!B113,1),19),".",""),"-","")),1)+8,8)),VALUE(LEFT(SUBSTITUTE(SUBSTITUTE(Общий!B113,".",""),"-",""),8))),"0"),IFERROR(VALUE(MID(TRIM(SUBSTITUTE(SUBSTITUTE(MID(Общий!B113,SEARCH("Karcher",Общий!B113,1),19),".",""),"-","")),SEARCH("Karcher",TRIM(SUBSTITUTE(SUBSTITUTE(MID(Общий!B113,SEARCH("Karcher",Общий!B113,1),19),".",""),"-","")),1)+8,8)),VALUE(LEFT(SUBSTITUTE(SUBSTITUTE(Общий!B113,".",""),"-",""),8))))),0)</f>
        <v>28892170</v>
      </c>
      <c r="B113" s="25" t="str">
        <f>IFERROR(CONCATENATE(VALUE(IF(LEN(IFERROR(VALUE(MID(TRIM(SUBSTITUTE(SUBSTITUTE(MID(Общий!B113,SEARCH("Karcher",Общий!B113,1),19),".",""),"-","")),SEARCH("Karcher",TRIM(SUBSTITUTE(SUBSTITUTE(MID(Общий!B113,SEARCH("Karcher",Общий!B113,1),19),".",""),"-","")),1)+8,8)),VALUE(LEFT(SUBSTITUTE(SUBSTITUTE(Общий!B113,".",""),"-",""),8))))=7,CONCATENATE(IFERROR(VALUE(MID(TRIM(SUBSTITUTE(SUBSTITUTE(MID(Общий!B113,SEARCH("Karcher",Общий!B113,1),19),".",""),"-","")),SEARCH("Karcher",TRIM(SUBSTITUTE(SUBSTITUTE(MID(Общий!B113,SEARCH("Karcher",Общий!B113,1),19),".",""),"-","")),1)+8,8)),VALUE(LEFT(SUBSTITUTE(SUBSTITUTE(Общий!B113,".",""),"-",""),8))),"0"),IFERROR(VALUE(MID(TRIM(SUBSTITUTE(SUBSTITUTE(MID(Общий!B113,SEARCH("Karcher",Общий!B113,1),19),".",""),"-","")),SEARCH("Karcher",TRIM(SUBSTITUTE(SUBSTITUTE(MID(Общий!B113,SEARCH("Karcher",Общий!B113,1),19),".",""),"-","")),1)+8,8)),VALUE(LEFT(SUBSTITUTE(SUBSTITUTE(Общий!B113,".",""),"-",""),8)))))," ",Общий!C113),0)</f>
        <v>28892170 3</v>
      </c>
      <c r="C113" s="29" t="str">
        <f>Общий!A113</f>
        <v>105</v>
      </c>
      <c r="D113" s="27" t="str">
        <f>Общий!B113</f>
        <v>Фильтр-мешки флисовые для NT22 (5шт) Karcher 2.889-217 код : 000681</v>
      </c>
      <c r="E113" s="28">
        <f>Общий!C113</f>
        <v>3</v>
      </c>
      <c r="F113" s="21"/>
      <c r="G113" s="44"/>
      <c r="H113" s="44"/>
      <c r="I113" s="44"/>
      <c r="J113" s="35"/>
      <c r="K113" s="16"/>
    </row>
    <row r="114" spans="1:11">
      <c r="A114" s="31">
        <f>IFERROR(VALUE(IF(LEN(IFERROR(VALUE(MID(TRIM(SUBSTITUTE(SUBSTITUTE(MID(Общий!B114,SEARCH("Karcher",Общий!B114,1),19),".",""),"-","")),SEARCH("Karcher",TRIM(SUBSTITUTE(SUBSTITUTE(MID(Общий!B114,SEARCH("Karcher",Общий!B114,1),19),".",""),"-","")),1)+8,8)),VALUE(LEFT(SUBSTITUTE(SUBSTITUTE(Общий!B114,".",""),"-",""),8))))=7,CONCATENATE(IFERROR(VALUE(MID(TRIM(SUBSTITUTE(SUBSTITUTE(MID(Общий!B114,SEARCH("Karcher",Общий!B114,1),19),".",""),"-","")),SEARCH("Karcher",TRIM(SUBSTITUTE(SUBSTITUTE(MID(Общий!B114,SEARCH("Karcher",Общий!B114,1),19),".",""),"-","")),1)+8,8)),VALUE(LEFT(SUBSTITUTE(SUBSTITUTE(Общий!B114,".",""),"-",""),8))),"0"),IFERROR(VALUE(MID(TRIM(SUBSTITUTE(SUBSTITUTE(MID(Общий!B114,SEARCH("Karcher",Общий!B114,1),19),".",""),"-","")),SEARCH("Karcher",TRIM(SUBSTITUTE(SUBSTITUTE(MID(Общий!B114,SEARCH("Karcher",Общий!B114,1),19),".",""),"-","")),1)+8,8)),VALUE(LEFT(SUBSTITUTE(SUBSTITUTE(Общий!B114,".",""),"-",""),8))))),0)</f>
        <v>47606630</v>
      </c>
      <c r="B114" s="25" t="str">
        <f>IFERROR(CONCATENATE(VALUE(IF(LEN(IFERROR(VALUE(MID(TRIM(SUBSTITUTE(SUBSTITUTE(MID(Общий!B114,SEARCH("Karcher",Общий!B114,1),19),".",""),"-","")),SEARCH("Karcher",TRIM(SUBSTITUTE(SUBSTITUTE(MID(Общий!B114,SEARCH("Karcher",Общий!B114,1),19),".",""),"-","")),1)+8,8)),VALUE(LEFT(SUBSTITUTE(SUBSTITUTE(Общий!B114,".",""),"-",""),8))))=7,CONCATENATE(IFERROR(VALUE(MID(TRIM(SUBSTITUTE(SUBSTITUTE(MID(Общий!B114,SEARCH("Karcher",Общий!B114,1),19),".",""),"-","")),SEARCH("Karcher",TRIM(SUBSTITUTE(SUBSTITUTE(MID(Общий!B114,SEARCH("Karcher",Общий!B114,1),19),".",""),"-","")),1)+8,8)),VALUE(LEFT(SUBSTITUTE(SUBSTITUTE(Общий!B114,".",""),"-",""),8))),"0"),IFERROR(VALUE(MID(TRIM(SUBSTITUTE(SUBSTITUTE(MID(Общий!B114,SEARCH("Karcher",Общий!B114,1),19),".",""),"-","")),SEARCH("Karcher",TRIM(SUBSTITUTE(SUBSTITUTE(MID(Общий!B114,SEARCH("Karcher",Общий!B114,1),19),".",""),"-","")),1)+8,8)),VALUE(LEFT(SUBSTITUTE(SUBSTITUTE(Общий!B114,".",""),"-",""),8)))))," ",Общий!C114),0)</f>
        <v>47606630 1</v>
      </c>
      <c r="C114" s="29" t="str">
        <f>Общий!A114</f>
        <v>106</v>
      </c>
      <c r="D114" s="27" t="str">
        <f>Общий!B114</f>
        <v>Струйная трубка для проф АВД вход 22х1,5 840мм Karcher 4.760-663 код : 001030</v>
      </c>
      <c r="E114" s="28">
        <f>Общий!C114</f>
        <v>1</v>
      </c>
      <c r="F114" s="21"/>
      <c r="G114" s="44"/>
      <c r="H114" s="44"/>
      <c r="I114" s="44"/>
      <c r="J114" s="35"/>
      <c r="K114" s="16"/>
    </row>
    <row r="115" spans="1:11">
      <c r="A115" s="31">
        <f>IFERROR(VALUE(IF(LEN(IFERROR(VALUE(MID(TRIM(SUBSTITUTE(SUBSTITUTE(MID(Общий!B115,SEARCH("Karcher",Общий!B115,1),19),".",""),"-","")),SEARCH("Karcher",TRIM(SUBSTITUTE(SUBSTITUTE(MID(Общий!B115,SEARCH("Karcher",Общий!B115,1),19),".",""),"-","")),1)+8,8)),VALUE(LEFT(SUBSTITUTE(SUBSTITUTE(Общий!B115,".",""),"-",""),8))))=7,CONCATENATE(IFERROR(VALUE(MID(TRIM(SUBSTITUTE(SUBSTITUTE(MID(Общий!B115,SEARCH("Karcher",Общий!B115,1),19),".",""),"-","")),SEARCH("Karcher",TRIM(SUBSTITUTE(SUBSTITUTE(MID(Общий!B115,SEARCH("Karcher",Общий!B115,1),19),".",""),"-","")),1)+8,8)),VALUE(LEFT(SUBSTITUTE(SUBSTITUTE(Общий!B115,".",""),"-",""),8))),"0"),IFERROR(VALUE(MID(TRIM(SUBSTITUTE(SUBSTITUTE(MID(Общий!B115,SEARCH("Karcher",Общий!B115,1),19),".",""),"-","")),SEARCH("Karcher",TRIM(SUBSTITUTE(SUBSTITUTE(MID(Общий!B115,SEARCH("Karcher",Общий!B115,1),19),".",""),"-","")),1)+8,8)),VALUE(LEFT(SUBSTITUTE(SUBSTITUTE(Общий!B115,".",""),"-",""),8))))),0)</f>
        <v>47606630</v>
      </c>
      <c r="B115" s="25" t="str">
        <f>IFERROR(CONCATENATE(VALUE(IF(LEN(IFERROR(VALUE(MID(TRIM(SUBSTITUTE(SUBSTITUTE(MID(Общий!B115,SEARCH("Karcher",Общий!B115,1),19),".",""),"-","")),SEARCH("Karcher",TRIM(SUBSTITUTE(SUBSTITUTE(MID(Общий!B115,SEARCH("Karcher",Общий!B115,1),19),".",""),"-","")),1)+8,8)),VALUE(LEFT(SUBSTITUTE(SUBSTITUTE(Общий!B115,".",""),"-",""),8))))=7,CONCATENATE(IFERROR(VALUE(MID(TRIM(SUBSTITUTE(SUBSTITUTE(MID(Общий!B115,SEARCH("Karcher",Общий!B115,1),19),".",""),"-","")),SEARCH("Karcher",TRIM(SUBSTITUTE(SUBSTITUTE(MID(Общий!B115,SEARCH("Karcher",Общий!B115,1),19),".",""),"-","")),1)+8,8)),VALUE(LEFT(SUBSTITUTE(SUBSTITUTE(Общий!B115,".",""),"-",""),8))),"0"),IFERROR(VALUE(MID(TRIM(SUBSTITUTE(SUBSTITUTE(MID(Общий!B115,SEARCH("Karcher",Общий!B115,1),19),".",""),"-","")),SEARCH("Karcher",TRIM(SUBSTITUTE(SUBSTITUTE(MID(Общий!B115,SEARCH("Karcher",Общий!B115,1),19),".",""),"-","")),1)+8,8)),VALUE(LEFT(SUBSTITUTE(SUBSTITUTE(Общий!B115,".",""),"-",""),8)))))," ",Общий!C115),0)</f>
        <v>47606630 1</v>
      </c>
      <c r="C115" s="29" t="str">
        <f>Общий!A115</f>
        <v>107</v>
      </c>
      <c r="D115" s="27" t="str">
        <f>Общий!B115</f>
        <v>Струйная трубка для проф АВД вход 22х1,5 840мм Karcher 4.760-663 код : 001030</v>
      </c>
      <c r="E115" s="28">
        <f>Общий!C115</f>
        <v>1</v>
      </c>
      <c r="F115" s="21"/>
      <c r="G115" s="44"/>
      <c r="H115" s="44"/>
      <c r="I115" s="44"/>
      <c r="J115" s="35"/>
      <c r="K115" s="16"/>
    </row>
    <row r="116" spans="1:11">
      <c r="A116" s="31">
        <f>IFERROR(VALUE(IF(LEN(IFERROR(VALUE(MID(TRIM(SUBSTITUTE(SUBSTITUTE(MID(Общий!B116,SEARCH("Karcher",Общий!B116,1),19),".",""),"-","")),SEARCH("Karcher",TRIM(SUBSTITUTE(SUBSTITUTE(MID(Общий!B116,SEARCH("Karcher",Общий!B116,1),19),".",""),"-","")),1)+8,8)),VALUE(LEFT(SUBSTITUTE(SUBSTITUTE(Общий!B116,".",""),"-",""),8))))=7,CONCATENATE(IFERROR(VALUE(MID(TRIM(SUBSTITUTE(SUBSTITUTE(MID(Общий!B116,SEARCH("Karcher",Общий!B116,1),19),".",""),"-","")),SEARCH("Karcher",TRIM(SUBSTITUTE(SUBSTITUTE(MID(Общий!B116,SEARCH("Karcher",Общий!B116,1),19),".",""),"-","")),1)+8,8)),VALUE(LEFT(SUBSTITUTE(SUBSTITUTE(Общий!B116,".",""),"-",""),8))),"0"),IFERROR(VALUE(MID(TRIM(SUBSTITUTE(SUBSTITUTE(MID(Общий!B116,SEARCH("Karcher",Общий!B116,1),19),".",""),"-","")),SEARCH("Karcher",TRIM(SUBSTITUTE(SUBSTITUTE(MID(Общий!B116,SEARCH("Karcher",Общий!B116,1),19),".",""),"-","")),1)+8,8)),VALUE(LEFT(SUBSTITUTE(SUBSTITUTE(Общий!B116,".",""),"-",""),8))))),0)</f>
        <v>0</v>
      </c>
      <c r="B116" s="25">
        <f>IFERROR(CONCATENATE(VALUE(IF(LEN(IFERROR(VALUE(MID(TRIM(SUBSTITUTE(SUBSTITUTE(MID(Общий!B116,SEARCH("Karcher",Общий!B116,1),19),".",""),"-","")),SEARCH("Karcher",TRIM(SUBSTITUTE(SUBSTITUTE(MID(Общий!B116,SEARCH("Karcher",Общий!B116,1),19),".",""),"-","")),1)+8,8)),VALUE(LEFT(SUBSTITUTE(SUBSTITUTE(Общий!B116,".",""),"-",""),8))))=7,CONCATENATE(IFERROR(VALUE(MID(TRIM(SUBSTITUTE(SUBSTITUTE(MID(Общий!B116,SEARCH("Karcher",Общий!B116,1),19),".",""),"-","")),SEARCH("Karcher",TRIM(SUBSTITUTE(SUBSTITUTE(MID(Общий!B116,SEARCH("Karcher",Общий!B116,1),19),".",""),"-","")),1)+8,8)),VALUE(LEFT(SUBSTITUTE(SUBSTITUTE(Общий!B116,".",""),"-",""),8))),"0"),IFERROR(VALUE(MID(TRIM(SUBSTITUTE(SUBSTITUTE(MID(Общий!B116,SEARCH("Karcher",Общий!B116,1),19),".",""),"-","")),SEARCH("Karcher",TRIM(SUBSTITUTE(SUBSTITUTE(MID(Общий!B116,SEARCH("Karcher",Общий!B116,1),19),".",""),"-","")),1)+8,8)),VALUE(LEFT(SUBSTITUTE(SUBSTITUTE(Общий!B116,".",""),"-",""),8)))))," ",Общий!C116),0)</f>
        <v>0</v>
      </c>
      <c r="C116" s="29" t="str">
        <f>Общий!A116</f>
        <v>108</v>
      </c>
      <c r="D116" s="27" t="str">
        <f>Общий!B116</f>
        <v>Трехпозиционное  сопло Karcher размер 34 для АВД проф  4.767-147 код : 001059</v>
      </c>
      <c r="E116" s="28">
        <f>Общий!C116</f>
        <v>1</v>
      </c>
      <c r="F116" s="21"/>
      <c r="G116" s="44"/>
      <c r="H116" s="44"/>
      <c r="I116" s="44"/>
      <c r="J116" s="35"/>
      <c r="K116" s="16"/>
    </row>
    <row r="117" spans="1:11">
      <c r="A117" s="31">
        <f>IFERROR(VALUE(IF(LEN(IFERROR(VALUE(MID(TRIM(SUBSTITUTE(SUBSTITUTE(MID(Общий!B117,SEARCH("Karcher",Общий!B117,1),19),".",""),"-","")),SEARCH("Karcher",TRIM(SUBSTITUTE(SUBSTITUTE(MID(Общий!B117,SEARCH("Karcher",Общий!B117,1),19),".",""),"-","")),1)+8,8)),VALUE(LEFT(SUBSTITUTE(SUBSTITUTE(Общий!B117,".",""),"-",""),8))))=7,CONCATENATE(IFERROR(VALUE(MID(TRIM(SUBSTITUTE(SUBSTITUTE(MID(Общий!B117,SEARCH("Karcher",Общий!B117,1),19),".",""),"-","")),SEARCH("Karcher",TRIM(SUBSTITUTE(SUBSTITUTE(MID(Общий!B117,SEARCH("Karcher",Общий!B117,1),19),".",""),"-","")),1)+8,8)),VALUE(LEFT(SUBSTITUTE(SUBSTITUTE(Общий!B117,".",""),"-",""),8))),"0"),IFERROR(VALUE(MID(TRIM(SUBSTITUTE(SUBSTITUTE(MID(Общий!B117,SEARCH("Karcher",Общий!B117,1),19),".",""),"-","")),SEARCH("Karcher",TRIM(SUBSTITUTE(SUBSTITUTE(MID(Общий!B117,SEARCH("Karcher",Общий!B117,1),19),".",""),"-","")),1)+8,8)),VALUE(LEFT(SUBSTITUTE(SUBSTITUTE(Общий!B117,".",""),"-",""),8))))),0)</f>
        <v>0</v>
      </c>
      <c r="B117" s="25">
        <f>IFERROR(CONCATENATE(VALUE(IF(LEN(IFERROR(VALUE(MID(TRIM(SUBSTITUTE(SUBSTITUTE(MID(Общий!B117,SEARCH("Karcher",Общий!B117,1),19),".",""),"-","")),SEARCH("Karcher",TRIM(SUBSTITUTE(SUBSTITUTE(MID(Общий!B117,SEARCH("Karcher",Общий!B117,1),19),".",""),"-","")),1)+8,8)),VALUE(LEFT(SUBSTITUTE(SUBSTITUTE(Общий!B117,".",""),"-",""),8))))=7,CONCATENATE(IFERROR(VALUE(MID(TRIM(SUBSTITUTE(SUBSTITUTE(MID(Общий!B117,SEARCH("Karcher",Общий!B117,1),19),".",""),"-","")),SEARCH("Karcher",TRIM(SUBSTITUTE(SUBSTITUTE(MID(Общий!B117,SEARCH("Karcher",Общий!B117,1),19),".",""),"-","")),1)+8,8)),VALUE(LEFT(SUBSTITUTE(SUBSTITUTE(Общий!B117,".",""),"-",""),8))),"0"),IFERROR(VALUE(MID(TRIM(SUBSTITUTE(SUBSTITUTE(MID(Общий!B117,SEARCH("Karcher",Общий!B117,1),19),".",""),"-","")),SEARCH("Karcher",TRIM(SUBSTITUTE(SUBSTITUTE(MID(Общий!B117,SEARCH("Karcher",Общий!B117,1),19),".",""),"-","")),1)+8,8)),VALUE(LEFT(SUBSTITUTE(SUBSTITUTE(Общий!B117,".",""),"-",""),8)))))," ",Общий!C117),0)</f>
        <v>0</v>
      </c>
      <c r="C117" s="29" t="str">
        <f>Общий!A117</f>
        <v>109</v>
      </c>
      <c r="D117" s="27" t="str">
        <f>Общий!B117</f>
        <v>Грязевая фреза для АВД проф Karcher d=35мм 4.767-230 код : 001183</v>
      </c>
      <c r="E117" s="28">
        <f>Общий!C117</f>
        <v>1</v>
      </c>
      <c r="F117" s="21"/>
      <c r="G117" s="44"/>
      <c r="H117" s="44"/>
      <c r="I117" s="44"/>
      <c r="J117" s="35"/>
      <c r="K117" s="16"/>
    </row>
    <row r="118" spans="1:11">
      <c r="A118" s="31">
        <f>IFERROR(VALUE(IF(LEN(IFERROR(VALUE(MID(TRIM(SUBSTITUTE(SUBSTITUTE(MID(Общий!B118,SEARCH("Karcher",Общий!B118,1),19),".",""),"-","")),SEARCH("Karcher",TRIM(SUBSTITUTE(SUBSTITUTE(MID(Общий!B118,SEARCH("Karcher",Общий!B118,1),19),".",""),"-","")),1)+8,8)),VALUE(LEFT(SUBSTITUTE(SUBSTITUTE(Общий!B118,".",""),"-",""),8))))=7,CONCATENATE(IFERROR(VALUE(MID(TRIM(SUBSTITUTE(SUBSTITUTE(MID(Общий!B118,SEARCH("Karcher",Общий!B118,1),19),".",""),"-","")),SEARCH("Karcher",TRIM(SUBSTITUTE(SUBSTITUTE(MID(Общий!B118,SEARCH("Karcher",Общий!B118,1),19),".",""),"-","")),1)+8,8)),VALUE(LEFT(SUBSTITUTE(SUBSTITUTE(Общий!B118,".",""),"-",""),8))),"0"),IFERROR(VALUE(MID(TRIM(SUBSTITUTE(SUBSTITUTE(MID(Общий!B118,SEARCH("Karcher",Общий!B118,1),19),".",""),"-","")),SEARCH("Karcher",TRIM(SUBSTITUTE(SUBSTITUTE(MID(Общий!B118,SEARCH("Karcher",Общий!B118,1),19),".",""),"-","")),1)+8,8)),VALUE(LEFT(SUBSTITUTE(SUBSTITUTE(Общий!B118,".",""),"-",""),8))))),0)</f>
        <v>53321870</v>
      </c>
      <c r="B118" s="25" t="str">
        <f>IFERROR(CONCATENATE(VALUE(IF(LEN(IFERROR(VALUE(MID(TRIM(SUBSTITUTE(SUBSTITUTE(MID(Общий!B118,SEARCH("Karcher",Общий!B118,1),19),".",""),"-","")),SEARCH("Karcher",TRIM(SUBSTITUTE(SUBSTITUTE(MID(Общий!B118,SEARCH("Karcher",Общий!B118,1),19),".",""),"-","")),1)+8,8)),VALUE(LEFT(SUBSTITUTE(SUBSTITUTE(Общий!B118,".",""),"-",""),8))))=7,CONCATENATE(IFERROR(VALUE(MID(TRIM(SUBSTITUTE(SUBSTITUTE(MID(Общий!B118,SEARCH("Karcher",Общий!B118,1),19),".",""),"-","")),SEARCH("Karcher",TRIM(SUBSTITUTE(SUBSTITUTE(MID(Общий!B118,SEARCH("Karcher",Общий!B118,1),19),".",""),"-","")),1)+8,8)),VALUE(LEFT(SUBSTITUTE(SUBSTITUTE(Общий!B118,".",""),"-",""),8))),"0"),IFERROR(VALUE(MID(TRIM(SUBSTITUTE(SUBSTITUTE(MID(Общий!B118,SEARCH("Karcher",Общий!B118,1),19),".",""),"-","")),SEARCH("Karcher",TRIM(SUBSTITUTE(SUBSTITUTE(MID(Общий!B118,SEARCH("Karcher",Общий!B118,1),19),".",""),"-","")),1)+8,8)),VALUE(LEFT(SUBSTITUTE(SUBSTITUTE(Общий!B118,".",""),"-",""),8)))))," ",Общий!C118),0)</f>
        <v>53321870 3</v>
      </c>
      <c r="C118" s="29" t="str">
        <f>Общий!A118</f>
        <v>110</v>
      </c>
      <c r="D118" s="27" t="str">
        <f>Общий!B118</f>
        <v>Винтовая пружина Karcher 5.332-187 код : 006198</v>
      </c>
      <c r="E118" s="28">
        <f>Общий!C118</f>
        <v>3</v>
      </c>
      <c r="F118" s="21"/>
      <c r="G118" s="44"/>
      <c r="H118" s="44"/>
      <c r="I118" s="44"/>
      <c r="J118" s="35"/>
      <c r="K118" s="16"/>
    </row>
    <row r="119" spans="1:11">
      <c r="A119" s="31">
        <f>IFERROR(VALUE(IF(LEN(IFERROR(VALUE(MID(TRIM(SUBSTITUTE(SUBSTITUTE(MID(Общий!B119,SEARCH("Karcher",Общий!B119,1),19),".",""),"-","")),SEARCH("Karcher",TRIM(SUBSTITUTE(SUBSTITUTE(MID(Общий!B119,SEARCH("Karcher",Общий!B119,1),19),".",""),"-","")),1)+8,8)),VALUE(LEFT(SUBSTITUTE(SUBSTITUTE(Общий!B119,".",""),"-",""),8))))=7,CONCATENATE(IFERROR(VALUE(MID(TRIM(SUBSTITUTE(SUBSTITUTE(MID(Общий!B119,SEARCH("Karcher",Общий!B119,1),19),".",""),"-","")),SEARCH("Karcher",TRIM(SUBSTITUTE(SUBSTITUTE(MID(Общий!B119,SEARCH("Karcher",Общий!B119,1),19),".",""),"-","")),1)+8,8)),VALUE(LEFT(SUBSTITUTE(SUBSTITUTE(Общий!B119,".",""),"-",""),8))),"0"),IFERROR(VALUE(MID(TRIM(SUBSTITUTE(SUBSTITUTE(MID(Общий!B119,SEARCH("Karcher",Общий!B119,1),19),".",""),"-","")),SEARCH("Karcher",TRIM(SUBSTITUTE(SUBSTITUTE(MID(Общий!B119,SEARCH("Karcher",Общий!B119,1),19),".",""),"-","")),1)+8,8)),VALUE(LEFT(SUBSTITUTE(SUBSTITUTE(Общий!B119,".",""),"-",""),8))))),0)</f>
        <v>64012253</v>
      </c>
      <c r="B119" s="25" t="str">
        <f>IFERROR(CONCATENATE(VALUE(IF(LEN(IFERROR(VALUE(MID(TRIM(SUBSTITUTE(SUBSTITUTE(MID(Общий!B119,SEARCH("Karcher",Общий!B119,1),19),".",""),"-","")),SEARCH("Karcher",TRIM(SUBSTITUTE(SUBSTITUTE(MID(Общий!B119,SEARCH("Karcher",Общий!B119,1),19),".",""),"-","")),1)+8,8)),VALUE(LEFT(SUBSTITUTE(SUBSTITUTE(Общий!B119,".",""),"-",""),8))))=7,CONCATENATE(IFERROR(VALUE(MID(TRIM(SUBSTITUTE(SUBSTITUTE(MID(Общий!B119,SEARCH("Karcher",Общий!B119,1),19),".",""),"-","")),SEARCH("Karcher",TRIM(SUBSTITUTE(SUBSTITUTE(MID(Общий!B119,SEARCH("Karcher",Общий!B119,1),19),".",""),"-","")),1)+8,8)),VALUE(LEFT(SUBSTITUTE(SUBSTITUTE(Общий!B119,".",""),"-",""),8))),"0"),IFERROR(VALUE(MID(TRIM(SUBSTITUTE(SUBSTITUTE(MID(Общий!B119,SEARCH("Karcher",Общий!B119,1),19),".",""),"-","")),SEARCH("Karcher",TRIM(SUBSTITUTE(SUBSTITUTE(MID(Общий!B119,SEARCH("Karcher",Общий!B119,1),19),".",""),"-","")),1)+8,8)),VALUE(LEFT(SUBSTITUTE(SUBSTITUTE(Общий!B119,".",""),"-",""),8)))))," ",Общий!C119),0)</f>
        <v>64012253 1</v>
      </c>
      <c r="C119" s="29" t="str">
        <f>Общий!A119</f>
        <v>111</v>
      </c>
      <c r="D119" s="27" t="str">
        <f>Общий!B119</f>
        <v>Конический роликоподшипник 41 Karcher 6.401-225.3 код : 006062</v>
      </c>
      <c r="E119" s="28">
        <f>Общий!C119</f>
        <v>1</v>
      </c>
      <c r="F119" s="21"/>
      <c r="G119" s="44"/>
      <c r="H119" s="44"/>
      <c r="I119" s="44"/>
      <c r="J119" s="35"/>
      <c r="K119" s="16"/>
    </row>
    <row r="120" spans="1:11">
      <c r="A120" s="31">
        <f>IFERROR(VALUE(IF(LEN(IFERROR(VALUE(MID(TRIM(SUBSTITUTE(SUBSTITUTE(MID(Общий!B120,SEARCH("Karcher",Общий!B120,1),19),".",""),"-","")),SEARCH("Karcher",TRIM(SUBSTITUTE(SUBSTITUTE(MID(Общий!B120,SEARCH("Karcher",Общий!B120,1),19),".",""),"-","")),1)+8,8)),VALUE(LEFT(SUBSTITUTE(SUBSTITUTE(Общий!B120,".",""),"-",""),8))))=7,CONCATENATE(IFERROR(VALUE(MID(TRIM(SUBSTITUTE(SUBSTITUTE(MID(Общий!B120,SEARCH("Karcher",Общий!B120,1),19),".",""),"-","")),SEARCH("Karcher",TRIM(SUBSTITUTE(SUBSTITUTE(MID(Общий!B120,SEARCH("Karcher",Общий!B120,1),19),".",""),"-","")),1)+8,8)),VALUE(LEFT(SUBSTITUTE(SUBSTITUTE(Общий!B120,".",""),"-",""),8))),"0"),IFERROR(VALUE(MID(TRIM(SUBSTITUTE(SUBSTITUTE(MID(Общий!B120,SEARCH("Karcher",Общий!B120,1),19),".",""),"-","")),SEARCH("Karcher",TRIM(SUBSTITUTE(SUBSTITUTE(MID(Общий!B120,SEARCH("Karcher",Общий!B120,1),19),".",""),"-","")),1)+8,8)),VALUE(LEFT(SUBSTITUTE(SUBSTITUTE(Общий!B120,".",""),"-",""),8))))),0)</f>
        <v>64012530</v>
      </c>
      <c r="B120" s="25" t="str">
        <f>IFERROR(CONCATENATE(VALUE(IF(LEN(IFERROR(VALUE(MID(TRIM(SUBSTITUTE(SUBSTITUTE(MID(Общий!B120,SEARCH("Karcher",Общий!B120,1),19),".",""),"-","")),SEARCH("Karcher",TRIM(SUBSTITUTE(SUBSTITUTE(MID(Общий!B120,SEARCH("Karcher",Общий!B120,1),19),".",""),"-","")),1)+8,8)),VALUE(LEFT(SUBSTITUTE(SUBSTITUTE(Общий!B120,".",""),"-",""),8))))=7,CONCATENATE(IFERROR(VALUE(MID(TRIM(SUBSTITUTE(SUBSTITUTE(MID(Общий!B120,SEARCH("Karcher",Общий!B120,1),19),".",""),"-","")),SEARCH("Karcher",TRIM(SUBSTITUTE(SUBSTITUTE(MID(Общий!B120,SEARCH("Karcher",Общий!B120,1),19),".",""),"-","")),1)+8,8)),VALUE(LEFT(SUBSTITUTE(SUBSTITUTE(Общий!B120,".",""),"-",""),8))),"0"),IFERROR(VALUE(MID(TRIM(SUBSTITUTE(SUBSTITUTE(MID(Общий!B120,SEARCH("Karcher",Общий!B120,1),19),".",""),"-","")),SEARCH("Karcher",TRIM(SUBSTITUTE(SUBSTITUTE(MID(Общий!B120,SEARCH("Karcher",Общий!B120,1),19),".",""),"-","")),1)+8,8)),VALUE(LEFT(SUBSTITUTE(SUBSTITUTE(Общий!B120,".",""),"-",""),8)))))," ",Общий!C120),0)</f>
        <v>64012530 1</v>
      </c>
      <c r="C120" s="29" t="str">
        <f>Общий!A120</f>
        <v>112</v>
      </c>
      <c r="D120" s="27" t="str">
        <f>Общий!B120</f>
        <v>Шарикоподшипник 6305-2Z Karcher 6.401-253 код : 006176</v>
      </c>
      <c r="E120" s="28">
        <f>Общий!C120</f>
        <v>1</v>
      </c>
      <c r="F120" s="21"/>
      <c r="G120" s="44"/>
      <c r="H120" s="44"/>
      <c r="I120" s="44"/>
      <c r="J120" s="35"/>
      <c r="K120" s="16"/>
    </row>
    <row r="121" spans="1:11">
      <c r="A121" s="31">
        <f>IFERROR(VALUE(IF(LEN(IFERROR(VALUE(MID(TRIM(SUBSTITUTE(SUBSTITUTE(MID(Общий!B121,SEARCH("Karcher",Общий!B121,1),19),".",""),"-","")),SEARCH("Karcher",TRIM(SUBSTITUTE(SUBSTITUTE(MID(Общий!B121,SEARCH("Karcher",Общий!B121,1),19),".",""),"-","")),1)+8,8)),VALUE(LEFT(SUBSTITUTE(SUBSTITUTE(Общий!B121,".",""),"-",""),8))))=7,CONCATENATE(IFERROR(VALUE(MID(TRIM(SUBSTITUTE(SUBSTITUTE(MID(Общий!B121,SEARCH("Karcher",Общий!B121,1),19),".",""),"-","")),SEARCH("Karcher",TRIM(SUBSTITUTE(SUBSTITUTE(MID(Общий!B121,SEARCH("Karcher",Общий!B121,1),19),".",""),"-","")),1)+8,8)),VALUE(LEFT(SUBSTITUTE(SUBSTITUTE(Общий!B121,".",""),"-",""),8))),"0"),IFERROR(VALUE(MID(TRIM(SUBSTITUTE(SUBSTITUTE(MID(Общий!B121,SEARCH("Karcher",Общий!B121,1),19),".",""),"-","")),SEARCH("Karcher",TRIM(SUBSTITUTE(SUBSTITUTE(MID(Общий!B121,SEARCH("Karcher",Общий!B121,1),19),".",""),"-","")),1)+8,8)),VALUE(LEFT(SUBSTITUTE(SUBSTITUTE(Общий!B121,".",""),"-",""),8))))),0)</f>
        <v>64149630</v>
      </c>
      <c r="B121" s="25" t="str">
        <f>IFERROR(CONCATENATE(VALUE(IF(LEN(IFERROR(VALUE(MID(TRIM(SUBSTITUTE(SUBSTITUTE(MID(Общий!B121,SEARCH("Karcher",Общий!B121,1),19),".",""),"-","")),SEARCH("Karcher",TRIM(SUBSTITUTE(SUBSTITUTE(MID(Общий!B121,SEARCH("Karcher",Общий!B121,1),19),".",""),"-","")),1)+8,8)),VALUE(LEFT(SUBSTITUTE(SUBSTITUTE(Общий!B121,".",""),"-",""),8))))=7,CONCATENATE(IFERROR(VALUE(MID(TRIM(SUBSTITUTE(SUBSTITUTE(MID(Общий!B121,SEARCH("Karcher",Общий!B121,1),19),".",""),"-","")),SEARCH("Karcher",TRIM(SUBSTITUTE(SUBSTITUTE(MID(Общий!B121,SEARCH("Karcher",Общий!B121,1),19),".",""),"-","")),1)+8,8)),VALUE(LEFT(SUBSTITUTE(SUBSTITUTE(Общий!B121,".",""),"-",""),8))),"0"),IFERROR(VALUE(MID(TRIM(SUBSTITUTE(SUBSTITUTE(MID(Общий!B121,SEARCH("Karcher",Общий!B121,1),19),".",""),"-","")),SEARCH("Karcher",TRIM(SUBSTITUTE(SUBSTITUTE(MID(Общий!B121,SEARCH("Karcher",Общий!B121,1),19),".",""),"-","")),1)+8,8)),VALUE(LEFT(SUBSTITUTE(SUBSTITUTE(Общий!B121,".",""),"-",""),8)))))," ",Общий!C121),0)</f>
        <v>64149630 3</v>
      </c>
      <c r="C121" s="29" t="str">
        <f>Общий!A121</f>
        <v>113</v>
      </c>
      <c r="D121" s="27" t="str">
        <f>Общий!B121</f>
        <v>Фильтр НЕРА 13 (DS5500/ 5600 mediclean) Karcher 6.414-963 код : 001731</v>
      </c>
      <c r="E121" s="28">
        <f>Общий!C121</f>
        <v>3</v>
      </c>
      <c r="F121" s="21"/>
      <c r="G121" s="44"/>
      <c r="H121" s="44"/>
      <c r="I121" s="44"/>
      <c r="J121" s="35"/>
      <c r="K121" s="16"/>
    </row>
    <row r="122" spans="1:11">
      <c r="A122" s="31">
        <f>IFERROR(VALUE(IF(LEN(IFERROR(VALUE(MID(TRIM(SUBSTITUTE(SUBSTITUTE(MID(Общий!B122,SEARCH("Karcher",Общий!B122,1),19),".",""),"-","")),SEARCH("Karcher",TRIM(SUBSTITUTE(SUBSTITUTE(MID(Общий!B122,SEARCH("Karcher",Общий!B122,1),19),".",""),"-","")),1)+8,8)),VALUE(LEFT(SUBSTITUTE(SUBSTITUTE(Общий!B122,".",""),"-",""),8))))=7,CONCATENATE(IFERROR(VALUE(MID(TRIM(SUBSTITUTE(SUBSTITUTE(MID(Общий!B122,SEARCH("Karcher",Общий!B122,1),19),".",""),"-","")),SEARCH("Karcher",TRIM(SUBSTITUTE(SUBSTITUTE(MID(Общий!B122,SEARCH("Karcher",Общий!B122,1),19),".",""),"-","")),1)+8,8)),VALUE(LEFT(SUBSTITUTE(SUBSTITUTE(Общий!B122,".",""),"-",""),8))),"0"),IFERROR(VALUE(MID(TRIM(SUBSTITUTE(SUBSTITUTE(MID(Общий!B122,SEARCH("Karcher",Общий!B122,1),19),".",""),"-","")),SEARCH("Karcher",TRIM(SUBSTITUTE(SUBSTITUTE(MID(Общий!B122,SEARCH("Karcher",Общий!B122,1),19),".",""),"-","")),1)+8,8)),VALUE(LEFT(SUBSTITUTE(SUBSTITUTE(Общий!B122,".",""),"-",""),8))))),0)</f>
        <v>73670090</v>
      </c>
      <c r="B122" s="25" t="str">
        <f>IFERROR(CONCATENATE(VALUE(IF(LEN(IFERROR(VALUE(MID(TRIM(SUBSTITUTE(SUBSTITUTE(MID(Общий!B122,SEARCH("Karcher",Общий!B122,1),19),".",""),"-","")),SEARCH("Karcher",TRIM(SUBSTITUTE(SUBSTITUTE(MID(Общий!B122,SEARCH("Karcher",Общий!B122,1),19),".",""),"-","")),1)+8,8)),VALUE(LEFT(SUBSTITUTE(SUBSTITUTE(Общий!B122,".",""),"-",""),8))))=7,CONCATENATE(IFERROR(VALUE(MID(TRIM(SUBSTITUTE(SUBSTITUTE(MID(Общий!B122,SEARCH("Karcher",Общий!B122,1),19),".",""),"-","")),SEARCH("Karcher",TRIM(SUBSTITUTE(SUBSTITUTE(MID(Общий!B122,SEARCH("Karcher",Общий!B122,1),19),".",""),"-","")),1)+8,8)),VALUE(LEFT(SUBSTITUTE(SUBSTITUTE(Общий!B122,".",""),"-",""),8))),"0"),IFERROR(VALUE(MID(TRIM(SUBSTITUTE(SUBSTITUTE(MID(Общий!B122,SEARCH("Karcher",Общий!B122,1),19),".",""),"-","")),SEARCH("Karcher",TRIM(SUBSTITUTE(SUBSTITUTE(MID(Общий!B122,SEARCH("Karcher",Общий!B122,1),19),".",""),"-","")),1)+8,8)),VALUE(LEFT(SUBSTITUTE(SUBSTITUTE(Общий!B122,".",""),"-",""),8)))))," ",Общий!C122),0)</f>
        <v>73670090 1</v>
      </c>
      <c r="C122" s="29" t="str">
        <f>Общий!A122</f>
        <v>114</v>
      </c>
      <c r="D122" s="27" t="str">
        <f>Общий!B122</f>
        <v>Радиальное уплотнение вала Karcher 7.367-009 код : 006152</v>
      </c>
      <c r="E122" s="28">
        <f>Общий!C122</f>
        <v>1</v>
      </c>
      <c r="F122" s="21"/>
      <c r="G122" s="44"/>
      <c r="H122" s="44"/>
      <c r="I122" s="44"/>
      <c r="J122" s="35"/>
      <c r="K122" s="16"/>
    </row>
    <row r="123" spans="1:11">
      <c r="A123" s="31">
        <f>IFERROR(VALUE(IF(LEN(IFERROR(VALUE(MID(TRIM(SUBSTITUTE(SUBSTITUTE(MID(Общий!B123,SEARCH("Karcher",Общий!B123,1),19),".",""),"-","")),SEARCH("Karcher",TRIM(SUBSTITUTE(SUBSTITUTE(MID(Общий!B123,SEARCH("Karcher",Общий!B123,1),19),".",""),"-","")),1)+8,8)),VALUE(LEFT(SUBSTITUTE(SUBSTITUTE(Общий!B123,".",""),"-",""),8))))=7,CONCATENATE(IFERROR(VALUE(MID(TRIM(SUBSTITUTE(SUBSTITUTE(MID(Общий!B123,SEARCH("Karcher",Общий!B123,1),19),".",""),"-","")),SEARCH("Karcher",TRIM(SUBSTITUTE(SUBSTITUTE(MID(Общий!B123,SEARCH("Karcher",Общий!B123,1),19),".",""),"-","")),1)+8,8)),VALUE(LEFT(SUBSTITUTE(SUBSTITUTE(Общий!B123,".",""),"-",""),8))),"0"),IFERROR(VALUE(MID(TRIM(SUBSTITUTE(SUBSTITUTE(MID(Общий!B123,SEARCH("Karcher",Общий!B123,1),19),".",""),"-","")),SEARCH("Karcher",TRIM(SUBSTITUTE(SUBSTITUTE(MID(Общий!B123,SEARCH("Karcher",Общий!B123,1),19),".",""),"-","")),1)+8,8)),VALUE(LEFT(SUBSTITUTE(SUBSTITUTE(Общий!B123,".",""),"-",""),8))))),0)</f>
        <v>13171700</v>
      </c>
      <c r="B123" s="25" t="str">
        <f>IFERROR(CONCATENATE(VALUE(IF(LEN(IFERROR(VALUE(MID(TRIM(SUBSTITUTE(SUBSTITUTE(MID(Общий!B123,SEARCH("Karcher",Общий!B123,1),19),".",""),"-","")),SEARCH("Karcher",TRIM(SUBSTITUTE(SUBSTITUTE(MID(Общий!B123,SEARCH("Karcher",Общий!B123,1),19),".",""),"-","")),1)+8,8)),VALUE(LEFT(SUBSTITUTE(SUBSTITUTE(Общий!B123,".",""),"-",""),8))))=7,CONCATENATE(IFERROR(VALUE(MID(TRIM(SUBSTITUTE(SUBSTITUTE(MID(Общий!B123,SEARCH("Karcher",Общий!B123,1),19),".",""),"-","")),SEARCH("Karcher",TRIM(SUBSTITUTE(SUBSTITUTE(MID(Общий!B123,SEARCH("Karcher",Общий!B123,1),19),".",""),"-","")),1)+8,8)),VALUE(LEFT(SUBSTITUTE(SUBSTITUTE(Общий!B123,".",""),"-",""),8))),"0"),IFERROR(VALUE(MID(TRIM(SUBSTITUTE(SUBSTITUTE(MID(Общий!B123,SEARCH("Karcher",Общий!B123,1),19),".",""),"-","")),SEARCH("Karcher",TRIM(SUBSTITUTE(SUBSTITUTE(MID(Общий!B123,SEARCH("Karcher",Общий!B123,1),19),".",""),"-","")),1)+8,8)),VALUE(LEFT(SUBSTITUTE(SUBSTITUTE(Общий!B123,".",""),"-",""),8)))))," ",Общий!C123),0)</f>
        <v>13171700 1</v>
      </c>
      <c r="C123" s="29" t="str">
        <f>Общий!A123</f>
        <v>115</v>
      </c>
      <c r="D123" s="27" t="str">
        <f>Общий!B123</f>
        <v>К 7 Premium Power Аппарат высокого давления Karcher 1.317-170 код : 000077</v>
      </c>
      <c r="E123" s="28">
        <f>Общий!C123</f>
        <v>1</v>
      </c>
      <c r="F123" s="21"/>
      <c r="G123" s="44"/>
      <c r="H123" s="44"/>
      <c r="I123" s="44"/>
      <c r="J123" s="35"/>
      <c r="K123" s="16"/>
    </row>
    <row r="124" spans="1:11">
      <c r="A124" s="31">
        <f>IFERROR(VALUE(IF(LEN(IFERROR(VALUE(MID(TRIM(SUBSTITUTE(SUBSTITUTE(MID(Общий!B124,SEARCH("Karcher",Общий!B124,1),19),".",""),"-","")),SEARCH("Karcher",TRIM(SUBSTITUTE(SUBSTITUTE(MID(Общий!B124,SEARCH("Karcher",Общий!B124,1),19),".",""),"-","")),1)+8,8)),VALUE(LEFT(SUBSTITUTE(SUBSTITUTE(Общий!B124,".",""),"-",""),8))))=7,CONCATENATE(IFERROR(VALUE(MID(TRIM(SUBSTITUTE(SUBSTITUTE(MID(Общий!B124,SEARCH("Karcher",Общий!B124,1),19),".",""),"-","")),SEARCH("Karcher",TRIM(SUBSTITUTE(SUBSTITUTE(MID(Общий!B124,SEARCH("Karcher",Общий!B124,1),19),".",""),"-","")),1)+8,8)),VALUE(LEFT(SUBSTITUTE(SUBSTITUTE(Общий!B124,".",""),"-",""),8))),"0"),IFERROR(VALUE(MID(TRIM(SUBSTITUTE(SUBSTITUTE(MID(Общий!B124,SEARCH("Karcher",Общий!B124,1),19),".",""),"-","")),SEARCH("Karcher",TRIM(SUBSTITUTE(SUBSTITUTE(MID(Общий!B124,SEARCH("Karcher",Общий!B124,1),19),".",""),"-","")),1)+8,8)),VALUE(LEFT(SUBSTITUTE(SUBSTITUTE(Общий!B124,".",""),"-",""),8))))),0)</f>
        <v>28633030</v>
      </c>
      <c r="B124" s="25" t="str">
        <f>IFERROR(CONCATENATE(VALUE(IF(LEN(IFERROR(VALUE(MID(TRIM(SUBSTITUTE(SUBSTITUTE(MID(Общий!B124,SEARCH("Karcher",Общий!B124,1),19),".",""),"-","")),SEARCH("Karcher",TRIM(SUBSTITUTE(SUBSTITUTE(MID(Общий!B124,SEARCH("Karcher",Общий!B124,1),19),".",""),"-","")),1)+8,8)),VALUE(LEFT(SUBSTITUTE(SUBSTITUTE(Общий!B124,".",""),"-",""),8))))=7,CONCATENATE(IFERROR(VALUE(MID(TRIM(SUBSTITUTE(SUBSTITUTE(MID(Общий!B124,SEARCH("Karcher",Общий!B124,1),19),".",""),"-","")),SEARCH("Karcher",TRIM(SUBSTITUTE(SUBSTITUTE(MID(Общий!B124,SEARCH("Karcher",Общий!B124,1),19),".",""),"-","")),1)+8,8)),VALUE(LEFT(SUBSTITUTE(SUBSTITUTE(Общий!B124,".",""),"-",""),8))),"0"),IFERROR(VALUE(MID(TRIM(SUBSTITUTE(SUBSTITUTE(MID(Общий!B124,SEARCH("Karcher",Общий!B124,1),19),".",""),"-","")),SEARCH("Karcher",TRIM(SUBSTITUTE(SUBSTITUTE(MID(Общий!B124,SEARCH("Karcher",Общий!B124,1),19),".",""),"-","")),1)+8,8)),VALUE(LEFT(SUBSTITUTE(SUBSTITUTE(Общий!B124,".",""),"-",""),8)))))," ",Общий!C124),0)</f>
        <v>28633030 10</v>
      </c>
      <c r="C124" s="29" t="str">
        <f>Общий!A124</f>
        <v>116</v>
      </c>
      <c r="D124" s="27" t="str">
        <f>Общий!B124</f>
        <v>Фильтр патронный  для WD2-3 Karcher 2.863-303 код : 001453</v>
      </c>
      <c r="E124" s="28">
        <f>Общий!C124</f>
        <v>10</v>
      </c>
      <c r="F124" s="21"/>
      <c r="G124" s="44"/>
      <c r="H124" s="44"/>
      <c r="I124" s="44"/>
      <c r="J124" s="35"/>
      <c r="K124" s="16"/>
    </row>
    <row r="125" spans="1:11">
      <c r="A125" s="31">
        <f>IFERROR(VALUE(IF(LEN(IFERROR(VALUE(MID(TRIM(SUBSTITUTE(SUBSTITUTE(MID(Общий!B125,SEARCH("Karcher",Общий!B125,1),19),".",""),"-","")),SEARCH("Karcher",TRIM(SUBSTITUTE(SUBSTITUTE(MID(Общий!B125,SEARCH("Karcher",Общий!B125,1),19),".",""),"-","")),1)+8,8)),VALUE(LEFT(SUBSTITUTE(SUBSTITUTE(Общий!B125,".",""),"-",""),8))))=7,CONCATENATE(IFERROR(VALUE(MID(TRIM(SUBSTITUTE(SUBSTITUTE(MID(Общий!B125,SEARCH("Karcher",Общий!B125,1),19),".",""),"-","")),SEARCH("Karcher",TRIM(SUBSTITUTE(SUBSTITUTE(MID(Общий!B125,SEARCH("Karcher",Общий!B125,1),19),".",""),"-","")),1)+8,8)),VALUE(LEFT(SUBSTITUTE(SUBSTITUTE(Общий!B125,".",""),"-",""),8))),"0"),IFERROR(VALUE(MID(TRIM(SUBSTITUTE(SUBSTITUTE(MID(Общий!B125,SEARCH("Karcher",Общий!B125,1),19),".",""),"-","")),SEARCH("Karcher",TRIM(SUBSTITUTE(SUBSTITUTE(MID(Общий!B125,SEARCH("Karcher",Общий!B125,1),19),".",""),"-","")),1)+8,8)),VALUE(LEFT(SUBSTITUTE(SUBSTITUTE(Общий!B125,".",""),"-",""),8))))),0)</f>
        <v>0</v>
      </c>
      <c r="B125" s="25">
        <f>IFERROR(CONCATENATE(VALUE(IF(LEN(IFERROR(VALUE(MID(TRIM(SUBSTITUTE(SUBSTITUTE(MID(Общий!B125,SEARCH("Karcher",Общий!B125,1),19),".",""),"-","")),SEARCH("Karcher",TRIM(SUBSTITUTE(SUBSTITUTE(MID(Общий!B125,SEARCH("Karcher",Общий!B125,1),19),".",""),"-","")),1)+8,8)),VALUE(LEFT(SUBSTITUTE(SUBSTITUTE(Общий!B125,".",""),"-",""),8))))=7,CONCATENATE(IFERROR(VALUE(MID(TRIM(SUBSTITUTE(SUBSTITUTE(MID(Общий!B125,SEARCH("Karcher",Общий!B125,1),19),".",""),"-","")),SEARCH("Karcher",TRIM(SUBSTITUTE(SUBSTITUTE(MID(Общий!B125,SEARCH("Karcher",Общий!B125,1),19),".",""),"-","")),1)+8,8)),VALUE(LEFT(SUBSTITUTE(SUBSTITUTE(Общий!B125,".",""),"-",""),8))),"0"),IFERROR(VALUE(MID(TRIM(SUBSTITUTE(SUBSTITUTE(MID(Общий!B125,SEARCH("Karcher",Общий!B125,1),19),".",""),"-","")),SEARCH("Karcher",TRIM(SUBSTITUTE(SUBSTITUTE(MID(Общий!B125,SEARCH("Karcher",Общий!B125,1),19),".",""),"-","")),1)+8,8)),VALUE(LEFT(SUBSTITUTE(SUBSTITUTE(Общий!B125,".",""),"-",""),8)))))," ",Общий!C125),0)</f>
        <v>0</v>
      </c>
      <c r="C125" s="29" t="str">
        <f>Общий!A125</f>
        <v>117</v>
      </c>
      <c r="D125" s="27" t="str">
        <f>Общий!B125</f>
        <v xml:space="preserve"> код :</v>
      </c>
      <c r="E125" s="28">
        <f>Общий!C125</f>
        <v>0</v>
      </c>
      <c r="F125" s="21"/>
      <c r="G125" s="44"/>
      <c r="H125" s="44"/>
      <c r="I125" s="44"/>
      <c r="J125" s="35"/>
      <c r="K125" s="16"/>
    </row>
    <row r="126" spans="1:11">
      <c r="A126" s="31">
        <f>IFERROR(VALUE(IF(LEN(IFERROR(VALUE(MID(TRIM(SUBSTITUTE(SUBSTITUTE(MID(Общий!B126,SEARCH("Karcher",Общий!B126,1),19),".",""),"-","")),SEARCH("Karcher",TRIM(SUBSTITUTE(SUBSTITUTE(MID(Общий!B126,SEARCH("Karcher",Общий!B126,1),19),".",""),"-","")),1)+8,8)),VALUE(LEFT(SUBSTITUTE(SUBSTITUTE(Общий!B126,".",""),"-",""),8))))=7,CONCATENATE(IFERROR(VALUE(MID(TRIM(SUBSTITUTE(SUBSTITUTE(MID(Общий!B126,SEARCH("Karcher",Общий!B126,1),19),".",""),"-","")),SEARCH("Karcher",TRIM(SUBSTITUTE(SUBSTITUTE(MID(Общий!B126,SEARCH("Karcher",Общий!B126,1),19),".",""),"-","")),1)+8,8)),VALUE(LEFT(SUBSTITUTE(SUBSTITUTE(Общий!B126,".",""),"-",""),8))),"0"),IFERROR(VALUE(MID(TRIM(SUBSTITUTE(SUBSTITUTE(MID(Общий!B126,SEARCH("Karcher",Общий!B126,1),19),".",""),"-","")),SEARCH("Karcher",TRIM(SUBSTITUTE(SUBSTITUTE(MID(Общий!B126,SEARCH("Karcher",Общий!B126,1),19),".",""),"-","")),1)+8,8)),VALUE(LEFT(SUBSTITUTE(SUBSTITUTE(Общий!B126,".",""),"-",""),8))))),0)</f>
        <v>10554600</v>
      </c>
      <c r="B126" s="25" t="str">
        <f>IFERROR(CONCATENATE(VALUE(IF(LEN(IFERROR(VALUE(MID(TRIM(SUBSTITUTE(SUBSTITUTE(MID(Общий!B126,SEARCH("Karcher",Общий!B126,1),19),".",""),"-","")),SEARCH("Karcher",TRIM(SUBSTITUTE(SUBSTITUTE(MID(Общий!B126,SEARCH("Karcher",Общий!B126,1),19),".",""),"-","")),1)+8,8)),VALUE(LEFT(SUBSTITUTE(SUBSTITUTE(Общий!B126,".",""),"-",""),8))))=7,CONCATENATE(IFERROR(VALUE(MID(TRIM(SUBSTITUTE(SUBSTITUTE(MID(Общий!B126,SEARCH("Karcher",Общий!B126,1),19),".",""),"-","")),SEARCH("Karcher",TRIM(SUBSTITUTE(SUBSTITUTE(MID(Общий!B126,SEARCH("Karcher",Общий!B126,1),19),".",""),"-","")),1)+8,8)),VALUE(LEFT(SUBSTITUTE(SUBSTITUTE(Общий!B126,".",""),"-",""),8))),"0"),IFERROR(VALUE(MID(TRIM(SUBSTITUTE(SUBSTITUTE(MID(Общий!B126,SEARCH("Karcher",Общий!B126,1),19),".",""),"-","")),SEARCH("Karcher",TRIM(SUBSTITUTE(SUBSTITUTE(MID(Общий!B126,SEARCH("Karcher",Общий!B126,1),19),".",""),"-","")),1)+8,8)),VALUE(LEFT(SUBSTITUTE(SUBSTITUTE(Общий!B126,".",""),"-",""),8)))))," ",Общий!C126),0)</f>
        <v>10554600 1</v>
      </c>
      <c r="C126" s="29" t="str">
        <f>Общий!A126</f>
        <v>118</v>
      </c>
      <c r="D126" s="27" t="str">
        <f>Общий!B126</f>
        <v>FC 5 *Premium (white) Аппарат для влажной уборки Karcher 1.055-460 код : 000174</v>
      </c>
      <c r="E126" s="28">
        <f>Общий!C126</f>
        <v>1</v>
      </c>
      <c r="F126" s="21"/>
      <c r="G126" s="44"/>
      <c r="H126" s="44"/>
      <c r="I126" s="44"/>
      <c r="J126" s="35"/>
      <c r="K126" s="16"/>
    </row>
    <row r="127" spans="1:11">
      <c r="A127" s="31">
        <f>IFERROR(VALUE(IF(LEN(IFERROR(VALUE(MID(TRIM(SUBSTITUTE(SUBSTITUTE(MID(Общий!B127,SEARCH("Karcher",Общий!B127,1),19),".",""),"-","")),SEARCH("Karcher",TRIM(SUBSTITUTE(SUBSTITUTE(MID(Общий!B127,SEARCH("Karcher",Общий!B127,1),19),".",""),"-","")),1)+8,8)),VALUE(LEFT(SUBSTITUTE(SUBSTITUTE(Общий!B127,".",""),"-",""),8))))=7,CONCATENATE(IFERROR(VALUE(MID(TRIM(SUBSTITUTE(SUBSTITUTE(MID(Общий!B127,SEARCH("Karcher",Общий!B127,1),19),".",""),"-","")),SEARCH("Karcher",TRIM(SUBSTITUTE(SUBSTITUTE(MID(Общий!B127,SEARCH("Karcher",Общий!B127,1),19),".",""),"-","")),1)+8,8)),VALUE(LEFT(SUBSTITUTE(SUBSTITUTE(Общий!B127,".",""),"-",""),8))),"0"),IFERROR(VALUE(MID(TRIM(SUBSTITUTE(SUBSTITUTE(MID(Общий!B127,SEARCH("Karcher",Общий!B127,1),19),".",""),"-","")),SEARCH("Karcher",TRIM(SUBSTITUTE(SUBSTITUTE(MID(Общий!B127,SEARCH("Karcher",Общий!B127,1),19),".",""),"-","")),1)+8,8)),VALUE(LEFT(SUBSTITUTE(SUBSTITUTE(Общий!B127,".",""),"-",""),8))))),0)</f>
        <v>10811380</v>
      </c>
      <c r="B127" s="25" t="str">
        <f>IFERROR(CONCATENATE(VALUE(IF(LEN(IFERROR(VALUE(MID(TRIM(SUBSTITUTE(SUBSTITUTE(MID(Общий!B127,SEARCH("Karcher",Общий!B127,1),19),".",""),"-","")),SEARCH("Karcher",TRIM(SUBSTITUTE(SUBSTITUTE(MID(Общий!B127,SEARCH("Karcher",Общий!B127,1),19),".",""),"-","")),1)+8,8)),VALUE(LEFT(SUBSTITUTE(SUBSTITUTE(Общий!B127,".",""),"-",""),8))))=7,CONCATENATE(IFERROR(VALUE(MID(TRIM(SUBSTITUTE(SUBSTITUTE(MID(Общий!B127,SEARCH("Karcher",Общий!B127,1),19),".",""),"-","")),SEARCH("Karcher",TRIM(SUBSTITUTE(SUBSTITUTE(MID(Общий!B127,SEARCH("Karcher",Общий!B127,1),19),".",""),"-","")),1)+8,8)),VALUE(LEFT(SUBSTITUTE(SUBSTITUTE(Общий!B127,".",""),"-",""),8))),"0"),IFERROR(VALUE(MID(TRIM(SUBSTITUTE(SUBSTITUTE(MID(Общий!B127,SEARCH("Karcher",Общий!B127,1),19),".",""),"-","")),SEARCH("Karcher",TRIM(SUBSTITUTE(SUBSTITUTE(MID(Общий!B127,SEARCH("Karcher",Общий!B127,1),19),".",""),"-","")),1)+8,8)),VALUE(LEFT(SUBSTITUTE(SUBSTITUTE(Общий!B127,".",""),"-",""),8)))))," ",Общий!C127),0)</f>
        <v>10811380 2</v>
      </c>
      <c r="C127" s="29" t="str">
        <f>Общий!A127</f>
        <v>119</v>
      </c>
      <c r="D127" s="27" t="str">
        <f>Общий!B127</f>
        <v>SE 4001 Plus Limited Edition Моющий пылесос Karcher 1.081-138 код : 000153</v>
      </c>
      <c r="E127" s="28">
        <f>Общий!C127</f>
        <v>2</v>
      </c>
      <c r="F127" s="21"/>
      <c r="G127" s="44"/>
      <c r="H127" s="44"/>
      <c r="I127" s="44"/>
      <c r="J127" s="35"/>
      <c r="K127" s="16"/>
    </row>
    <row r="128" spans="1:11">
      <c r="A128" s="31">
        <f>IFERROR(VALUE(IF(LEN(IFERROR(VALUE(MID(TRIM(SUBSTITUTE(SUBSTITUTE(MID(Общий!B128,SEARCH("Karcher",Общий!B128,1),19),".",""),"-","")),SEARCH("Karcher",TRIM(SUBSTITUTE(SUBSTITUTE(MID(Общий!B128,SEARCH("Karcher",Общий!B128,1),19),".",""),"-","")),1)+8,8)),VALUE(LEFT(SUBSTITUTE(SUBSTITUTE(Общий!B128,".",""),"-",""),8))))=7,CONCATENATE(IFERROR(VALUE(MID(TRIM(SUBSTITUTE(SUBSTITUTE(MID(Общий!B128,SEARCH("Karcher",Общий!B128,1),19),".",""),"-","")),SEARCH("Karcher",TRIM(SUBSTITUTE(SUBSTITUTE(MID(Общий!B128,SEARCH("Karcher",Общий!B128,1),19),".",""),"-","")),1)+8,8)),VALUE(LEFT(SUBSTITUTE(SUBSTITUTE(Общий!B128,".",""),"-",""),8))),"0"),IFERROR(VALUE(MID(TRIM(SUBSTITUTE(SUBSTITUTE(MID(Общий!B128,SEARCH("Karcher",Общий!B128,1),19),".",""),"-","")),SEARCH("Karcher",TRIM(SUBSTITUTE(SUBSTITUTE(MID(Общий!B128,SEARCH("Karcher",Общий!B128,1),19),".",""),"-","")),1)+8,8)),VALUE(LEFT(SUBSTITUTE(SUBSTITUTE(Общий!B128,".",""),"-",""),8))))),0)</f>
        <v>10812200</v>
      </c>
      <c r="B128" s="25" t="str">
        <f>IFERROR(CONCATENATE(VALUE(IF(LEN(IFERROR(VALUE(MID(TRIM(SUBSTITUTE(SUBSTITUTE(MID(Общий!B128,SEARCH("Karcher",Общий!B128,1),19),".",""),"-","")),SEARCH("Karcher",TRIM(SUBSTITUTE(SUBSTITUTE(MID(Общий!B128,SEARCH("Karcher",Общий!B128,1),19),".",""),"-","")),1)+8,8)),VALUE(LEFT(SUBSTITUTE(SUBSTITUTE(Общий!B128,".",""),"-",""),8))))=7,CONCATENATE(IFERROR(VALUE(MID(TRIM(SUBSTITUTE(SUBSTITUTE(MID(Общий!B128,SEARCH("Karcher",Общий!B128,1),19),".",""),"-","")),SEARCH("Karcher",TRIM(SUBSTITUTE(SUBSTITUTE(MID(Общий!B128,SEARCH("Karcher",Общий!B128,1),19),".",""),"-","")),1)+8,8)),VALUE(LEFT(SUBSTITUTE(SUBSTITUTE(Общий!B128,".",""),"-",""),8))),"0"),IFERROR(VALUE(MID(TRIM(SUBSTITUTE(SUBSTITUTE(MID(Общий!B128,SEARCH("Karcher",Общий!B128,1),19),".",""),"-","")),SEARCH("Karcher",TRIM(SUBSTITUTE(SUBSTITUTE(MID(Общий!B128,SEARCH("Karcher",Общий!B128,1),19),".",""),"-","")),1)+8,8)),VALUE(LEFT(SUBSTITUTE(SUBSTITUTE(Общий!B128,".",""),"-",""),8)))))," ",Общий!C128),0)</f>
        <v>10812200 2</v>
      </c>
      <c r="C128" s="29" t="str">
        <f>Общий!A128</f>
        <v>120</v>
      </c>
      <c r="D128" s="27" t="str">
        <f>Общий!B128</f>
        <v>SE 6.100 Моющий пылесос Karcher 1.081-220 код : 000155</v>
      </c>
      <c r="E128" s="28">
        <f>Общий!C128</f>
        <v>2</v>
      </c>
      <c r="F128" s="21"/>
      <c r="G128" s="44"/>
      <c r="H128" s="44"/>
      <c r="I128" s="44"/>
      <c r="J128" s="35"/>
      <c r="K128" s="16"/>
    </row>
    <row r="129" spans="1:11">
      <c r="A129" s="31">
        <f>IFERROR(VALUE(IF(LEN(IFERROR(VALUE(MID(TRIM(SUBSTITUTE(SUBSTITUTE(MID(Общий!B129,SEARCH("Karcher",Общий!B129,1),19),".",""),"-","")),SEARCH("Karcher",TRIM(SUBSTITUTE(SUBSTITUTE(MID(Общий!B129,SEARCH("Karcher",Общий!B129,1),19),".",""),"-","")),1)+8,8)),VALUE(LEFT(SUBSTITUTE(SUBSTITUTE(Общий!B129,".",""),"-",""),8))))=7,CONCATENATE(IFERROR(VALUE(MID(TRIM(SUBSTITUTE(SUBSTITUTE(MID(Общий!B129,SEARCH("Karcher",Общий!B129,1),19),".",""),"-","")),SEARCH("Karcher",TRIM(SUBSTITUTE(SUBSTITUTE(MID(Общий!B129,SEARCH("Karcher",Общий!B129,1),19),".",""),"-","")),1)+8,8)),VALUE(LEFT(SUBSTITUTE(SUBSTITUTE(Общий!B129,".",""),"-",""),8))),"0"),IFERROR(VALUE(MID(TRIM(SUBSTITUTE(SUBSTITUTE(MID(Общий!B129,SEARCH("Karcher",Общий!B129,1),19),".",""),"-","")),SEARCH("Karcher",TRIM(SUBSTITUTE(SUBSTITUTE(MID(Общий!B129,SEARCH("Karcher",Общий!B129,1),19),".",""),"-","")),1)+8,8)),VALUE(LEFT(SUBSTITUTE(SUBSTITUTE(Общий!B129,".",""),"-",""),8))))),0)</f>
        <v>11685080</v>
      </c>
      <c r="B129" s="25" t="str">
        <f>IFERROR(CONCATENATE(VALUE(IF(LEN(IFERROR(VALUE(MID(TRIM(SUBSTITUTE(SUBSTITUTE(MID(Общий!B129,SEARCH("Karcher",Общий!B129,1),19),".",""),"-","")),SEARCH("Karcher",TRIM(SUBSTITUTE(SUBSTITUTE(MID(Общий!B129,SEARCH("Karcher",Общий!B129,1),19),".",""),"-","")),1)+8,8)),VALUE(LEFT(SUBSTITUTE(SUBSTITUTE(Общий!B129,".",""),"-",""),8))))=7,CONCATENATE(IFERROR(VALUE(MID(TRIM(SUBSTITUTE(SUBSTITUTE(MID(Общий!B129,SEARCH("Karcher",Общий!B129,1),19),".",""),"-","")),SEARCH("Karcher",TRIM(SUBSTITUTE(SUBSTITUTE(MID(Общий!B129,SEARCH("Karcher",Общий!B129,1),19),".",""),"-","")),1)+8,8)),VALUE(LEFT(SUBSTITUTE(SUBSTITUTE(Общий!B129,".",""),"-",""),8))),"0"),IFERROR(VALUE(MID(TRIM(SUBSTITUTE(SUBSTITUTE(MID(Общий!B129,SEARCH("Karcher",Общий!B129,1),19),".",""),"-","")),SEARCH("Karcher",TRIM(SUBSTITUTE(SUBSTITUTE(MID(Общий!B129,SEARCH("Karcher",Общий!B129,1),19),".",""),"-","")),1)+8,8)),VALUE(LEFT(SUBSTITUTE(SUBSTITUTE(Общий!B129,".",""),"-",""),8)))))," ",Общий!C129),0)</f>
        <v>11685080 3</v>
      </c>
      <c r="C129" s="29" t="str">
        <f>Общий!A129</f>
        <v>121</v>
      </c>
      <c r="D129" s="27" t="str">
        <f>Общий!B129</f>
        <v>К 6 Special *EU Аппарат высокого давления Karcher 1.168-508 код : 000066</v>
      </c>
      <c r="E129" s="28">
        <f>Общий!C129</f>
        <v>3</v>
      </c>
      <c r="F129" s="21"/>
      <c r="G129" s="44"/>
      <c r="H129" s="44"/>
      <c r="I129" s="44"/>
      <c r="J129" s="35"/>
      <c r="K129" s="16"/>
    </row>
    <row r="130" spans="1:11">
      <c r="A130" s="31">
        <f>IFERROR(VALUE(IF(LEN(IFERROR(VALUE(MID(TRIM(SUBSTITUTE(SUBSTITUTE(MID(Общий!B130,SEARCH("Karcher",Общий!B130,1),19),".",""),"-","")),SEARCH("Karcher",TRIM(SUBSTITUTE(SUBSTITUTE(MID(Общий!B130,SEARCH("Karcher",Общий!B130,1),19),".",""),"-","")),1)+8,8)),VALUE(LEFT(SUBSTITUTE(SUBSTITUTE(Общий!B130,".",""),"-",""),8))))=7,CONCATENATE(IFERROR(VALUE(MID(TRIM(SUBSTITUTE(SUBSTITUTE(MID(Общий!B130,SEARCH("Karcher",Общий!B130,1),19),".",""),"-","")),SEARCH("Karcher",TRIM(SUBSTITUTE(SUBSTITUTE(MID(Общий!B130,SEARCH("Karcher",Общий!B130,1),19),".",""),"-","")),1)+8,8)),VALUE(LEFT(SUBSTITUTE(SUBSTITUTE(Общий!B130,".",""),"-",""),8))),"0"),IFERROR(VALUE(MID(TRIM(SUBSTITUTE(SUBSTITUTE(MID(Общий!B130,SEARCH("Karcher",Общий!B130,1),19),".",""),"-","")),SEARCH("Karcher",TRIM(SUBSTITUTE(SUBSTITUTE(MID(Общий!B130,SEARCH("Karcher",Общий!B130,1),19),".",""),"-","")),1)+8,8)),VALUE(LEFT(SUBSTITUTE(SUBSTITUTE(Общий!B130,".",""),"-",""),8))))),0)</f>
        <v>11981350</v>
      </c>
      <c r="B130" s="25" t="str">
        <f>IFERROR(CONCATENATE(VALUE(IF(LEN(IFERROR(VALUE(MID(TRIM(SUBSTITUTE(SUBSTITUTE(MID(Общий!B130,SEARCH("Karcher",Общий!B130,1),19),".",""),"-","")),SEARCH("Karcher",TRIM(SUBSTITUTE(SUBSTITUTE(MID(Общий!B130,SEARCH("Karcher",Общий!B130,1),19),".",""),"-","")),1)+8,8)),VALUE(LEFT(SUBSTITUTE(SUBSTITUTE(Общий!B130,".",""),"-",""),8))))=7,CONCATENATE(IFERROR(VALUE(MID(TRIM(SUBSTITUTE(SUBSTITUTE(MID(Общий!B130,SEARCH("Karcher",Общий!B130,1),19),".",""),"-","")),SEARCH("Karcher",TRIM(SUBSTITUTE(SUBSTITUTE(MID(Общий!B130,SEARCH("Karcher",Общий!B130,1),19),".",""),"-","")),1)+8,8)),VALUE(LEFT(SUBSTITUTE(SUBSTITUTE(Общий!B130,".",""),"-",""),8))),"0"),IFERROR(VALUE(MID(TRIM(SUBSTITUTE(SUBSTITUTE(MID(Общий!B130,SEARCH("Karcher",Общий!B130,1),19),".",""),"-","")),SEARCH("Karcher",TRIM(SUBSTITUTE(SUBSTITUTE(MID(Общий!B130,SEARCH("Karcher",Общий!B130,1),19),".",""),"-","")),1)+8,8)),VALUE(LEFT(SUBSTITUTE(SUBSTITUTE(Общий!B130,".",""),"-",""),8)))))," ",Общий!C130),0)</f>
        <v>11981350 3</v>
      </c>
      <c r="C130" s="29" t="str">
        <f>Общий!A130</f>
        <v>122</v>
      </c>
      <c r="D130" s="27" t="str">
        <f>Общий!B130</f>
        <v>VC 3 Premium (white) *EU-I Пылесос Karcher 1.198-135 код : 000107</v>
      </c>
      <c r="E130" s="28">
        <f>Общий!C130</f>
        <v>3</v>
      </c>
      <c r="F130" s="21"/>
      <c r="G130" s="44"/>
      <c r="H130" s="44"/>
      <c r="I130" s="44"/>
      <c r="J130" s="35"/>
      <c r="K130" s="16"/>
    </row>
    <row r="131" spans="1:11">
      <c r="A131" s="31">
        <f>IFERROR(VALUE(IF(LEN(IFERROR(VALUE(MID(TRIM(SUBSTITUTE(SUBSTITUTE(MID(Общий!B131,SEARCH("Karcher",Общий!B131,1),19),".",""),"-","")),SEARCH("Karcher",TRIM(SUBSTITUTE(SUBSTITUTE(MID(Общий!B131,SEARCH("Karcher",Общий!B131,1),19),".",""),"-","")),1)+8,8)),VALUE(LEFT(SUBSTITUTE(SUBSTITUTE(Общий!B131,".",""),"-",""),8))))=7,CONCATENATE(IFERROR(VALUE(MID(TRIM(SUBSTITUTE(SUBSTITUTE(MID(Общий!B131,SEARCH("Karcher",Общий!B131,1),19),".",""),"-","")),SEARCH("Karcher",TRIM(SUBSTITUTE(SUBSTITUTE(MID(Общий!B131,SEARCH("Karcher",Общий!B131,1),19),".",""),"-","")),1)+8,8)),VALUE(LEFT(SUBSTITUTE(SUBSTITUTE(Общий!B131,".",""),"-",""),8))),"0"),IFERROR(VALUE(MID(TRIM(SUBSTITUTE(SUBSTITUTE(MID(Общий!B131,SEARCH("Karcher",Общий!B131,1),19),".",""),"-","")),SEARCH("Karcher",TRIM(SUBSTITUTE(SUBSTITUTE(MID(Общий!B131,SEARCH("Karcher",Общий!B131,1),19),".",""),"-","")),1)+8,8)),VALUE(LEFT(SUBSTITUTE(SUBSTITUTE(Общий!B131,".",""),"-",""),8))))),0)</f>
        <v>13673060</v>
      </c>
      <c r="B131" s="25" t="str">
        <f>IFERROR(CONCATENATE(VALUE(IF(LEN(IFERROR(VALUE(MID(TRIM(SUBSTITUTE(SUBSTITUTE(MID(Общий!B131,SEARCH("Karcher",Общий!B131,1),19),".",""),"-","")),SEARCH("Karcher",TRIM(SUBSTITUTE(SUBSTITUTE(MID(Общий!B131,SEARCH("Karcher",Общий!B131,1),19),".",""),"-","")),1)+8,8)),VALUE(LEFT(SUBSTITUTE(SUBSTITUTE(Общий!B131,".",""),"-",""),8))))=7,CONCATENATE(IFERROR(VALUE(MID(TRIM(SUBSTITUTE(SUBSTITUTE(MID(Общий!B131,SEARCH("Karcher",Общий!B131,1),19),".",""),"-","")),SEARCH("Karcher",TRIM(SUBSTITUTE(SUBSTITUTE(MID(Общий!B131,SEARCH("Karcher",Общий!B131,1),19),".",""),"-","")),1)+8,8)),VALUE(LEFT(SUBSTITUTE(SUBSTITUTE(Общий!B131,".",""),"-",""),8))),"0"),IFERROR(VALUE(MID(TRIM(SUBSTITUTE(SUBSTITUTE(MID(Общий!B131,SEARCH("Karcher",Общий!B131,1),19),".",""),"-","")),SEARCH("Karcher",TRIM(SUBSTITUTE(SUBSTITUTE(MID(Общий!B131,SEARCH("Karcher",Общий!B131,1),19),".",""),"-","")),1)+8,8)),VALUE(LEFT(SUBSTITUTE(SUBSTITUTE(Общий!B131,".",""),"-",""),8)))))," ",Общий!C131),0)</f>
        <v>13673060 1</v>
      </c>
      <c r="C131" s="29" t="str">
        <f>Общий!A131</f>
        <v>123</v>
      </c>
      <c r="D131" s="27" t="str">
        <f>Общий!B131</f>
        <v>HD 6/15-4 Classic Профи мойка ВД без нагрева Karcher 1.367-306 код : 000316</v>
      </c>
      <c r="E131" s="28">
        <f>Общий!C131</f>
        <v>1</v>
      </c>
      <c r="F131" s="21"/>
      <c r="G131" s="44"/>
      <c r="H131" s="44"/>
      <c r="I131" s="44"/>
      <c r="J131" s="35"/>
      <c r="K131" s="16"/>
    </row>
    <row r="132" spans="1:11">
      <c r="A132" s="31">
        <f>IFERROR(VALUE(IF(LEN(IFERROR(VALUE(MID(TRIM(SUBSTITUTE(SUBSTITUTE(MID(Общий!B132,SEARCH("Karcher",Общий!B132,1),19),".",""),"-","")),SEARCH("Karcher",TRIM(SUBSTITUTE(SUBSTITUTE(MID(Общий!B132,SEARCH("Karcher",Общий!B132,1),19),".",""),"-","")),1)+8,8)),VALUE(LEFT(SUBSTITUTE(SUBSTITUTE(Общий!B132,".",""),"-",""),8))))=7,CONCATENATE(IFERROR(VALUE(MID(TRIM(SUBSTITUTE(SUBSTITUTE(MID(Общий!B132,SEARCH("Karcher",Общий!B132,1),19),".",""),"-","")),SEARCH("Karcher",TRIM(SUBSTITUTE(SUBSTITUTE(MID(Общий!B132,SEARCH("Karcher",Общий!B132,1),19),".",""),"-","")),1)+8,8)),VALUE(LEFT(SUBSTITUTE(SUBSTITUTE(Общий!B132,".",""),"-",""),8))),"0"),IFERROR(VALUE(MID(TRIM(SUBSTITUTE(SUBSTITUTE(MID(Общий!B132,SEARCH("Karcher",Общий!B132,1),19),".",""),"-","")),SEARCH("Karcher",TRIM(SUBSTITUTE(SUBSTITUTE(MID(Общий!B132,SEARCH("Karcher",Общий!B132,1),19),".",""),"-","")),1)+8,8)),VALUE(LEFT(SUBSTITUTE(SUBSTITUTE(Общий!B132,".",""),"-",""),8))))),0)</f>
        <v>13789820</v>
      </c>
      <c r="B132" s="25" t="str">
        <f>IFERROR(CONCATENATE(VALUE(IF(LEN(IFERROR(VALUE(MID(TRIM(SUBSTITUTE(SUBSTITUTE(MID(Общий!B132,SEARCH("Karcher",Общий!B132,1),19),".",""),"-","")),SEARCH("Karcher",TRIM(SUBSTITUTE(SUBSTITUTE(MID(Общий!B132,SEARCH("Karcher",Общий!B132,1),19),".",""),"-","")),1)+8,8)),VALUE(LEFT(SUBSTITUTE(SUBSTITUTE(Общий!B132,".",""),"-",""),8))))=7,CONCATENATE(IFERROR(VALUE(MID(TRIM(SUBSTITUTE(SUBSTITUTE(MID(Общий!B132,SEARCH("Karcher",Общий!B132,1),19),".",""),"-","")),SEARCH("Karcher",TRIM(SUBSTITUTE(SUBSTITUTE(MID(Общий!B132,SEARCH("Karcher",Общий!B132,1),19),".",""),"-","")),1)+8,8)),VALUE(LEFT(SUBSTITUTE(SUBSTITUTE(Общий!B132,".",""),"-",""),8))),"0"),IFERROR(VALUE(MID(TRIM(SUBSTITUTE(SUBSTITUTE(MID(Общий!B132,SEARCH("Karcher",Общий!B132,1),19),".",""),"-","")),SEARCH("Karcher",TRIM(SUBSTITUTE(SUBSTITUTE(MID(Общий!B132,SEARCH("Karcher",Общий!B132,1),19),".",""),"-","")),1)+8,8)),VALUE(LEFT(SUBSTITUTE(SUBSTITUTE(Общий!B132,".",""),"-",""),8)))))," ",Общий!C132),0)</f>
        <v>13789820 3</v>
      </c>
      <c r="C132" s="29" t="str">
        <f>Общий!A132</f>
        <v>124</v>
      </c>
      <c r="D132" s="27" t="str">
        <f>Общий!B132</f>
        <v>NT 22/1 Ap Te L*EU Промышленный пылесос + мешки Karcher 1.378-982 код : 000512</v>
      </c>
      <c r="E132" s="28">
        <f>Общий!C132</f>
        <v>3</v>
      </c>
      <c r="F132" s="21"/>
      <c r="G132" s="44"/>
      <c r="H132" s="44"/>
      <c r="I132" s="44"/>
      <c r="J132" s="35"/>
      <c r="K132" s="16"/>
    </row>
    <row r="133" spans="1:11">
      <c r="A133" s="31">
        <f>IFERROR(VALUE(IF(LEN(IFERROR(VALUE(MID(TRIM(SUBSTITUTE(SUBSTITUTE(MID(Общий!B133,SEARCH("Karcher",Общий!B133,1),19),".",""),"-","")),SEARCH("Karcher",TRIM(SUBSTITUTE(SUBSTITUTE(MID(Общий!B133,SEARCH("Karcher",Общий!B133,1),19),".",""),"-","")),1)+8,8)),VALUE(LEFT(SUBSTITUTE(SUBSTITUTE(Общий!B133,".",""),"-",""),8))))=7,CONCATENATE(IFERROR(VALUE(MID(TRIM(SUBSTITUTE(SUBSTITUTE(MID(Общий!B133,SEARCH("Karcher",Общий!B133,1),19),".",""),"-","")),SEARCH("Karcher",TRIM(SUBSTITUTE(SUBSTITUTE(MID(Общий!B133,SEARCH("Karcher",Общий!B133,1),19),".",""),"-","")),1)+8,8)),VALUE(LEFT(SUBSTITUTE(SUBSTITUTE(Общий!B133,".",""),"-",""),8))),"0"),IFERROR(VALUE(MID(TRIM(SUBSTITUTE(SUBSTITUTE(MID(Общий!B133,SEARCH("Karcher",Общий!B133,1),19),".",""),"-","")),SEARCH("Karcher",TRIM(SUBSTITUTE(SUBSTITUTE(MID(Общий!B133,SEARCH("Karcher",Общий!B133,1),19),".",""),"-","")),1)+8,8)),VALUE(LEFT(SUBSTITUTE(SUBSTITUTE(Общий!B133,".",""),"-",""),8))))),0)</f>
        <v>14394200</v>
      </c>
      <c r="B133" s="25" t="str">
        <f>IFERROR(CONCATENATE(VALUE(IF(LEN(IFERROR(VALUE(MID(TRIM(SUBSTITUTE(SUBSTITUTE(MID(Общий!B133,SEARCH("Karcher",Общий!B133,1),19),".",""),"-","")),SEARCH("Karcher",TRIM(SUBSTITUTE(SUBSTITUTE(MID(Общий!B133,SEARCH("Karcher",Общий!B133,1),19),".",""),"-","")),1)+8,8)),VALUE(LEFT(SUBSTITUTE(SUBSTITUTE(Общий!B133,".",""),"-",""),8))))=7,CONCATENATE(IFERROR(VALUE(MID(TRIM(SUBSTITUTE(SUBSTITUTE(MID(Общий!B133,SEARCH("Karcher",Общий!B133,1),19),".",""),"-","")),SEARCH("Karcher",TRIM(SUBSTITUTE(SUBSTITUTE(MID(Общий!B133,SEARCH("Karcher",Общий!B133,1),19),".",""),"-","")),1)+8,8)),VALUE(LEFT(SUBSTITUTE(SUBSTITUTE(Общий!B133,".",""),"-",""),8))),"0"),IFERROR(VALUE(MID(TRIM(SUBSTITUTE(SUBSTITUTE(MID(Общий!B133,SEARCH("Karcher",Общий!B133,1),19),".",""),"-","")),SEARCH("Karcher",TRIM(SUBSTITUTE(SUBSTITUTE(MID(Общий!B133,SEARCH("Karcher",Общий!B133,1),19),".",""),"-","")),1)+8,8)),VALUE(LEFT(SUBSTITUTE(SUBSTITUTE(Общий!B133,".",""),"-",""),8)))))," ",Общий!C133),0)</f>
        <v>14394200 1</v>
      </c>
      <c r="C133" s="29" t="str">
        <f>Общий!A133</f>
        <v>125</v>
      </c>
      <c r="D133" s="27" t="str">
        <f>Общий!B133</f>
        <v>SV 7 (White)*EU Паропылесос Karcher 1.439-420 код : 000235</v>
      </c>
      <c r="E133" s="28">
        <f>Общий!C133</f>
        <v>1</v>
      </c>
      <c r="F133" s="21"/>
      <c r="G133" s="44"/>
      <c r="H133" s="44"/>
      <c r="I133" s="44"/>
      <c r="J133" s="35"/>
      <c r="K133" s="16"/>
    </row>
    <row r="134" spans="1:11">
      <c r="A134" s="31">
        <f>IFERROR(VALUE(IF(LEN(IFERROR(VALUE(MID(TRIM(SUBSTITUTE(SUBSTITUTE(MID(Общий!B134,SEARCH("Karcher",Общий!B134,1),19),".",""),"-","")),SEARCH("Karcher",TRIM(SUBSTITUTE(SUBSTITUTE(MID(Общий!B134,SEARCH("Karcher",Общий!B134,1),19),".",""),"-","")),1)+8,8)),VALUE(LEFT(SUBSTITUTE(SUBSTITUTE(Общий!B134,".",""),"-",""),8))))=7,CONCATENATE(IFERROR(VALUE(MID(TRIM(SUBSTITUTE(SUBSTITUTE(MID(Общий!B134,SEARCH("Karcher",Общий!B134,1),19),".",""),"-","")),SEARCH("Karcher",TRIM(SUBSTITUTE(SUBSTITUTE(MID(Общий!B134,SEARCH("Karcher",Общий!B134,1),19),".",""),"-","")),1)+8,8)),VALUE(LEFT(SUBSTITUTE(SUBSTITUTE(Общий!B134,".",""),"-",""),8))),"0"),IFERROR(VALUE(MID(TRIM(SUBSTITUTE(SUBSTITUTE(MID(Общий!B134,SEARCH("Karcher",Общий!B134,1),19),".",""),"-","")),SEARCH("Karcher",TRIM(SUBSTITUTE(SUBSTITUTE(MID(Общий!B134,SEARCH("Karcher",Общий!B134,1),19),".",""),"-","")),1)+8,8)),VALUE(LEFT(SUBSTITUTE(SUBSTITUTE(Общий!B134,".",""),"-",""),8))))),0)</f>
        <v>14441000</v>
      </c>
      <c r="B134" s="25" t="str">
        <f>IFERROR(CONCATENATE(VALUE(IF(LEN(IFERROR(VALUE(MID(TRIM(SUBSTITUTE(SUBSTITUTE(MID(Общий!B134,SEARCH("Karcher",Общий!B134,1),19),".",""),"-","")),SEARCH("Karcher",TRIM(SUBSTITUTE(SUBSTITUTE(MID(Общий!B134,SEARCH("Karcher",Общий!B134,1),19),".",""),"-","")),1)+8,8)),VALUE(LEFT(SUBSTITUTE(SUBSTITUTE(Общий!B134,".",""),"-",""),8))))=7,CONCATENATE(IFERROR(VALUE(MID(TRIM(SUBSTITUTE(SUBSTITUTE(MID(Общий!B134,SEARCH("Karcher",Общий!B134,1),19),".",""),"-","")),SEARCH("Karcher",TRIM(SUBSTITUTE(SUBSTITUTE(MID(Общий!B134,SEARCH("Karcher",Общий!B134,1),19),".",""),"-","")),1)+8,8)),VALUE(LEFT(SUBSTITUTE(SUBSTITUTE(Общий!B134,".",""),"-",""),8))),"0"),IFERROR(VALUE(MID(TRIM(SUBSTITUTE(SUBSTITUTE(MID(Общий!B134,SEARCH("Karcher",Общий!B134,1),19),".",""),"-","")),SEARCH("Karcher",TRIM(SUBSTITUTE(SUBSTITUTE(MID(Общий!B134,SEARCH("Karcher",Общий!B134,1),19),".",""),"-","")),1)+8,8)),VALUE(LEFT(SUBSTITUTE(SUBSTITUTE(Общий!B134,".",""),"-",""),8)))))," ",Общий!C134),0)</f>
        <v>14441000 2</v>
      </c>
      <c r="C134" s="29" t="str">
        <f>Общий!A134</f>
        <v>126</v>
      </c>
      <c r="D134" s="27" t="str">
        <f>Общий!B134</f>
        <v>BLV 18-200 Battery*INT Воздуходувка Karcher 1.444-100 код : 000266</v>
      </c>
      <c r="E134" s="28">
        <f>Общий!C134</f>
        <v>2</v>
      </c>
      <c r="F134" s="21"/>
      <c r="G134" s="44"/>
      <c r="H134" s="44"/>
      <c r="I134" s="44"/>
      <c r="J134" s="35"/>
      <c r="K134" s="16"/>
    </row>
    <row r="135" spans="1:11">
      <c r="A135" s="31">
        <f>IFERROR(VALUE(IF(LEN(IFERROR(VALUE(MID(TRIM(SUBSTITUTE(SUBSTITUTE(MID(Общий!B135,SEARCH("Karcher",Общий!B135,1),19),".",""),"-","")),SEARCH("Karcher",TRIM(SUBSTITUTE(SUBSTITUTE(MID(Общий!B135,SEARCH("Karcher",Общий!B135,1),19),".",""),"-","")),1)+8,8)),VALUE(LEFT(SUBSTITUTE(SUBSTITUTE(Общий!B135,".",""),"-",""),8))))=7,CONCATENATE(IFERROR(VALUE(MID(TRIM(SUBSTITUTE(SUBSTITUTE(MID(Общий!B135,SEARCH("Karcher",Общий!B135,1),19),".",""),"-","")),SEARCH("Karcher",TRIM(SUBSTITUTE(SUBSTITUTE(MID(Общий!B135,SEARCH("Karcher",Общий!B135,1),19),".",""),"-","")),1)+8,8)),VALUE(LEFT(SUBSTITUTE(SUBSTITUTE(Общий!B135,".",""),"-",""),8))),"0"),IFERROR(VALUE(MID(TRIM(SUBSTITUTE(SUBSTITUTE(MID(Общий!B135,SEARCH("Karcher",Общий!B135,1),19),".",""),"-","")),SEARCH("Karcher",TRIM(SUBSTITUTE(SUBSTITUTE(MID(Общий!B135,SEARCH("Karcher",Общий!B135,1),19),".",""),"-","")),1)+8,8)),VALUE(LEFT(SUBSTITUTE(SUBSTITUTE(Общий!B135,".",""),"-",""),8))))),0)</f>
        <v>14441700</v>
      </c>
      <c r="B135" s="25" t="str">
        <f>IFERROR(CONCATENATE(VALUE(IF(LEN(IFERROR(VALUE(MID(TRIM(SUBSTITUTE(SUBSTITUTE(MID(Общий!B135,SEARCH("Karcher",Общий!B135,1),19),".",""),"-","")),SEARCH("Karcher",TRIM(SUBSTITUTE(SUBSTITUTE(MID(Общий!B135,SEARCH("Karcher",Общий!B135,1),19),".",""),"-","")),1)+8,8)),VALUE(LEFT(SUBSTITUTE(SUBSTITUTE(Общий!B135,".",""),"-",""),8))))=7,CONCATENATE(IFERROR(VALUE(MID(TRIM(SUBSTITUTE(SUBSTITUTE(MID(Общий!B135,SEARCH("Karcher",Общий!B135,1),19),".",""),"-","")),SEARCH("Karcher",TRIM(SUBSTITUTE(SUBSTITUTE(MID(Общий!B135,SEARCH("Karcher",Общий!B135,1),19),".",""),"-","")),1)+8,8)),VALUE(LEFT(SUBSTITUTE(SUBSTITUTE(Общий!B135,".",""),"-",""),8))),"0"),IFERROR(VALUE(MID(TRIM(SUBSTITUTE(SUBSTITUTE(MID(Общий!B135,SEARCH("Karcher",Общий!B135,1),19),".",""),"-","")),SEARCH("Karcher",TRIM(SUBSTITUTE(SUBSTITUTE(MID(Общий!B135,SEARCH("Karcher",Общий!B135,1),19),".",""),"-","")),1)+8,8)),VALUE(LEFT(SUBSTITUTE(SUBSTITUTE(Общий!B135,".",""),"-",""),8)))))," ",Общий!C135),0)</f>
        <v>14441700 1</v>
      </c>
      <c r="C135" s="29" t="str">
        <f>Общий!A135</f>
        <v>127</v>
      </c>
      <c r="D135" s="27" t="str">
        <f>Общий!B135</f>
        <v>BLV 36-240 Battery*INT Воздуходувка Karcher 1.444-170 код : 000252</v>
      </c>
      <c r="E135" s="28">
        <f>Общий!C135</f>
        <v>1</v>
      </c>
      <c r="F135" s="21"/>
      <c r="G135" s="44"/>
      <c r="H135" s="44"/>
      <c r="I135" s="44"/>
      <c r="J135" s="35"/>
      <c r="K135" s="16"/>
    </row>
    <row r="136" spans="1:11">
      <c r="A136" s="31">
        <f>IFERROR(VALUE(IF(LEN(IFERROR(VALUE(MID(TRIM(SUBSTITUTE(SUBSTITUTE(MID(Общий!B136,SEARCH("Karcher",Общий!B136,1),19),".",""),"-","")),SEARCH("Karcher",TRIM(SUBSTITUTE(SUBSTITUTE(MID(Общий!B136,SEARCH("Karcher",Общий!B136,1),19),".",""),"-","")),1)+8,8)),VALUE(LEFT(SUBSTITUTE(SUBSTITUTE(Общий!B136,".",""),"-",""),8))))=7,CONCATENATE(IFERROR(VALUE(MID(TRIM(SUBSTITUTE(SUBSTITUTE(MID(Общий!B136,SEARCH("Karcher",Общий!B136,1),19),".",""),"-","")),SEARCH("Karcher",TRIM(SUBSTITUTE(SUBSTITUTE(MID(Общий!B136,SEARCH("Karcher",Общий!B136,1),19),".",""),"-","")),1)+8,8)),VALUE(LEFT(SUBSTITUTE(SUBSTITUTE(Общий!B136,".",""),"-",""),8))),"0"),IFERROR(VALUE(MID(TRIM(SUBSTITUTE(SUBSTITUTE(MID(Общий!B136,SEARCH("Karcher",Общий!B136,1),19),".",""),"-","")),SEARCH("Karcher",TRIM(SUBSTITUTE(SUBSTITUTE(MID(Общий!B136,SEARCH("Karcher",Общий!B136,1),19),".",""),"-","")),1)+8,8)),VALUE(LEFT(SUBSTITUTE(SUBSTITUTE(Общий!B136,".",""),"-",""),8))))),0)</f>
        <v>14442400</v>
      </c>
      <c r="B136" s="25" t="str">
        <f>IFERROR(CONCATENATE(VALUE(IF(LEN(IFERROR(VALUE(MID(TRIM(SUBSTITUTE(SUBSTITUTE(MID(Общий!B136,SEARCH("Karcher",Общий!B136,1),19),".",""),"-","")),SEARCH("Karcher",TRIM(SUBSTITUTE(SUBSTITUTE(MID(Общий!B136,SEARCH("Karcher",Общий!B136,1),19),".",""),"-","")),1)+8,8)),VALUE(LEFT(SUBSTITUTE(SUBSTITUTE(Общий!B136,".",""),"-",""),8))))=7,CONCATENATE(IFERROR(VALUE(MID(TRIM(SUBSTITUTE(SUBSTITUTE(MID(Общий!B136,SEARCH("Karcher",Общий!B136,1),19),".",""),"-","")),SEARCH("Karcher",TRIM(SUBSTITUTE(SUBSTITUTE(MID(Общий!B136,SEARCH("Karcher",Общий!B136,1),19),".",""),"-","")),1)+8,8)),VALUE(LEFT(SUBSTITUTE(SUBSTITUTE(Общий!B136,".",""),"-",""),8))),"0"),IFERROR(VALUE(MID(TRIM(SUBSTITUTE(SUBSTITUTE(MID(Общий!B136,SEARCH("Karcher",Общий!B136,1),19),".",""),"-","")),SEARCH("Karcher",TRIM(SUBSTITUTE(SUBSTITUTE(MID(Общий!B136,SEARCH("Karcher",Общий!B136,1),19),".",""),"-","")),1)+8,8)),VALUE(LEFT(SUBSTITUTE(SUBSTITUTE(Общий!B136,".",""),"-",""),8)))))," ",Общий!C136),0)</f>
        <v>14442400 1</v>
      </c>
      <c r="C136" s="29" t="str">
        <f>Общий!A136</f>
        <v>128</v>
      </c>
      <c r="D136" s="27" t="str">
        <f>Общий!B136</f>
        <v>HGE 18-50 Battery Кусторез Karcher 1.444-240 код : 000256</v>
      </c>
      <c r="E136" s="28">
        <f>Общий!C136</f>
        <v>1</v>
      </c>
      <c r="F136" s="21"/>
      <c r="G136" s="44"/>
      <c r="H136" s="44"/>
      <c r="I136" s="44"/>
      <c r="J136" s="35"/>
      <c r="K136" s="16"/>
    </row>
    <row r="137" spans="1:11">
      <c r="A137" s="31">
        <f>IFERROR(VALUE(IF(LEN(IFERROR(VALUE(MID(TRIM(SUBSTITUTE(SUBSTITUTE(MID(Общий!B137,SEARCH("Karcher",Общий!B137,1),19),".",""),"-","")),SEARCH("Karcher",TRIM(SUBSTITUTE(SUBSTITUTE(MID(Общий!B137,SEARCH("Karcher",Общий!B137,1),19),".",""),"-","")),1)+8,8)),VALUE(LEFT(SUBSTITUTE(SUBSTITUTE(Общий!B137,".",""),"-",""),8))))=7,CONCATENATE(IFERROR(VALUE(MID(TRIM(SUBSTITUTE(SUBSTITUTE(MID(Общий!B137,SEARCH("Karcher",Общий!B137,1),19),".",""),"-","")),SEARCH("Karcher",TRIM(SUBSTITUTE(SUBSTITUTE(MID(Общий!B137,SEARCH("Karcher",Общий!B137,1),19),".",""),"-","")),1)+8,8)),VALUE(LEFT(SUBSTITUTE(SUBSTITUTE(Общий!B137,".",""),"-",""),8))),"0"),IFERROR(VALUE(MID(TRIM(SUBSTITUTE(SUBSTITUTE(MID(Общий!B137,SEARCH("Karcher",Общий!B137,1),19),".",""),"-","")),SEARCH("Karcher",TRIM(SUBSTITUTE(SUBSTITUTE(MID(Общий!B137,SEARCH("Karcher",Общий!B137,1),19),".",""),"-","")),1)+8,8)),VALUE(LEFT(SUBSTITUTE(SUBSTITUTE(Общий!B137,".",""),"-",""),8))))),0)</f>
        <v>14443110</v>
      </c>
      <c r="B137" s="25" t="str">
        <f>IFERROR(CONCATENATE(VALUE(IF(LEN(IFERROR(VALUE(MID(TRIM(SUBSTITUTE(SUBSTITUTE(MID(Общий!B137,SEARCH("Karcher",Общий!B137,1),19),".",""),"-","")),SEARCH("Karcher",TRIM(SUBSTITUTE(SUBSTITUTE(MID(Общий!B137,SEARCH("Karcher",Общий!B137,1),19),".",""),"-","")),1)+8,8)),VALUE(LEFT(SUBSTITUTE(SUBSTITUTE(Общий!B137,".",""),"-",""),8))))=7,CONCATENATE(IFERROR(VALUE(MID(TRIM(SUBSTITUTE(SUBSTITUTE(MID(Общий!B137,SEARCH("Karcher",Общий!B137,1),19),".",""),"-","")),SEARCH("Karcher",TRIM(SUBSTITUTE(SUBSTITUTE(MID(Общий!B137,SEARCH("Karcher",Общий!B137,1),19),".",""),"-","")),1)+8,8)),VALUE(LEFT(SUBSTITUTE(SUBSTITUTE(Общий!B137,".",""),"-",""),8))),"0"),IFERROR(VALUE(MID(TRIM(SUBSTITUTE(SUBSTITUTE(MID(Общий!B137,SEARCH("Karcher",Общий!B137,1),19),".",""),"-","")),SEARCH("Karcher",TRIM(SUBSTITUTE(SUBSTITUTE(MID(Общий!B137,SEARCH("Karcher",Общий!B137,1),19),".",""),"-","")),1)+8,8)),VALUE(LEFT(SUBSTITUTE(SUBSTITUTE(Общий!B137,".",""),"-",""),8)))))," ",Общий!C137),0)</f>
        <v>14443110 2</v>
      </c>
      <c r="C137" s="29" t="str">
        <f>Общий!A137</f>
        <v>129</v>
      </c>
      <c r="D137" s="27" t="str">
        <f>Общий!B137</f>
        <v>LTR 18-30 Battery* Set Триммер Karcher 1.444-311 код : 000262</v>
      </c>
      <c r="E137" s="28">
        <f>Общий!C137</f>
        <v>2</v>
      </c>
      <c r="F137" s="21"/>
      <c r="G137" s="44"/>
      <c r="H137" s="44"/>
      <c r="I137" s="44"/>
      <c r="J137" s="35"/>
      <c r="K137" s="16"/>
    </row>
    <row r="138" spans="1:11">
      <c r="A138" s="31">
        <f>IFERROR(VALUE(IF(LEN(IFERROR(VALUE(MID(TRIM(SUBSTITUTE(SUBSTITUTE(MID(Общий!B138,SEARCH("Karcher",Общий!B138,1),19),".",""),"-","")),SEARCH("Karcher",TRIM(SUBSTITUTE(SUBSTITUTE(MID(Общий!B138,SEARCH("Karcher",Общий!B138,1),19),".",""),"-","")),1)+8,8)),VALUE(LEFT(SUBSTITUTE(SUBSTITUTE(Общий!B138,".",""),"-",""),8))))=7,CONCATENATE(IFERROR(VALUE(MID(TRIM(SUBSTITUTE(SUBSTITUTE(MID(Общий!B138,SEARCH("Karcher",Общий!B138,1),19),".",""),"-","")),SEARCH("Karcher",TRIM(SUBSTITUTE(SUBSTITUTE(MID(Общий!B138,SEARCH("Karcher",Общий!B138,1),19),".",""),"-","")),1)+8,8)),VALUE(LEFT(SUBSTITUTE(SUBSTITUTE(Общий!B138,".",""),"-",""),8))),"0"),IFERROR(VALUE(MID(TRIM(SUBSTITUTE(SUBSTITUTE(MID(Общий!B138,SEARCH("Karcher",Общий!B138,1),19),".",""),"-","")),SEARCH("Karcher",TRIM(SUBSTITUTE(SUBSTITUTE(MID(Общий!B138,SEARCH("Karcher",Общий!B138,1),19),".",""),"-","")),1)+8,8)),VALUE(LEFT(SUBSTITUTE(SUBSTITUTE(Общий!B138,".",""),"-",""),8))))),0)</f>
        <v>14443130</v>
      </c>
      <c r="B138" s="25" t="str">
        <f>IFERROR(CONCATENATE(VALUE(IF(LEN(IFERROR(VALUE(MID(TRIM(SUBSTITUTE(SUBSTITUTE(MID(Общий!B138,SEARCH("Karcher",Общий!B138,1),19),".",""),"-","")),SEARCH("Karcher",TRIM(SUBSTITUTE(SUBSTITUTE(MID(Общий!B138,SEARCH("Karcher",Общий!B138,1),19),".",""),"-","")),1)+8,8)),VALUE(LEFT(SUBSTITUTE(SUBSTITUTE(Общий!B138,".",""),"-",""),8))))=7,CONCATENATE(IFERROR(VALUE(MID(TRIM(SUBSTITUTE(SUBSTITUTE(MID(Общий!B138,SEARCH("Karcher",Общий!B138,1),19),".",""),"-","")),SEARCH("Karcher",TRIM(SUBSTITUTE(SUBSTITUTE(MID(Общий!B138,SEARCH("Karcher",Общий!B138,1),19),".",""),"-","")),1)+8,8)),VALUE(LEFT(SUBSTITUTE(SUBSTITUTE(Общий!B138,".",""),"-",""),8))),"0"),IFERROR(VALUE(MID(TRIM(SUBSTITUTE(SUBSTITUTE(MID(Общий!B138,SEARCH("Karcher",Общий!B138,1),19),".",""),"-","")),SEARCH("Karcher",TRIM(SUBSTITUTE(SUBSTITUTE(MID(Общий!B138,SEARCH("Karcher",Общий!B138,1),19),".",""),"-","")),1)+8,8)),VALUE(LEFT(SUBSTITUTE(SUBSTITUTE(Общий!B138,".",""),"-",""),8)))))," ",Общий!C138),0)</f>
        <v>14443130 1</v>
      </c>
      <c r="C138" s="29" t="str">
        <f>Общий!A138</f>
        <v>130</v>
      </c>
      <c r="D138" s="27" t="str">
        <f>Общий!B138</f>
        <v>LTR 18-30 Battery Limited Edition Триммер Karcher 1.444-313 код : 000265</v>
      </c>
      <c r="E138" s="28">
        <f>Общий!C138</f>
        <v>1</v>
      </c>
      <c r="F138" s="21"/>
      <c r="G138" s="44"/>
      <c r="H138" s="44"/>
      <c r="I138" s="44"/>
      <c r="J138" s="35"/>
      <c r="K138" s="16"/>
    </row>
    <row r="139" spans="1:11">
      <c r="A139" s="31">
        <f>IFERROR(VALUE(IF(LEN(IFERROR(VALUE(MID(TRIM(SUBSTITUTE(SUBSTITUTE(MID(Общий!B139,SEARCH("Karcher",Общий!B139,1),19),".",""),"-","")),SEARCH("Karcher",TRIM(SUBSTITUTE(SUBSTITUTE(MID(Общий!B139,SEARCH("Karcher",Общий!B139,1),19),".",""),"-","")),1)+8,8)),VALUE(LEFT(SUBSTITUTE(SUBSTITUTE(Общий!B139,".",""),"-",""),8))))=7,CONCATENATE(IFERROR(VALUE(MID(TRIM(SUBSTITUTE(SUBSTITUTE(MID(Общий!B139,SEARCH("Karcher",Общий!B139,1),19),".",""),"-","")),SEARCH("Karcher",TRIM(SUBSTITUTE(SUBSTITUTE(MID(Общий!B139,SEARCH("Karcher",Общий!B139,1),19),".",""),"-","")),1)+8,8)),VALUE(LEFT(SUBSTITUTE(SUBSTITUTE(Общий!B139,".",""),"-",""),8))),"0"),IFERROR(VALUE(MID(TRIM(SUBSTITUTE(SUBSTITUTE(MID(Общий!B139,SEARCH("Karcher",Общий!B139,1),19),".",""),"-","")),SEARCH("Karcher",TRIM(SUBSTITUTE(SUBSTITUTE(MID(Общий!B139,SEARCH("Karcher",Общий!B139,1),19),".",""),"-","")),1)+8,8)),VALUE(LEFT(SUBSTITUTE(SUBSTITUTE(Общий!B139,".",""),"-",""),8))))),0)</f>
        <v>15131270</v>
      </c>
      <c r="B139" s="25" t="str">
        <f>IFERROR(CONCATENATE(VALUE(IF(LEN(IFERROR(VALUE(MID(TRIM(SUBSTITUTE(SUBSTITUTE(MID(Общий!B139,SEARCH("Karcher",Общий!B139,1),19),".",""),"-","")),SEARCH("Karcher",TRIM(SUBSTITUTE(SUBSTITUTE(MID(Общий!B139,SEARCH("Karcher",Общий!B139,1),19),".",""),"-","")),1)+8,8)),VALUE(LEFT(SUBSTITUTE(SUBSTITUTE(Общий!B139,".",""),"-",""),8))))=7,CONCATENATE(IFERROR(VALUE(MID(TRIM(SUBSTITUTE(SUBSTITUTE(MID(Общий!B139,SEARCH("Karcher",Общий!B139,1),19),".",""),"-","")),SEARCH("Karcher",TRIM(SUBSTITUTE(SUBSTITUTE(MID(Общий!B139,SEARCH("Karcher",Общий!B139,1),19),".",""),"-","")),1)+8,8)),VALUE(LEFT(SUBSTITUTE(SUBSTITUTE(Общий!B139,".",""),"-",""),8))),"0"),IFERROR(VALUE(MID(TRIM(SUBSTITUTE(SUBSTITUTE(MID(Общий!B139,SEARCH("Karcher",Общий!B139,1),19),".",""),"-","")),SEARCH("Karcher",TRIM(SUBSTITUTE(SUBSTITUTE(MID(Общий!B139,SEARCH("Karcher",Общий!B139,1),19),".",""),"-","")),1)+8,8)),VALUE(LEFT(SUBSTITUTE(SUBSTITUTE(Общий!B139,".",""),"-",""),8)))))," ",Общий!C139),0)</f>
        <v>15131270 3</v>
      </c>
      <c r="C139" s="29" t="str">
        <f>Общий!A139</f>
        <v>131</v>
      </c>
      <c r="D139" s="27" t="str">
        <f>Общий!B139</f>
        <v>SC 3 EasyFix LE *EU Пароочиститель Karcher 1.513-127 код : 000238</v>
      </c>
      <c r="E139" s="28">
        <f>Общий!C139</f>
        <v>3</v>
      </c>
      <c r="F139" s="21"/>
      <c r="G139" s="44"/>
      <c r="H139" s="44"/>
      <c r="I139" s="44"/>
      <c r="J139" s="35"/>
      <c r="K139" s="16"/>
    </row>
    <row r="140" spans="1:11">
      <c r="A140" s="31">
        <f>IFERROR(VALUE(IF(LEN(IFERROR(VALUE(MID(TRIM(SUBSTITUTE(SUBSTITUTE(MID(Общий!B140,SEARCH("Karcher",Общий!B140,1),19),".",""),"-","")),SEARCH("Karcher",TRIM(SUBSTITUTE(SUBSTITUTE(MID(Общий!B140,SEARCH("Karcher",Общий!B140,1),19),".",""),"-","")),1)+8,8)),VALUE(LEFT(SUBSTITUTE(SUBSTITUTE(Общий!B140,".",""),"-",""),8))))=7,CONCATENATE(IFERROR(VALUE(MID(TRIM(SUBSTITUTE(SUBSTITUTE(MID(Общий!B140,SEARCH("Karcher",Общий!B140,1),19),".",""),"-","")),SEARCH("Karcher",TRIM(SUBSTITUTE(SUBSTITUTE(MID(Общий!B140,SEARCH("Karcher",Общий!B140,1),19),".",""),"-","")),1)+8,8)),VALUE(LEFT(SUBSTITUTE(SUBSTITUTE(Общий!B140,".",""),"-",""),8))),"0"),IFERROR(VALUE(MID(TRIM(SUBSTITUTE(SUBSTITUTE(MID(Общий!B140,SEARCH("Karcher",Общий!B140,1),19),".",""),"-","")),SEARCH("Karcher",TRIM(SUBSTITUTE(SUBSTITUTE(MID(Общий!B140,SEARCH("Karcher",Общий!B140,1),19),".",""),"-","")),1)+8,8)),VALUE(LEFT(SUBSTITUTE(SUBSTITUTE(Общий!B140,".",""),"-",""),8))))),0)</f>
        <v>15132810</v>
      </c>
      <c r="B140" s="25" t="str">
        <f>IFERROR(CONCATENATE(VALUE(IF(LEN(IFERROR(VALUE(MID(TRIM(SUBSTITUTE(SUBSTITUTE(MID(Общий!B140,SEARCH("Karcher",Общий!B140,1),19),".",""),"-","")),SEARCH("Karcher",TRIM(SUBSTITUTE(SUBSTITUTE(MID(Общий!B140,SEARCH("Karcher",Общий!B140,1),19),".",""),"-","")),1)+8,8)),VALUE(LEFT(SUBSTITUTE(SUBSTITUTE(Общий!B140,".",""),"-",""),8))))=7,CONCATENATE(IFERROR(VALUE(MID(TRIM(SUBSTITUTE(SUBSTITUTE(MID(Общий!B140,SEARCH("Karcher",Общий!B140,1),19),".",""),"-","")),SEARCH("Karcher",TRIM(SUBSTITUTE(SUBSTITUTE(MID(Общий!B140,SEARCH("Karcher",Общий!B140,1),19),".",""),"-","")),1)+8,8)),VALUE(LEFT(SUBSTITUTE(SUBSTITUTE(Общий!B140,".",""),"-",""),8))),"0"),IFERROR(VALUE(MID(TRIM(SUBSTITUTE(SUBSTITUTE(MID(Общий!B140,SEARCH("Karcher",Общий!B140,1),19),".",""),"-","")),SEARCH("Karcher",TRIM(SUBSTITUTE(SUBSTITUTE(MID(Общий!B140,SEARCH("Karcher",Общий!B140,1),19),".",""),"-","")),1)+8,8)),VALUE(LEFT(SUBSTITUTE(SUBSTITUTE(Общий!B140,".",""),"-",""),8)))))," ",Общий!C140),0)</f>
        <v>15132810 2</v>
      </c>
      <c r="C140" s="29" t="str">
        <f>Общий!A140</f>
        <v>132</v>
      </c>
      <c r="D140" s="27" t="str">
        <f>Общий!B140</f>
        <v>SC 4 Deluxe EasyFix Premium Iron*EU Пароочиститель Karcher 1.513-281 код : 000237</v>
      </c>
      <c r="E140" s="28">
        <f>Общий!C140</f>
        <v>2</v>
      </c>
      <c r="F140" s="21"/>
      <c r="G140" s="44"/>
      <c r="H140" s="44"/>
      <c r="I140" s="44"/>
      <c r="J140" s="35"/>
      <c r="K140" s="16"/>
    </row>
    <row r="141" spans="1:11">
      <c r="A141" s="31">
        <f>IFERROR(VALUE(IF(LEN(IFERROR(VALUE(MID(TRIM(SUBSTITUTE(SUBSTITUTE(MID(Общий!B141,SEARCH("Karcher",Общий!B141,1),19),".",""),"-","")),SEARCH("Karcher",TRIM(SUBSTITUTE(SUBSTITUTE(MID(Общий!B141,SEARCH("Karcher",Общий!B141,1),19),".",""),"-","")),1)+8,8)),VALUE(LEFT(SUBSTITUTE(SUBSTITUTE(Общий!B141,".",""),"-",""),8))))=7,CONCATENATE(IFERROR(VALUE(MID(TRIM(SUBSTITUTE(SUBSTITUTE(MID(Общий!B141,SEARCH("Karcher",Общий!B141,1),19),".",""),"-","")),SEARCH("Karcher",TRIM(SUBSTITUTE(SUBSTITUTE(MID(Общий!B141,SEARCH("Karcher",Общий!B141,1),19),".",""),"-","")),1)+8,8)),VALUE(LEFT(SUBSTITUTE(SUBSTITUTE(Общий!B141,".",""),"-",""),8))),"0"),IFERROR(VALUE(MID(TRIM(SUBSTITUTE(SUBSTITUTE(MID(Общий!B141,SEARCH("Karcher",Общий!B141,1),19),".",""),"-","")),SEARCH("Karcher",TRIM(SUBSTITUTE(SUBSTITUTE(MID(Общий!B141,SEARCH("Karcher",Общий!B141,1),19),".",""),"-","")),1)+8,8)),VALUE(LEFT(SUBSTITUTE(SUBSTITUTE(Общий!B141,".",""),"-",""),8))))),0)</f>
        <v>16283600</v>
      </c>
      <c r="B141" s="25" t="str">
        <f>IFERROR(CONCATENATE(VALUE(IF(LEN(IFERROR(VALUE(MID(TRIM(SUBSTITUTE(SUBSTITUTE(MID(Общий!B141,SEARCH("Karcher",Общий!B141,1),19),".",""),"-","")),SEARCH("Karcher",TRIM(SUBSTITUTE(SUBSTITUTE(MID(Общий!B141,SEARCH("Karcher",Общий!B141,1),19),".",""),"-","")),1)+8,8)),VALUE(LEFT(SUBSTITUTE(SUBSTITUTE(Общий!B141,".",""),"-",""),8))))=7,CONCATENATE(IFERROR(VALUE(MID(TRIM(SUBSTITUTE(SUBSTITUTE(MID(Общий!B141,SEARCH("Karcher",Общий!B141,1),19),".",""),"-","")),SEARCH("Karcher",TRIM(SUBSTITUTE(SUBSTITUTE(MID(Общий!B141,SEARCH("Karcher",Общий!B141,1),19),".",""),"-","")),1)+8,8)),VALUE(LEFT(SUBSTITUTE(SUBSTITUTE(Общий!B141,".",""),"-",""),8))),"0"),IFERROR(VALUE(MID(TRIM(SUBSTITUTE(SUBSTITUTE(MID(Общий!B141,SEARCH("Karcher",Общий!B141,1),19),".",""),"-","")),SEARCH("Karcher",TRIM(SUBSTITUTE(SUBSTITUTE(MID(Общий!B141,SEARCH("Karcher",Общий!B141,1),19),".",""),"-","")),1)+8,8)),VALUE(LEFT(SUBSTITUTE(SUBSTITUTE(Общий!B141,".",""),"-",""),8)))))," ",Общий!C141),0)</f>
        <v>16283600 2</v>
      </c>
      <c r="C141" s="29" t="str">
        <f>Общий!A141</f>
        <v>133</v>
      </c>
      <c r="D141" s="27" t="str">
        <f>Общий!B141</f>
        <v>WD 6 P S V-30/6/22/T (YSY)*EU Хозяйственный пылесос Karcher 1.628-360 код : 000149</v>
      </c>
      <c r="E141" s="28">
        <f>Общий!C141</f>
        <v>2</v>
      </c>
      <c r="F141" s="21"/>
      <c r="G141" s="44"/>
      <c r="H141" s="44"/>
      <c r="I141" s="44"/>
      <c r="J141" s="35"/>
      <c r="K141" s="16"/>
    </row>
    <row r="142" spans="1:11">
      <c r="A142" s="31">
        <f>IFERROR(VALUE(IF(LEN(IFERROR(VALUE(MID(TRIM(SUBSTITUTE(SUBSTITUTE(MID(Общий!B142,SEARCH("Karcher",Общий!B142,1),19),".",""),"-","")),SEARCH("Karcher",TRIM(SUBSTITUTE(SUBSTITUTE(MID(Общий!B142,SEARCH("Karcher",Общий!B142,1),19),".",""),"-","")),1)+8,8)),VALUE(LEFT(SUBSTITUTE(SUBSTITUTE(Общий!B142,".",""),"-",""),8))))=7,CONCATENATE(IFERROR(VALUE(MID(TRIM(SUBSTITUTE(SUBSTITUTE(MID(Общий!B142,SEARCH("Karcher",Общий!B142,1),19),".",""),"-","")),SEARCH("Karcher",TRIM(SUBSTITUTE(SUBSTITUTE(MID(Общий!B142,SEARCH("Karcher",Общий!B142,1),19),".",""),"-","")),1)+8,8)),VALUE(LEFT(SUBSTITUTE(SUBSTITUTE(Общий!B142,".",""),"-",""),8))),"0"),IFERROR(VALUE(MID(TRIM(SUBSTITUTE(SUBSTITUTE(MID(Общий!B142,SEARCH("Karcher",Общий!B142,1),19),".",""),"-","")),SEARCH("Karcher",TRIM(SUBSTITUTE(SUBSTITUTE(MID(Общий!B142,SEARCH("Karcher",Общий!B142,1),19),".",""),"-","")),1)+8,8)),VALUE(LEFT(SUBSTITUTE(SUBSTITUTE(Общий!B142,".",""),"-",""),8))))),0)</f>
        <v>16284460</v>
      </c>
      <c r="B142" s="25" t="str">
        <f>IFERROR(CONCATENATE(VALUE(IF(LEN(IFERROR(VALUE(MID(TRIM(SUBSTITUTE(SUBSTITUTE(MID(Общий!B142,SEARCH("Karcher",Общий!B142,1),19),".",""),"-","")),SEARCH("Karcher",TRIM(SUBSTITUTE(SUBSTITUTE(MID(Общий!B142,SEARCH("Karcher",Общий!B142,1),19),".",""),"-","")),1)+8,8)),VALUE(LEFT(SUBSTITUTE(SUBSTITUTE(Общий!B142,".",""),"-",""),8))))=7,CONCATENATE(IFERROR(VALUE(MID(TRIM(SUBSTITUTE(SUBSTITUTE(MID(Общий!B142,SEARCH("Karcher",Общий!B142,1),19),".",""),"-","")),SEARCH("Karcher",TRIM(SUBSTITUTE(SUBSTITUTE(MID(Общий!B142,SEARCH("Karcher",Общий!B142,1),19),".",""),"-","")),1)+8,8)),VALUE(LEFT(SUBSTITUTE(SUBSTITUTE(Общий!B142,".",""),"-",""),8))),"0"),IFERROR(VALUE(MID(TRIM(SUBSTITUTE(SUBSTITUTE(MID(Общий!B142,SEARCH("Karcher",Общий!B142,1),19),".",""),"-","")),SEARCH("Karcher",TRIM(SUBSTITUTE(SUBSTITUTE(MID(Общий!B142,SEARCH("Karcher",Общий!B142,1),19),".",""),"-","")),1)+8,8)),VALUE(LEFT(SUBSTITUTE(SUBSTITUTE(Общий!B142,".",""),"-",""),8)))))," ",Общий!C142),0)</f>
        <v>16284460 6</v>
      </c>
      <c r="C142" s="29" t="str">
        <f>Общий!A142</f>
        <v>134</v>
      </c>
      <c r="D142" s="27" t="str">
        <f>Общий!B142</f>
        <v>KWD 3 S V-15/4/20 (BSY) LE  *EU-I хозяйственный пылесос Karcher 1.628-446 код : 000130</v>
      </c>
      <c r="E142" s="28">
        <f>Общий!C142</f>
        <v>6</v>
      </c>
      <c r="F142" s="21"/>
      <c r="G142" s="44"/>
      <c r="H142" s="44"/>
      <c r="I142" s="44"/>
      <c r="J142" s="35"/>
      <c r="K142" s="16"/>
    </row>
    <row r="143" spans="1:11">
      <c r="A143" s="31">
        <f>IFERROR(VALUE(IF(LEN(IFERROR(VALUE(MID(TRIM(SUBSTITUTE(SUBSTITUTE(MID(Общий!B143,SEARCH("Karcher",Общий!B143,1),19),".",""),"-","")),SEARCH("Karcher",TRIM(SUBSTITUTE(SUBSTITUTE(MID(Общий!B143,SEARCH("Karcher",Общий!B143,1),19),".",""),"-","")),1)+8,8)),VALUE(LEFT(SUBSTITUTE(SUBSTITUTE(Общий!B143,".",""),"-",""),8))))=7,CONCATENATE(IFERROR(VALUE(MID(TRIM(SUBSTITUTE(SUBSTITUTE(MID(Общий!B143,SEARCH("Karcher",Общий!B143,1),19),".",""),"-","")),SEARCH("Karcher",TRIM(SUBSTITUTE(SUBSTITUTE(MID(Общий!B143,SEARCH("Karcher",Общий!B143,1),19),".",""),"-","")),1)+8,8)),VALUE(LEFT(SUBSTITUTE(SUBSTITUTE(Общий!B143,".",""),"-",""),8))),"0"),IFERROR(VALUE(MID(TRIM(SUBSTITUTE(SUBSTITUTE(MID(Общий!B143,SEARCH("Karcher",Общий!B143,1),19),".",""),"-","")),SEARCH("Karcher",TRIM(SUBSTITUTE(SUBSTITUTE(MID(Общий!B143,SEARCH("Karcher",Общий!B143,1),19),".",""),"-","")),1)+8,8)),VALUE(LEFT(SUBSTITUTE(SUBSTITUTE(Общий!B143,".",""),"-",""),8))))),0)</f>
        <v>16455350</v>
      </c>
      <c r="B143" s="25" t="str">
        <f>IFERROR(CONCATENATE(VALUE(IF(LEN(IFERROR(VALUE(MID(TRIM(SUBSTITUTE(SUBSTITUTE(MID(Общий!B143,SEARCH("Karcher",Общий!B143,1),19),".",""),"-","")),SEARCH("Karcher",TRIM(SUBSTITUTE(SUBSTITUTE(MID(Общий!B143,SEARCH("Karcher",Общий!B143,1),19),".",""),"-","")),1)+8,8)),VALUE(LEFT(SUBSTITUTE(SUBSTITUTE(Общий!B143,".",""),"-",""),8))))=7,CONCATENATE(IFERROR(VALUE(MID(TRIM(SUBSTITUTE(SUBSTITUTE(MID(Общий!B143,SEARCH("Karcher",Общий!B143,1),19),".",""),"-","")),SEARCH("Karcher",TRIM(SUBSTITUTE(SUBSTITUTE(MID(Общий!B143,SEARCH("Karcher",Общий!B143,1),19),".",""),"-","")),1)+8,8)),VALUE(LEFT(SUBSTITUTE(SUBSTITUTE(Общий!B143,".",""),"-",""),8))),"0"),IFERROR(VALUE(MID(TRIM(SUBSTITUTE(SUBSTITUTE(MID(Общий!B143,SEARCH("Karcher",Общий!B143,1),19),".",""),"-","")),SEARCH("Karcher",TRIM(SUBSTITUTE(SUBSTITUTE(MID(Общий!B143,SEARCH("Karcher",Общий!B143,1),19),".",""),"-","")),1)+8,8)),VALUE(LEFT(SUBSTITUTE(SUBSTITUTE(Общий!B143,".",""),"-",""),8)))))," ",Общий!C143),0)</f>
        <v>16455350 1</v>
      </c>
      <c r="C143" s="29" t="str">
        <f>Общий!A143</f>
        <v>135</v>
      </c>
      <c r="D143" s="27" t="str">
        <f>Общий!B143</f>
        <v>SP 3 Dirt House Set*EU Погружной насос Karcher 1.645-535 код : 000274</v>
      </c>
      <c r="E143" s="28">
        <f>Общий!C143</f>
        <v>1</v>
      </c>
      <c r="F143" s="21"/>
      <c r="G143" s="44"/>
      <c r="H143" s="44"/>
      <c r="I143" s="44"/>
      <c r="J143" s="35"/>
      <c r="K143" s="16"/>
    </row>
    <row r="144" spans="1:11">
      <c r="A144" s="31">
        <f>IFERROR(VALUE(IF(LEN(IFERROR(VALUE(MID(TRIM(SUBSTITUTE(SUBSTITUTE(MID(Общий!B144,SEARCH("Karcher",Общий!B144,1),19),".",""),"-","")),SEARCH("Karcher",TRIM(SUBSTITUTE(SUBSTITUTE(MID(Общий!B144,SEARCH("Karcher",Общий!B144,1),19),".",""),"-","")),1)+8,8)),VALUE(LEFT(SUBSTITUTE(SUBSTITUTE(Общий!B144,".",""),"-",""),8))))=7,CONCATENATE(IFERROR(VALUE(MID(TRIM(SUBSTITUTE(SUBSTITUTE(MID(Общий!B144,SEARCH("Karcher",Общий!B144,1),19),".",""),"-","")),SEARCH("Karcher",TRIM(SUBSTITUTE(SUBSTITUTE(MID(Общий!B144,SEARCH("Karcher",Общий!B144,1),19),".",""),"-","")),1)+8,8)),VALUE(LEFT(SUBSTITUTE(SUBSTITUTE(Общий!B144,".",""),"-",""),8))),"0"),IFERROR(VALUE(MID(TRIM(SUBSTITUTE(SUBSTITUTE(MID(Общий!B144,SEARCH("Karcher",Общий!B144,1),19),".",""),"-","")),SEARCH("Karcher",TRIM(SUBSTITUTE(SUBSTITUTE(MID(Общий!B144,SEARCH("Karcher",Общий!B144,1),19),".",""),"-","")),1)+8,8)),VALUE(LEFT(SUBSTITUTE(SUBSTITUTE(Общий!B144,".",""),"-",""),8))))),0)</f>
        <v>24450650</v>
      </c>
      <c r="B144" s="25" t="str">
        <f>IFERROR(CONCATENATE(VALUE(IF(LEN(IFERROR(VALUE(MID(TRIM(SUBSTITUTE(SUBSTITUTE(MID(Общий!B144,SEARCH("Karcher",Общий!B144,1),19),".",""),"-","")),SEARCH("Karcher",TRIM(SUBSTITUTE(SUBSTITUTE(MID(Общий!B144,SEARCH("Karcher",Общий!B144,1),19),".",""),"-","")),1)+8,8)),VALUE(LEFT(SUBSTITUTE(SUBSTITUTE(Общий!B144,".",""),"-",""),8))))=7,CONCATENATE(IFERROR(VALUE(MID(TRIM(SUBSTITUTE(SUBSTITUTE(MID(Общий!B144,SEARCH("Karcher",Общий!B144,1),19),".",""),"-","")),SEARCH("Karcher",TRIM(SUBSTITUTE(SUBSTITUTE(MID(Общий!B144,SEARCH("Karcher",Общий!B144,1),19),".",""),"-","")),1)+8,8)),VALUE(LEFT(SUBSTITUTE(SUBSTITUTE(Общий!B144,".",""),"-",""),8))),"0"),IFERROR(VALUE(MID(TRIM(SUBSTITUTE(SUBSTITUTE(MID(Общий!B144,SEARCH("Karcher",Общий!B144,1),19),".",""),"-","")),SEARCH("Karcher",TRIM(SUBSTITUTE(SUBSTITUTE(MID(Общий!B144,SEARCH("Karcher",Общий!B144,1),19),".",""),"-","")),1)+8,8)),VALUE(LEFT(SUBSTITUTE(SUBSTITUTE(Общий!B144,".",""),"-",""),8)))))," ",Общий!C144),0)</f>
        <v>24450650 2</v>
      </c>
      <c r="C144" s="29" t="str">
        <f>Общий!A144</f>
        <v>136</v>
      </c>
      <c r="D144" s="27" t="str">
        <f>Общий!B144</f>
        <v>Комплект Battery Power 36/50 DW *EU Karcher 2.445-065 код : 000255</v>
      </c>
      <c r="E144" s="28">
        <f>Общий!C144</f>
        <v>2</v>
      </c>
      <c r="F144" s="21"/>
      <c r="G144" s="44"/>
      <c r="H144" s="44"/>
      <c r="I144" s="44"/>
      <c r="J144" s="35"/>
      <c r="K144" s="16"/>
    </row>
    <row r="145" spans="1:11">
      <c r="A145" s="31">
        <f>IFERROR(VALUE(IF(LEN(IFERROR(VALUE(MID(TRIM(SUBSTITUTE(SUBSTITUTE(MID(Общий!B145,SEARCH("Karcher",Общий!B145,1),19),".",""),"-","")),SEARCH("Karcher",TRIM(SUBSTITUTE(SUBSTITUTE(MID(Общий!B145,SEARCH("Karcher",Общий!B145,1),19),".",""),"-","")),1)+8,8)),VALUE(LEFT(SUBSTITUTE(SUBSTITUTE(Общий!B145,".",""),"-",""),8))))=7,CONCATENATE(IFERROR(VALUE(MID(TRIM(SUBSTITUTE(SUBSTITUTE(MID(Общий!B145,SEARCH("Karcher",Общий!B145,1),19),".",""),"-","")),SEARCH("Karcher",TRIM(SUBSTITUTE(SUBSTITUTE(MID(Общий!B145,SEARCH("Karcher",Общий!B145,1),19),".",""),"-","")),1)+8,8)),VALUE(LEFT(SUBSTITUTE(SUBSTITUTE(Общий!B145,".",""),"-",""),8))),"0"),IFERROR(VALUE(MID(TRIM(SUBSTITUTE(SUBSTITUTE(MID(Общий!B145,SEARCH("Karcher",Общий!B145,1),19),".",""),"-","")),SEARCH("Karcher",TRIM(SUBSTITUTE(SUBSTITUTE(MID(Общий!B145,SEARCH("Karcher",Общий!B145,1),19),".",""),"-","")),1)+8,8)),VALUE(LEFT(SUBSTITUTE(SUBSTITUTE(Общий!B145,".",""),"-",""),8))))),0)</f>
        <v>26331300</v>
      </c>
      <c r="B145" s="25" t="str">
        <f>IFERROR(CONCATENATE(VALUE(IF(LEN(IFERROR(VALUE(MID(TRIM(SUBSTITUTE(SUBSTITUTE(MID(Общий!B145,SEARCH("Karcher",Общий!B145,1),19),".",""),"-","")),SEARCH("Karcher",TRIM(SUBSTITUTE(SUBSTITUTE(MID(Общий!B145,SEARCH("Karcher",Общий!B145,1),19),".",""),"-","")),1)+8,8)),VALUE(LEFT(SUBSTITUTE(SUBSTITUTE(Общий!B145,".",""),"-",""),8))))=7,CONCATENATE(IFERROR(VALUE(MID(TRIM(SUBSTITUTE(SUBSTITUTE(MID(Общий!B145,SEARCH("Karcher",Общий!B145,1),19),".",""),"-","")),SEARCH("Karcher",TRIM(SUBSTITUTE(SUBSTITUTE(MID(Общий!B145,SEARCH("Karcher",Общий!B145,1),19),".",""),"-","")),1)+8,8)),VALUE(LEFT(SUBSTITUTE(SUBSTITUTE(Общий!B145,".",""),"-",""),8))),"0"),IFERROR(VALUE(MID(TRIM(SUBSTITUTE(SUBSTITUTE(MID(Общий!B145,SEARCH("Karcher",Общий!B145,1),19),".",""),"-","")),SEARCH("Karcher",TRIM(SUBSTITUTE(SUBSTITUTE(MID(Общий!B145,SEARCH("Karcher",Общий!B145,1),19),".",""),"-","")),1)+8,8)),VALUE(LEFT(SUBSTITUTE(SUBSTITUTE(Общий!B145,".",""),"-",""),8)))))," ",Общий!C145),0)</f>
        <v>26331300 5</v>
      </c>
      <c r="C145" s="29" t="str">
        <f>Общий!A145</f>
        <v>137</v>
      </c>
      <c r="D145" s="27" t="str">
        <f>Общий!B145</f>
        <v>Обтяжки из микрофибры Indoor Karcher 2.633-130 код : 000699</v>
      </c>
      <c r="E145" s="28">
        <f>Общий!C145</f>
        <v>5</v>
      </c>
      <c r="F145" s="21"/>
      <c r="G145" s="44"/>
      <c r="H145" s="44"/>
      <c r="I145" s="44"/>
      <c r="J145" s="35"/>
      <c r="K145" s="16"/>
    </row>
    <row r="146" spans="1:11">
      <c r="A146" s="31">
        <f>IFERROR(VALUE(IF(LEN(IFERROR(VALUE(MID(TRIM(SUBSTITUTE(SUBSTITUTE(MID(Общий!B146,SEARCH("Karcher",Общий!B146,1),19),".",""),"-","")),SEARCH("Karcher",TRIM(SUBSTITUTE(SUBSTITUTE(MID(Общий!B146,SEARCH("Karcher",Общий!B146,1),19),".",""),"-","")),1)+8,8)),VALUE(LEFT(SUBSTITUTE(SUBSTITUTE(Общий!B146,".",""),"-",""),8))))=7,CONCATENATE(IFERROR(VALUE(MID(TRIM(SUBSTITUTE(SUBSTITUTE(MID(Общий!B146,SEARCH("Karcher",Общий!B146,1),19),".",""),"-","")),SEARCH("Karcher",TRIM(SUBSTITUTE(SUBSTITUTE(MID(Общий!B146,SEARCH("Karcher",Общий!B146,1),19),".",""),"-","")),1)+8,8)),VALUE(LEFT(SUBSTITUTE(SUBSTITUTE(Общий!B146,".",""),"-",""),8))),"0"),IFERROR(VALUE(MID(TRIM(SUBSTITUTE(SUBSTITUTE(MID(Общий!B146,SEARCH("Karcher",Общий!B146,1),19),".",""),"-","")),SEARCH("Karcher",TRIM(SUBSTITUTE(SUBSTITUTE(MID(Общий!B146,SEARCH("Karcher",Общий!B146,1),19),".",""),"-","")),1)+8,8)),VALUE(LEFT(SUBSTITUTE(SUBSTITUTE(Общий!B146,".",""),"-",""),8))))),0)</f>
        <v>26377290</v>
      </c>
      <c r="B146" s="25" t="str">
        <f>IFERROR(CONCATENATE(VALUE(IF(LEN(IFERROR(VALUE(MID(TRIM(SUBSTITUTE(SUBSTITUTE(MID(Общий!B146,SEARCH("Karcher",Общий!B146,1),19),".",""),"-","")),SEARCH("Karcher",TRIM(SUBSTITUTE(SUBSTITUTE(MID(Общий!B146,SEARCH("Karcher",Общий!B146,1),19),".",""),"-","")),1)+8,8)),VALUE(LEFT(SUBSTITUTE(SUBSTITUTE(Общий!B146,".",""),"-",""),8))))=7,CONCATENATE(IFERROR(VALUE(MID(TRIM(SUBSTITUTE(SUBSTITUTE(MID(Общий!B146,SEARCH("Karcher",Общий!B146,1),19),".",""),"-","")),SEARCH("Karcher",TRIM(SUBSTITUTE(SUBSTITUTE(MID(Общий!B146,SEARCH("Karcher",Общий!B146,1),19),".",""),"-","")),1)+8,8)),VALUE(LEFT(SUBSTITUTE(SUBSTITUTE(Общий!B146,".",""),"-",""),8))),"0"),IFERROR(VALUE(MID(TRIM(SUBSTITUTE(SUBSTITUTE(MID(Общий!B146,SEARCH("Karcher",Общий!B146,1),19),".",""),"-","")),SEARCH("Karcher",TRIM(SUBSTITUTE(SUBSTITUTE(MID(Общий!B146,SEARCH("Karcher",Общий!B146,1),19),".",""),"-","")),1)+8,8)),VALUE(LEFT(SUBSTITUTE(SUBSTITUTE(Общий!B146,".",""),"-",""),8)))))," ",Общий!C146),0)</f>
        <v>26377290 2</v>
      </c>
      <c r="C146" s="29" t="str">
        <f>Общий!A146</f>
        <v>138</v>
      </c>
      <c r="D146" s="27" t="str">
        <f>Общий!B146</f>
        <v>Комплект для чистки труб 7,5м (К2-К7) Karcher 2.637-729 код : 000720</v>
      </c>
      <c r="E146" s="28">
        <f>Общий!C146</f>
        <v>2</v>
      </c>
      <c r="F146" s="21"/>
      <c r="G146" s="44"/>
      <c r="H146" s="44"/>
      <c r="I146" s="44"/>
      <c r="J146" s="35"/>
      <c r="K146" s="16"/>
    </row>
    <row r="147" spans="1:11">
      <c r="A147" s="31">
        <f>IFERROR(VALUE(IF(LEN(IFERROR(VALUE(MID(TRIM(SUBSTITUTE(SUBSTITUTE(MID(Общий!B147,SEARCH("Karcher",Общий!B147,1),19),".",""),"-","")),SEARCH("Karcher",TRIM(SUBSTITUTE(SUBSTITUTE(MID(Общий!B147,SEARCH("Karcher",Общий!B147,1),19),".",""),"-","")),1)+8,8)),VALUE(LEFT(SUBSTITUTE(SUBSTITUTE(Общий!B147,".",""),"-",""),8))))=7,CONCATENATE(IFERROR(VALUE(MID(TRIM(SUBSTITUTE(SUBSTITUTE(MID(Общий!B147,SEARCH("Karcher",Общий!B147,1),19),".",""),"-","")),SEARCH("Karcher",TRIM(SUBSTITUTE(SUBSTITUTE(MID(Общий!B147,SEARCH("Karcher",Общий!B147,1),19),".",""),"-","")),1)+8,8)),VALUE(LEFT(SUBSTITUTE(SUBSTITUTE(Общий!B147,".",""),"-",""),8))),"0"),IFERROR(VALUE(MID(TRIM(SUBSTITUTE(SUBSTITUTE(MID(Общий!B147,SEARCH("Karcher",Общий!B147,1),19),".",""),"-","")),SEARCH("Karcher",TRIM(SUBSTITUTE(SUBSTITUTE(MID(Общий!B147,SEARCH("Karcher",Общий!B147,1),19),".",""),"-","")),1)+8,8)),VALUE(LEFT(SUBSTITUTE(SUBSTITUTE(Общий!B147,".",""),"-",""),8))))),0)</f>
        <v>26388170</v>
      </c>
      <c r="B147" s="25" t="str">
        <f>IFERROR(CONCATENATE(VALUE(IF(LEN(IFERROR(VALUE(MID(TRIM(SUBSTITUTE(SUBSTITUTE(MID(Общий!B147,SEARCH("Karcher",Общий!B147,1),19),".",""),"-","")),SEARCH("Karcher",TRIM(SUBSTITUTE(SUBSTITUTE(MID(Общий!B147,SEARCH("Karcher",Общий!B147,1),19),".",""),"-","")),1)+8,8)),VALUE(LEFT(SUBSTITUTE(SUBSTITUTE(Общий!B147,".",""),"-",""),8))))=7,CONCATENATE(IFERROR(VALUE(MID(TRIM(SUBSTITUTE(SUBSTITUTE(MID(Общий!B147,SEARCH("Karcher",Общий!B147,1),19),".",""),"-","")),SEARCH("Karcher",TRIM(SUBSTITUTE(SUBSTITUTE(MID(Общий!B147,SEARCH("Karcher",Общий!B147,1),19),".",""),"-","")),1)+8,8)),VALUE(LEFT(SUBSTITUTE(SUBSTITUTE(Общий!B147,".",""),"-",""),8))),"0"),IFERROR(VALUE(MID(TRIM(SUBSTITUTE(SUBSTITUTE(MID(Общий!B147,SEARCH("Karcher",Общий!B147,1),19),".",""),"-","")),SEARCH("Karcher",TRIM(SUBSTITUTE(SUBSTITUTE(MID(Общий!B147,SEARCH("Karcher",Общий!B147,1),19),".",""),"-","")),1)+8,8)),VALUE(LEFT(SUBSTITUTE(SUBSTITUTE(Общий!B147,".",""),"-",""),8)))))," ",Общий!C147),0)</f>
        <v>26388170 2</v>
      </c>
      <c r="C147" s="29" t="str">
        <f>Общий!A147</f>
        <v>139</v>
      </c>
      <c r="D147" s="27" t="str">
        <f>Общий!B147</f>
        <v>Угловая струйная трубка (серия К2-К7) Karcher 2.638-817 код : 000639</v>
      </c>
      <c r="E147" s="28">
        <f>Общий!C147</f>
        <v>2</v>
      </c>
      <c r="F147" s="21"/>
      <c r="G147" s="44"/>
      <c r="H147" s="44"/>
      <c r="I147" s="44"/>
      <c r="J147" s="35"/>
      <c r="K147" s="16"/>
    </row>
    <row r="148" spans="1:11">
      <c r="A148" s="31">
        <f>IFERROR(VALUE(IF(LEN(IFERROR(VALUE(MID(TRIM(SUBSTITUTE(SUBSTITUTE(MID(Общий!B148,SEARCH("Karcher",Общий!B148,1),19),".",""),"-","")),SEARCH("Karcher",TRIM(SUBSTITUTE(SUBSTITUTE(MID(Общий!B148,SEARCH("Karcher",Общий!B148,1),19),".",""),"-","")),1)+8,8)),VALUE(LEFT(SUBSTITUTE(SUBSTITUTE(Общий!B148,".",""),"-",""),8))))=7,CONCATENATE(IFERROR(VALUE(MID(TRIM(SUBSTITUTE(SUBSTITUTE(MID(Общий!B148,SEARCH("Karcher",Общий!B148,1),19),".",""),"-","")),SEARCH("Karcher",TRIM(SUBSTITUTE(SUBSTITUTE(MID(Общий!B148,SEARCH("Karcher",Общий!B148,1),19),".",""),"-","")),1)+8,8)),VALUE(LEFT(SUBSTITUTE(SUBSTITUTE(Общий!B148,".",""),"-",""),8))),"0"),IFERROR(VALUE(MID(TRIM(SUBSTITUTE(SUBSTITUTE(MID(Общий!B148,SEARCH("Karcher",Общий!B148,1),19),".",""),"-","")),SEARCH("Karcher",TRIM(SUBSTITUTE(SUBSTITUTE(MID(Общий!B148,SEARCH("Karcher",Общий!B148,1),19),".",""),"-","")),1)+8,8)),VALUE(LEFT(SUBSTITUTE(SUBSTITUTE(Общий!B148,".",""),"-",""),8))))),0)</f>
        <v>26427290</v>
      </c>
      <c r="B148" s="25" t="str">
        <f>IFERROR(CONCATENATE(VALUE(IF(LEN(IFERROR(VALUE(MID(TRIM(SUBSTITUTE(SUBSTITUTE(MID(Общий!B148,SEARCH("Karcher",Общий!B148,1),19),".",""),"-","")),SEARCH("Karcher",TRIM(SUBSTITUTE(SUBSTITUTE(MID(Общий!B148,SEARCH("Karcher",Общий!B148,1),19),".",""),"-","")),1)+8,8)),VALUE(LEFT(SUBSTITUTE(SUBSTITUTE(Общий!B148,".",""),"-",""),8))))=7,CONCATENATE(IFERROR(VALUE(MID(TRIM(SUBSTITUTE(SUBSTITUTE(MID(Общий!B148,SEARCH("Karcher",Общий!B148,1),19),".",""),"-","")),SEARCH("Karcher",TRIM(SUBSTITUTE(SUBSTITUTE(MID(Общий!B148,SEARCH("Karcher",Общий!B148,1),19),".",""),"-","")),1)+8,8)),VALUE(LEFT(SUBSTITUTE(SUBSTITUTE(Общий!B148,".",""),"-",""),8))),"0"),IFERROR(VALUE(MID(TRIM(SUBSTITUTE(SUBSTITUTE(MID(Общий!B148,SEARCH("Karcher",Общий!B148,1),19),".",""),"-","")),SEARCH("Karcher",TRIM(SUBSTITUTE(SUBSTITUTE(MID(Общий!B148,SEARCH("Karcher",Общий!B148,1),19),".",""),"-","")),1)+8,8)),VALUE(LEFT(SUBSTITUTE(SUBSTITUTE(Общий!B148,".",""),"-",""),8)))))," ",Общий!C148),0)</f>
        <v>26427290 3</v>
      </c>
      <c r="C148" s="29" t="str">
        <f>Общий!A148</f>
        <v>140</v>
      </c>
      <c r="D148" s="27" t="str">
        <f>Общий!B148</f>
        <v>Грязевая фреза DB180  Full Control (серия K7) Karcher 2.642-729 код : 000726</v>
      </c>
      <c r="E148" s="28">
        <f>Общий!C148</f>
        <v>3</v>
      </c>
      <c r="F148" s="21"/>
      <c r="G148" s="44"/>
      <c r="H148" s="44"/>
      <c r="I148" s="44"/>
      <c r="J148" s="35"/>
      <c r="K148" s="16"/>
    </row>
    <row r="149" spans="1:11">
      <c r="A149" s="31">
        <f>IFERROR(VALUE(IF(LEN(IFERROR(VALUE(MID(TRIM(SUBSTITUTE(SUBSTITUTE(MID(Общий!B149,SEARCH("Karcher",Общий!B149,1),19),".",""),"-","")),SEARCH("Karcher",TRIM(SUBSTITUTE(SUBSTITUTE(MID(Общий!B149,SEARCH("Karcher",Общий!B149,1),19),".",""),"-","")),1)+8,8)),VALUE(LEFT(SUBSTITUTE(SUBSTITUTE(Общий!B149,".",""),"-",""),8))))=7,CONCATENATE(IFERROR(VALUE(MID(TRIM(SUBSTITUTE(SUBSTITUTE(MID(Общий!B149,SEARCH("Karcher",Общий!B149,1),19),".",""),"-","")),SEARCH("Karcher",TRIM(SUBSTITUTE(SUBSTITUTE(MID(Общий!B149,SEARCH("Karcher",Общий!B149,1),19),".",""),"-","")),1)+8,8)),VALUE(LEFT(SUBSTITUTE(SUBSTITUTE(Общий!B149,".",""),"-",""),8))),"0"),IFERROR(VALUE(MID(TRIM(SUBSTITUTE(SUBSTITUTE(MID(Общий!B149,SEARCH("Karcher",Общий!B149,1),19),".",""),"-","")),SEARCH("Karcher",TRIM(SUBSTITUTE(SUBSTITUTE(MID(Общий!B149,SEARCH("Karcher",Общий!B149,1),19),".",""),"-","")),1)+8,8)),VALUE(LEFT(SUBSTITUTE(SUBSTITUTE(Общий!B149,".",""),"-",""),8))))),0)</f>
        <v>26432330</v>
      </c>
      <c r="B149" s="25" t="str">
        <f>IFERROR(CONCATENATE(VALUE(IF(LEN(IFERROR(VALUE(MID(TRIM(SUBSTITUTE(SUBSTITUTE(MID(Общий!B149,SEARCH("Karcher",Общий!B149,1),19),".",""),"-","")),SEARCH("Karcher",TRIM(SUBSTITUTE(SUBSTITUTE(MID(Общий!B149,SEARCH("Karcher",Общий!B149,1),19),".",""),"-","")),1)+8,8)),VALUE(LEFT(SUBSTITUTE(SUBSTITUTE(Общий!B149,".",""),"-",""),8))))=7,CONCATENATE(IFERROR(VALUE(MID(TRIM(SUBSTITUTE(SUBSTITUTE(MID(Общий!B149,SEARCH("Karcher",Общий!B149,1),19),".",""),"-","")),SEARCH("Karcher",TRIM(SUBSTITUTE(SUBSTITUTE(MID(Общий!B149,SEARCH("Karcher",Общий!B149,1),19),".",""),"-","")),1)+8,8)),VALUE(LEFT(SUBSTITUTE(SUBSTITUTE(Общий!B149,".",""),"-",""),8))),"0"),IFERROR(VALUE(MID(TRIM(SUBSTITUTE(SUBSTITUTE(MID(Общий!B149,SEARCH("Karcher",Общий!B149,1),19),".",""),"-","")),SEARCH("Karcher",TRIM(SUBSTITUTE(SUBSTITUTE(MID(Общий!B149,SEARCH("Karcher",Общий!B149,1),19),".",""),"-","")),1)+8,8)),VALUE(LEFT(SUBSTITUTE(SUBSTITUTE(Общий!B149,".",""),"-",""),8)))))," ",Общий!C149),0)</f>
        <v>26432330 2</v>
      </c>
      <c r="C149" s="29" t="str">
        <f>Общий!A149</f>
        <v>141</v>
      </c>
      <c r="D149" s="27" t="str">
        <f>Общий!B149</f>
        <v>Мягкая поперечная щетка (новая) (серия К) Karcher 2.643-233 код : 000655</v>
      </c>
      <c r="E149" s="28">
        <f>Общий!C149</f>
        <v>2</v>
      </c>
      <c r="F149" s="21"/>
      <c r="G149" s="44"/>
      <c r="H149" s="44"/>
      <c r="I149" s="44"/>
      <c r="J149" s="35"/>
      <c r="K149" s="16"/>
    </row>
    <row r="150" spans="1:11">
      <c r="A150" s="31">
        <f>IFERROR(VALUE(IF(LEN(IFERROR(VALUE(MID(TRIM(SUBSTITUTE(SUBSTITUTE(MID(Общий!B150,SEARCH("Karcher",Общий!B150,1),19),".",""),"-","")),SEARCH("Karcher",TRIM(SUBSTITUTE(SUBSTITUTE(MID(Общий!B150,SEARCH("Karcher",Общий!B150,1),19),".",""),"-","")),1)+8,8)),VALUE(LEFT(SUBSTITUTE(SUBSTITUTE(Общий!B150,".",""),"-",""),8))))=7,CONCATENATE(IFERROR(VALUE(MID(TRIM(SUBSTITUTE(SUBSTITUTE(MID(Общий!B150,SEARCH("Karcher",Общий!B150,1),19),".",""),"-","")),SEARCH("Karcher",TRIM(SUBSTITUTE(SUBSTITUTE(MID(Общий!B150,SEARCH("Karcher",Общий!B150,1),19),".",""),"-","")),1)+8,8)),VALUE(LEFT(SUBSTITUTE(SUBSTITUTE(Общий!B150,".",""),"-",""),8))),"0"),IFERROR(VALUE(MID(TRIM(SUBSTITUTE(SUBSTITUTE(MID(Общий!B150,SEARCH("Karcher",Общий!B150,1),19),".",""),"-","")),SEARCH("Karcher",TRIM(SUBSTITUTE(SUBSTITUTE(MID(Общий!B150,SEARCH("Karcher",Общий!B150,1),19),".",""),"-","")),1)+8,8)),VALUE(LEFT(SUBSTITUTE(SUBSTITUTE(Общий!B150,".",""),"-",""),8))))),0)</f>
        <v>26451370</v>
      </c>
      <c r="B150" s="25" t="str">
        <f>IFERROR(CONCATENATE(VALUE(IF(LEN(IFERROR(VALUE(MID(TRIM(SUBSTITUTE(SUBSTITUTE(MID(Общий!B150,SEARCH("Karcher",Общий!B150,1),19),".",""),"-","")),SEARCH("Karcher",TRIM(SUBSTITUTE(SUBSTITUTE(MID(Общий!B150,SEARCH("Karcher",Общий!B150,1),19),".",""),"-","")),1)+8,8)),VALUE(LEFT(SUBSTITUTE(SUBSTITUTE(Общий!B150,".",""),"-",""),8))))=7,CONCATENATE(IFERROR(VALUE(MID(TRIM(SUBSTITUTE(SUBSTITUTE(MID(Общий!B150,SEARCH("Karcher",Общий!B150,1),19),".",""),"-","")),SEARCH("Karcher",TRIM(SUBSTITUTE(SUBSTITUTE(MID(Общий!B150,SEARCH("Karcher",Общий!B150,1),19),".",""),"-","")),1)+8,8)),VALUE(LEFT(SUBSTITUTE(SUBSTITUTE(Общий!B150,".",""),"-",""),8))),"0"),IFERROR(VALUE(MID(TRIM(SUBSTITUTE(SUBSTITUTE(MID(Общий!B150,SEARCH("Karcher",Общий!B150,1),19),".",""),"-","")),SEARCH("Karcher",TRIM(SUBSTITUTE(SUBSTITUTE(MID(Общий!B150,SEARCH("Karcher",Общий!B150,1),19),".",""),"-","")),1)+8,8)),VALUE(LEFT(SUBSTITUTE(SUBSTITUTE(Общий!B150,".",""),"-",""),8)))))," ",Общий!C150),0)</f>
        <v>26451370 2</v>
      </c>
      <c r="C150" s="29" t="str">
        <f>Общий!A150</f>
        <v>142</v>
      </c>
      <c r="D150" s="27" t="str">
        <f>Общий!B150</f>
        <v>Распылитель на штанге Premium Karcher 2.645-137 код : 020051</v>
      </c>
      <c r="E150" s="28">
        <f>Общий!C150</f>
        <v>2</v>
      </c>
      <c r="F150" s="21"/>
      <c r="G150" s="44"/>
      <c r="H150" s="44"/>
      <c r="I150" s="44"/>
      <c r="J150" s="35"/>
      <c r="K150" s="16"/>
    </row>
    <row r="151" spans="1:11">
      <c r="A151" s="31">
        <f>IFERROR(VALUE(IF(LEN(IFERROR(VALUE(MID(TRIM(SUBSTITUTE(SUBSTITUTE(MID(Общий!B151,SEARCH("Karcher",Общий!B151,1),19),".",""),"-","")),SEARCH("Karcher",TRIM(SUBSTITUTE(SUBSTITUTE(MID(Общий!B151,SEARCH("Karcher",Общий!B151,1),19),".",""),"-","")),1)+8,8)),VALUE(LEFT(SUBSTITUTE(SUBSTITUTE(Общий!B151,".",""),"-",""),8))))=7,CONCATENATE(IFERROR(VALUE(MID(TRIM(SUBSTITUTE(SUBSTITUTE(MID(Общий!B151,SEARCH("Karcher",Общий!B151,1),19),".",""),"-","")),SEARCH("Karcher",TRIM(SUBSTITUTE(SUBSTITUTE(MID(Общий!B151,SEARCH("Karcher",Общий!B151,1),19),".",""),"-","")),1)+8,8)),VALUE(LEFT(SUBSTITUTE(SUBSTITUTE(Общий!B151,".",""),"-",""),8))),"0"),IFERROR(VALUE(MID(TRIM(SUBSTITUTE(SUBSTITUTE(MID(Общий!B151,SEARCH("Karcher",Общий!B151,1),19),".",""),"-","")),SEARCH("Karcher",TRIM(SUBSTITUTE(SUBSTITUTE(MID(Общий!B151,SEARCH("Karcher",Общий!B151,1),19),".",""),"-","")),1)+8,8)),VALUE(LEFT(SUBSTITUTE(SUBSTITUTE(Общий!B151,".",""),"-",""),8))))),0)</f>
        <v>28630050</v>
      </c>
      <c r="B151" s="25" t="str">
        <f>IFERROR(CONCATENATE(VALUE(IF(LEN(IFERROR(VALUE(MID(TRIM(SUBSTITUTE(SUBSTITUTE(MID(Общий!B151,SEARCH("Karcher",Общий!B151,1),19),".",""),"-","")),SEARCH("Karcher",TRIM(SUBSTITUTE(SUBSTITUTE(MID(Общий!B151,SEARCH("Karcher",Общий!B151,1),19),".",""),"-","")),1)+8,8)),VALUE(LEFT(SUBSTITUTE(SUBSTITUTE(Общий!B151,".",""),"-",""),8))))=7,CONCATENATE(IFERROR(VALUE(MID(TRIM(SUBSTITUTE(SUBSTITUTE(MID(Общий!B151,SEARCH("Karcher",Общий!B151,1),19),".",""),"-","")),SEARCH("Karcher",TRIM(SUBSTITUTE(SUBSTITUTE(MID(Общий!B151,SEARCH("Karcher",Общий!B151,1),19),".",""),"-","")),1)+8,8)),VALUE(LEFT(SUBSTITUTE(SUBSTITUTE(Общий!B151,".",""),"-",""),8))),"0"),IFERROR(VALUE(MID(TRIM(SUBSTITUTE(SUBSTITUTE(MID(Общий!B151,SEARCH("Karcher",Общий!B151,1),19),".",""),"-","")),SEARCH("Karcher",TRIM(SUBSTITUTE(SUBSTITUTE(MID(Общий!B151,SEARCH("Karcher",Общий!B151,1),19),".",""),"-","")),1)+8,8)),VALUE(LEFT(SUBSTITUTE(SUBSTITUTE(Общий!B151,".",""),"-",""),8)))))," ",Общий!C151),0)</f>
        <v>28630050 5</v>
      </c>
      <c r="C151" s="29" t="str">
        <f>Общий!A151</f>
        <v>143</v>
      </c>
      <c r="D151" s="27" t="str">
        <f>Общий!B151</f>
        <v>Фильтр плоский для WD4-6 Karcher 2.863-005 код : 001373</v>
      </c>
      <c r="E151" s="28">
        <f>Общий!C151</f>
        <v>5</v>
      </c>
      <c r="F151" s="21"/>
      <c r="G151" s="44"/>
      <c r="H151" s="44"/>
      <c r="I151" s="44"/>
      <c r="J151" s="35"/>
      <c r="K151" s="16"/>
    </row>
    <row r="152" spans="1:11">
      <c r="A152" s="31">
        <f>IFERROR(VALUE(IF(LEN(IFERROR(VALUE(MID(TRIM(SUBSTITUTE(SUBSTITUTE(MID(Общий!B152,SEARCH("Karcher",Общий!B152,1),19),".",""),"-","")),SEARCH("Karcher",TRIM(SUBSTITUTE(SUBSTITUTE(MID(Общий!B152,SEARCH("Karcher",Общий!B152,1),19),".",""),"-","")),1)+8,8)),VALUE(LEFT(SUBSTITUTE(SUBSTITUTE(Общий!B152,".",""),"-",""),8))))=7,CONCATENATE(IFERROR(VALUE(MID(TRIM(SUBSTITUTE(SUBSTITUTE(MID(Общий!B152,SEARCH("Karcher",Общий!B152,1),19),".",""),"-","")),SEARCH("Karcher",TRIM(SUBSTITUTE(SUBSTITUTE(MID(Общий!B152,SEARCH("Karcher",Общий!B152,1),19),".",""),"-","")),1)+8,8)),VALUE(LEFT(SUBSTITUTE(SUBSTITUTE(Общий!B152,".",""),"-",""),8))),"0"),IFERROR(VALUE(MID(TRIM(SUBSTITUTE(SUBSTITUTE(MID(Общий!B152,SEARCH("Karcher",Общий!B152,1),19),".",""),"-","")),SEARCH("Karcher",TRIM(SUBSTITUTE(SUBSTITUTE(MID(Общий!B152,SEARCH("Karcher",Общий!B152,1),19),".",""),"-","")),1)+8,8)),VALUE(LEFT(SUBSTITUTE(SUBSTITUTE(Общий!B152,".",""),"-",""),8))))),0)</f>
        <v>28632210</v>
      </c>
      <c r="B152" s="25" t="str">
        <f>IFERROR(CONCATENATE(VALUE(IF(LEN(IFERROR(VALUE(MID(TRIM(SUBSTITUTE(SUBSTITUTE(MID(Общий!B152,SEARCH("Karcher",Общий!B152,1),19),".",""),"-","")),SEARCH("Karcher",TRIM(SUBSTITUTE(SUBSTITUTE(MID(Общий!B152,SEARCH("Karcher",Общий!B152,1),19),".",""),"-","")),1)+8,8)),VALUE(LEFT(SUBSTITUTE(SUBSTITUTE(Общий!B152,".",""),"-",""),8))))=7,CONCATENATE(IFERROR(VALUE(MID(TRIM(SUBSTITUTE(SUBSTITUTE(MID(Общий!B152,SEARCH("Karcher",Общий!B152,1),19),".",""),"-","")),SEARCH("Karcher",TRIM(SUBSTITUTE(SUBSTITUTE(MID(Общий!B152,SEARCH("Karcher",Общий!B152,1),19),".",""),"-","")),1)+8,8)),VALUE(LEFT(SUBSTITUTE(SUBSTITUTE(Общий!B152,".",""),"-",""),8))),"0"),IFERROR(VALUE(MID(TRIM(SUBSTITUTE(SUBSTITUTE(MID(Общий!B152,SEARCH("Karcher",Общий!B152,1),19),".",""),"-","")),SEARCH("Karcher",TRIM(SUBSTITUTE(SUBSTITUTE(MID(Общий!B152,SEARCH("Karcher",Общий!B152,1),19),".",""),"-","")),1)+8,8)),VALUE(LEFT(SUBSTITUTE(SUBSTITUTE(Общий!B152,".",""),"-",""),8)))))," ",Общий!C152),0)</f>
        <v>28632210 3</v>
      </c>
      <c r="C152" s="29" t="str">
        <f>Общий!A152</f>
        <v>144</v>
      </c>
      <c r="D152" s="27" t="str">
        <f>Общий!B152</f>
        <v>Комплект насадок-кистей, 2 предмета (WD 2-6, WD7, SE4-5) Karcher 2.863-221 код : 000612</v>
      </c>
      <c r="E152" s="28">
        <f>Общий!C152</f>
        <v>3</v>
      </c>
      <c r="F152" s="21"/>
      <c r="G152" s="44"/>
      <c r="H152" s="44"/>
      <c r="I152" s="44"/>
      <c r="J152" s="35"/>
      <c r="K152" s="16"/>
    </row>
    <row r="153" spans="1:11">
      <c r="A153" s="31">
        <f>IFERROR(VALUE(IF(LEN(IFERROR(VALUE(MID(TRIM(SUBSTITUTE(SUBSTITUTE(MID(Общий!B153,SEARCH("Karcher",Общий!B153,1),19),".",""),"-","")),SEARCH("Karcher",TRIM(SUBSTITUTE(SUBSTITUTE(MID(Общий!B153,SEARCH("Karcher",Общий!B153,1),19),".",""),"-","")),1)+8,8)),VALUE(LEFT(SUBSTITUTE(SUBSTITUTE(Общий!B153,".",""),"-",""),8))))=7,CONCATENATE(IFERROR(VALUE(MID(TRIM(SUBSTITUTE(SUBSTITUTE(MID(Общий!B153,SEARCH("Karcher",Общий!B153,1),19),".",""),"-","")),SEARCH("Karcher",TRIM(SUBSTITUTE(SUBSTITUTE(MID(Общий!B153,SEARCH("Karcher",Общий!B153,1),19),".",""),"-","")),1)+8,8)),VALUE(LEFT(SUBSTITUTE(SUBSTITUTE(Общий!B153,".",""),"-",""),8))),"0"),IFERROR(VALUE(MID(TRIM(SUBSTITUTE(SUBSTITUTE(MID(Общий!B153,SEARCH("Karcher",Общий!B153,1),19),".",""),"-","")),SEARCH("Karcher",TRIM(SUBSTITUTE(SUBSTITUTE(MID(Общий!B153,SEARCH("Karcher",Общий!B153,1),19),".",""),"-","")),1)+8,8)),VALUE(LEFT(SUBSTITUTE(SUBSTITUTE(Общий!B153,".",""),"-",""),8))))),0)</f>
        <v>28801680</v>
      </c>
      <c r="B153" s="25" t="str">
        <f>IFERROR(CONCATENATE(VALUE(IF(LEN(IFERROR(VALUE(MID(TRIM(SUBSTITUTE(SUBSTITUTE(MID(Общий!B153,SEARCH("Karcher",Общий!B153,1),19),".",""),"-","")),SEARCH("Karcher",TRIM(SUBSTITUTE(SUBSTITUTE(MID(Общий!B153,SEARCH("Karcher",Общий!B153,1),19),".",""),"-","")),1)+8,8)),VALUE(LEFT(SUBSTITUTE(SUBSTITUTE(Общий!B153,".",""),"-",""),8))))=7,CONCATENATE(IFERROR(VALUE(MID(TRIM(SUBSTITUTE(SUBSTITUTE(MID(Общий!B153,SEARCH("Karcher",Общий!B153,1),19),".",""),"-","")),SEARCH("Karcher",TRIM(SUBSTITUTE(SUBSTITUTE(MID(Общий!B153,SEARCH("Karcher",Общий!B153,1),19),".",""),"-","")),1)+8,8)),VALUE(LEFT(SUBSTITUTE(SUBSTITUTE(Общий!B153,".",""),"-",""),8))),"0"),IFERROR(VALUE(MID(TRIM(SUBSTITUTE(SUBSTITUTE(MID(Общий!B153,SEARCH("Karcher",Общий!B153,1),19),".",""),"-","")),SEARCH("Karcher",TRIM(SUBSTITUTE(SUBSTITUTE(MID(Общий!B153,SEARCH("Karcher",Общий!B153,1),19),".",""),"-","")),1)+8,8)),VALUE(LEFT(SUBSTITUTE(SUBSTITUTE(Общий!B153,".",""),"-",""),8)))))," ",Общий!C153),0)</f>
        <v>28801680 100</v>
      </c>
      <c r="C153" s="29" t="str">
        <f>Общий!A153</f>
        <v>145</v>
      </c>
      <c r="D153" s="27" t="str">
        <f>Общий!B153</f>
        <v>Прокладка к HD/HDS Karcher 2.880-168 1шт код : 000600</v>
      </c>
      <c r="E153" s="28">
        <f>Общий!C153</f>
        <v>100</v>
      </c>
      <c r="F153" s="21"/>
      <c r="G153" s="44"/>
      <c r="H153" s="44"/>
      <c r="I153" s="44"/>
      <c r="J153" s="35"/>
      <c r="K153" s="16"/>
    </row>
    <row r="154" spans="1:11">
      <c r="A154" s="31">
        <f>IFERROR(VALUE(IF(LEN(IFERROR(VALUE(MID(TRIM(SUBSTITUTE(SUBSTITUTE(MID(Общий!B154,SEARCH("Karcher",Общий!B154,1),19),".",""),"-","")),SEARCH("Karcher",TRIM(SUBSTITUTE(SUBSTITUTE(MID(Общий!B154,SEARCH("Karcher",Общий!B154,1),19),".",""),"-","")),1)+8,8)),VALUE(LEFT(SUBSTITUTE(SUBSTITUTE(Общий!B154,".",""),"-",""),8))))=7,CONCATENATE(IFERROR(VALUE(MID(TRIM(SUBSTITUTE(SUBSTITUTE(MID(Общий!B154,SEARCH("Karcher",Общий!B154,1),19),".",""),"-","")),SEARCH("Karcher",TRIM(SUBSTITUTE(SUBSTITUTE(MID(Общий!B154,SEARCH("Karcher",Общий!B154,1),19),".",""),"-","")),1)+8,8)),VALUE(LEFT(SUBSTITUTE(SUBSTITUTE(Общий!B154,".",""),"-",""),8))),"0"),IFERROR(VALUE(MID(TRIM(SUBSTITUTE(SUBSTITUTE(MID(Общий!B154,SEARCH("Karcher",Общий!B154,1),19),".",""),"-","")),SEARCH("Karcher",TRIM(SUBSTITUTE(SUBSTITUTE(MID(Общий!B154,SEARCH("Karcher",Общий!B154,1),19),".",""),"-","")),1)+8,8)),VALUE(LEFT(SUBSTITUTE(SUBSTITUTE(Общий!B154,".",""),"-",""),8))))),0)</f>
        <v>28848690</v>
      </c>
      <c r="B154" s="25" t="str">
        <f>IFERROR(CONCATENATE(VALUE(IF(LEN(IFERROR(VALUE(MID(TRIM(SUBSTITUTE(SUBSTITUTE(MID(Общий!B154,SEARCH("Karcher",Общий!B154,1),19),".",""),"-","")),SEARCH("Karcher",TRIM(SUBSTITUTE(SUBSTITUTE(MID(Общий!B154,SEARCH("Karcher",Общий!B154,1),19),".",""),"-","")),1)+8,8)),VALUE(LEFT(SUBSTITUTE(SUBSTITUTE(Общий!B154,".",""),"-",""),8))))=7,CONCATENATE(IFERROR(VALUE(MID(TRIM(SUBSTITUTE(SUBSTITUTE(MID(Общий!B154,SEARCH("Karcher",Общий!B154,1),19),".",""),"-","")),SEARCH("Karcher",TRIM(SUBSTITUTE(SUBSTITUTE(MID(Общий!B154,SEARCH("Karcher",Общий!B154,1),19),".",""),"-","")),1)+8,8)),VALUE(LEFT(SUBSTITUTE(SUBSTITUTE(Общий!B154,".",""),"-",""),8))),"0"),IFERROR(VALUE(MID(TRIM(SUBSTITUTE(SUBSTITUTE(MID(Общий!B154,SEARCH("Karcher",Общий!B154,1),19),".",""),"-","")),SEARCH("Karcher",TRIM(SUBSTITUTE(SUBSTITUTE(MID(Общий!B154,SEARCH("Karcher",Общий!B154,1),19),".",""),"-","")),1)+8,8)),VALUE(LEFT(SUBSTITUTE(SUBSTITUTE(Общий!B154,".",""),"-",""),8)))))," ",Общий!C154),0)</f>
        <v>28848690 1</v>
      </c>
      <c r="C154" s="29" t="str">
        <f>Общий!A154</f>
        <v>146</v>
      </c>
      <c r="D154" s="27" t="str">
        <f>Общий!B154</f>
        <v>2884869 Ось выключает микрик HD 7/18 4M   9/19   *1* код : 005119</v>
      </c>
      <c r="E154" s="28">
        <f>Общий!C154</f>
        <v>1</v>
      </c>
      <c r="F154" s="21"/>
      <c r="G154" s="44"/>
      <c r="H154" s="44"/>
      <c r="I154" s="44"/>
      <c r="J154" s="35"/>
      <c r="K154" s="16"/>
    </row>
    <row r="155" spans="1:11">
      <c r="A155" s="31">
        <f>IFERROR(VALUE(IF(LEN(IFERROR(VALUE(MID(TRIM(SUBSTITUTE(SUBSTITUTE(MID(Общий!B155,SEARCH("Karcher",Общий!B155,1),19),".",""),"-","")),SEARCH("Karcher",TRIM(SUBSTITUTE(SUBSTITUTE(MID(Общий!B155,SEARCH("Karcher",Общий!B155,1),19),".",""),"-","")),1)+8,8)),VALUE(LEFT(SUBSTITUTE(SUBSTITUTE(Общий!B155,".",""),"-",""),8))))=7,CONCATENATE(IFERROR(VALUE(MID(TRIM(SUBSTITUTE(SUBSTITUTE(MID(Общий!B155,SEARCH("Karcher",Общий!B155,1),19),".",""),"-","")),SEARCH("Karcher",TRIM(SUBSTITUTE(SUBSTITUTE(MID(Общий!B155,SEARCH("Karcher",Общий!B155,1),19),".",""),"-","")),1)+8,8)),VALUE(LEFT(SUBSTITUTE(SUBSTITUTE(Общий!B155,".",""),"-",""),8))),"0"),IFERROR(VALUE(MID(TRIM(SUBSTITUTE(SUBSTITUTE(MID(Общий!B155,SEARCH("Karcher",Общий!B155,1),19),".",""),"-","")),SEARCH("Karcher",TRIM(SUBSTITUTE(SUBSTITUTE(MID(Общий!B155,SEARCH("Karcher",Общий!B155,1),19),".",""),"-","")),1)+8,8)),VALUE(LEFT(SUBSTITUTE(SUBSTITUTE(Общий!B155,".",""),"-",""),8))))),0)</f>
        <v>28851860</v>
      </c>
      <c r="B155" s="25" t="str">
        <f>IFERROR(CONCATENATE(VALUE(IF(LEN(IFERROR(VALUE(MID(TRIM(SUBSTITUTE(SUBSTITUTE(MID(Общий!B155,SEARCH("Karcher",Общий!B155,1),19),".",""),"-","")),SEARCH("Karcher",TRIM(SUBSTITUTE(SUBSTITUTE(MID(Общий!B155,SEARCH("Karcher",Общий!B155,1),19),".",""),"-","")),1)+8,8)),VALUE(LEFT(SUBSTITUTE(SUBSTITUTE(Общий!B155,".",""),"-",""),8))))=7,CONCATENATE(IFERROR(VALUE(MID(TRIM(SUBSTITUTE(SUBSTITUTE(MID(Общий!B155,SEARCH("Karcher",Общий!B155,1),19),".",""),"-","")),SEARCH("Karcher",TRIM(SUBSTITUTE(SUBSTITUTE(MID(Общий!B155,SEARCH("Karcher",Общий!B155,1),19),".",""),"-","")),1)+8,8)),VALUE(LEFT(SUBSTITUTE(SUBSTITUTE(Общий!B155,".",""),"-",""),8))),"0"),IFERROR(VALUE(MID(TRIM(SUBSTITUTE(SUBSTITUTE(MID(Общий!B155,SEARCH("Karcher",Общий!B155,1),19),".",""),"-","")),SEARCH("Karcher",TRIM(SUBSTITUTE(SUBSTITUTE(MID(Общий!B155,SEARCH("Karcher",Общий!B155,1),19),".",""),"-","")),1)+8,8)),VALUE(LEFT(SUBSTITUTE(SUBSTITUTE(Общий!B155,".",""),"-",""),8)))))," ",Общий!C155),0)</f>
        <v>28851860 3</v>
      </c>
      <c r="C155" s="29" t="str">
        <f>Общий!A155</f>
        <v>147</v>
      </c>
      <c r="D155" s="27" t="str">
        <f>Общий!B155</f>
        <v>2885186 Комплект запасных частей Karcher *1* код : 005305</v>
      </c>
      <c r="E155" s="28">
        <f>Общий!C155</f>
        <v>3</v>
      </c>
      <c r="F155" s="21"/>
      <c r="G155" s="44"/>
      <c r="H155" s="44"/>
      <c r="I155" s="44"/>
      <c r="J155" s="35"/>
      <c r="K155" s="16"/>
    </row>
    <row r="156" spans="1:11">
      <c r="A156" s="31">
        <f>IFERROR(VALUE(IF(LEN(IFERROR(VALUE(MID(TRIM(SUBSTITUTE(SUBSTITUTE(MID(Общий!B156,SEARCH("Karcher",Общий!B156,1),19),".",""),"-","")),SEARCH("Karcher",TRIM(SUBSTITUTE(SUBSTITUTE(MID(Общий!B156,SEARCH("Karcher",Общий!B156,1),19),".",""),"-","")),1)+8,8)),VALUE(LEFT(SUBSTITUTE(SUBSTITUTE(Общий!B156,".",""),"-",""),8))))=7,CONCATENATE(IFERROR(VALUE(MID(TRIM(SUBSTITUTE(SUBSTITUTE(MID(Общий!B156,SEARCH("Karcher",Общий!B156,1),19),".",""),"-","")),SEARCH("Karcher",TRIM(SUBSTITUTE(SUBSTITUTE(MID(Общий!B156,SEARCH("Karcher",Общий!B156,1),19),".",""),"-","")),1)+8,8)),VALUE(LEFT(SUBSTITUTE(SUBSTITUTE(Общий!B156,".",""),"-",""),8))),"0"),IFERROR(VALUE(MID(TRIM(SUBSTITUTE(SUBSTITUTE(MID(Общий!B156,SEARCH("Karcher",Общий!B156,1),19),".",""),"-","")),SEARCH("Karcher",TRIM(SUBSTITUTE(SUBSTITUTE(MID(Общий!B156,SEARCH("Karcher",Общий!B156,1),19),".",""),"-","")),1)+8,8)),VALUE(LEFT(SUBSTITUTE(SUBSTITUTE(Общий!B156,".",""),"-",""),8))))),0)</f>
        <v>28892170</v>
      </c>
      <c r="B156" s="25" t="str">
        <f>IFERROR(CONCATENATE(VALUE(IF(LEN(IFERROR(VALUE(MID(TRIM(SUBSTITUTE(SUBSTITUTE(MID(Общий!B156,SEARCH("Karcher",Общий!B156,1),19),".",""),"-","")),SEARCH("Karcher",TRIM(SUBSTITUTE(SUBSTITUTE(MID(Общий!B156,SEARCH("Karcher",Общий!B156,1),19),".",""),"-","")),1)+8,8)),VALUE(LEFT(SUBSTITUTE(SUBSTITUTE(Общий!B156,".",""),"-",""),8))))=7,CONCATENATE(IFERROR(VALUE(MID(TRIM(SUBSTITUTE(SUBSTITUTE(MID(Общий!B156,SEARCH("Karcher",Общий!B156,1),19),".",""),"-","")),SEARCH("Karcher",TRIM(SUBSTITUTE(SUBSTITUTE(MID(Общий!B156,SEARCH("Karcher",Общий!B156,1),19),".",""),"-","")),1)+8,8)),VALUE(LEFT(SUBSTITUTE(SUBSTITUTE(Общий!B156,".",""),"-",""),8))),"0"),IFERROR(VALUE(MID(TRIM(SUBSTITUTE(SUBSTITUTE(MID(Общий!B156,SEARCH("Karcher",Общий!B156,1),19),".",""),"-","")),SEARCH("Karcher",TRIM(SUBSTITUTE(SUBSTITUTE(MID(Общий!B156,SEARCH("Karcher",Общий!B156,1),19),".",""),"-","")),1)+8,8)),VALUE(LEFT(SUBSTITUTE(SUBSTITUTE(Общий!B156,".",""),"-",""),8)))))," ",Общий!C156),0)</f>
        <v>28892170 5</v>
      </c>
      <c r="C156" s="29" t="str">
        <f>Общий!A156</f>
        <v>148</v>
      </c>
      <c r="D156" s="27" t="str">
        <f>Общий!B156</f>
        <v>Фильтр-мешки флисовые для NT22 (5шт) Karcher 2.889-217 код : 000681</v>
      </c>
      <c r="E156" s="28">
        <f>Общий!C156</f>
        <v>5</v>
      </c>
      <c r="F156" s="21"/>
      <c r="G156" s="44"/>
      <c r="H156" s="44"/>
      <c r="I156" s="44"/>
      <c r="J156" s="35"/>
      <c r="K156" s="16"/>
    </row>
    <row r="157" spans="1:11">
      <c r="A157" s="31">
        <f>IFERROR(VALUE(IF(LEN(IFERROR(VALUE(MID(TRIM(SUBSTITUTE(SUBSTITUTE(MID(Общий!B157,SEARCH("Karcher",Общий!B157,1),19),".",""),"-","")),SEARCH("Karcher",TRIM(SUBSTITUTE(SUBSTITUTE(MID(Общий!B157,SEARCH("Karcher",Общий!B157,1),19),".",""),"-","")),1)+8,8)),VALUE(LEFT(SUBSTITUTE(SUBSTITUTE(Общий!B157,".",""),"-",""),8))))=7,CONCATENATE(IFERROR(VALUE(MID(TRIM(SUBSTITUTE(SUBSTITUTE(MID(Общий!B157,SEARCH("Karcher",Общий!B157,1),19),".",""),"-","")),SEARCH("Karcher",TRIM(SUBSTITUTE(SUBSTITUTE(MID(Общий!B157,SEARCH("Karcher",Общий!B157,1),19),".",""),"-","")),1)+8,8)),VALUE(LEFT(SUBSTITUTE(SUBSTITUTE(Общий!B157,".",""),"-",""),8))),"0"),IFERROR(VALUE(MID(TRIM(SUBSTITUTE(SUBSTITUTE(MID(Общий!B157,SEARCH("Karcher",Общий!B157,1),19),".",""),"-","")),SEARCH("Karcher",TRIM(SUBSTITUTE(SUBSTITUTE(MID(Общий!B157,SEARCH("Karcher",Общий!B157,1),19),".",""),"-","")),1)+8,8)),VALUE(LEFT(SUBSTITUTE(SUBSTITUTE(Общий!B157,".",""),"-",""),8))))),0)</f>
        <v>40250040</v>
      </c>
      <c r="B157" s="25" t="str">
        <f>IFERROR(CONCATENATE(VALUE(IF(LEN(IFERROR(VALUE(MID(TRIM(SUBSTITUTE(SUBSTITUTE(MID(Общий!B157,SEARCH("Karcher",Общий!B157,1),19),".",""),"-","")),SEARCH("Karcher",TRIM(SUBSTITUTE(SUBSTITUTE(MID(Общий!B157,SEARCH("Karcher",Общий!B157,1),19),".",""),"-","")),1)+8,8)),VALUE(LEFT(SUBSTITUTE(SUBSTITUTE(Общий!B157,".",""),"-",""),8))))=7,CONCATENATE(IFERROR(VALUE(MID(TRIM(SUBSTITUTE(SUBSTITUTE(MID(Общий!B157,SEARCH("Karcher",Общий!B157,1),19),".",""),"-","")),SEARCH("Karcher",TRIM(SUBSTITUTE(SUBSTITUTE(MID(Общий!B157,SEARCH("Karcher",Общий!B157,1),19),".",""),"-","")),1)+8,8)),VALUE(LEFT(SUBSTITUTE(SUBSTITUTE(Общий!B157,".",""),"-",""),8))),"0"),IFERROR(VALUE(MID(TRIM(SUBSTITUTE(SUBSTITUTE(MID(Общий!B157,SEARCH("Karcher",Общий!B157,1),19),".",""),"-","")),SEARCH("Karcher",TRIM(SUBSTITUTE(SUBSTITUTE(MID(Общий!B157,SEARCH("Karcher",Общий!B157,1),19),".",""),"-","")),1)+8,8)),VALUE(LEFT(SUBSTITUTE(SUBSTITUTE(Общий!B157,".",""),"-",""),8)))))," ",Общий!C157),0)</f>
        <v>40250040 1</v>
      </c>
      <c r="C157" s="29" t="str">
        <f>Общий!A157</f>
        <v>149</v>
      </c>
      <c r="D157" s="27" t="str">
        <f>Общий!B157</f>
        <v>Всасывающая трубка в сборе Karcher 4.025-004 код : 006193</v>
      </c>
      <c r="E157" s="28">
        <f>Общий!C157</f>
        <v>1</v>
      </c>
      <c r="F157" s="21"/>
      <c r="G157" s="44"/>
      <c r="H157" s="44"/>
      <c r="I157" s="44"/>
      <c r="J157" s="35"/>
      <c r="K157" s="16"/>
    </row>
    <row r="158" spans="1:11">
      <c r="A158" s="31">
        <f>IFERROR(VALUE(IF(LEN(IFERROR(VALUE(MID(TRIM(SUBSTITUTE(SUBSTITUTE(MID(Общий!B158,SEARCH("Karcher",Общий!B158,1),19),".",""),"-","")),SEARCH("Karcher",TRIM(SUBSTITUTE(SUBSTITUTE(MID(Общий!B158,SEARCH("Karcher",Общий!B158,1),19),".",""),"-","")),1)+8,8)),VALUE(LEFT(SUBSTITUTE(SUBSTITUTE(Общий!B158,".",""),"-",""),8))))=7,CONCATENATE(IFERROR(VALUE(MID(TRIM(SUBSTITUTE(SUBSTITUTE(MID(Общий!B158,SEARCH("Karcher",Общий!B158,1),19),".",""),"-","")),SEARCH("Karcher",TRIM(SUBSTITUTE(SUBSTITUTE(MID(Общий!B158,SEARCH("Karcher",Общий!B158,1),19),".",""),"-","")),1)+8,8)),VALUE(LEFT(SUBSTITUTE(SUBSTITUTE(Общий!B158,".",""),"-",""),8))),"0"),IFERROR(VALUE(MID(TRIM(SUBSTITUTE(SUBSTITUTE(MID(Общий!B158,SEARCH("Karcher",Общий!B158,1),19),".",""),"-","")),SEARCH("Karcher",TRIM(SUBSTITUTE(SUBSTITUTE(MID(Общий!B158,SEARCH("Karcher",Общий!B158,1),19),".",""),"-","")),1)+8,8)),VALUE(LEFT(SUBSTITUTE(SUBSTITUTE(Общий!B158,".",""),"-",""),8))))),0)</f>
        <v>40352850</v>
      </c>
      <c r="B158" s="25" t="str">
        <f>IFERROR(CONCATENATE(VALUE(IF(LEN(IFERROR(VALUE(MID(TRIM(SUBSTITUTE(SUBSTITUTE(MID(Общий!B158,SEARCH("Karcher",Общий!B158,1),19),".",""),"-","")),SEARCH("Karcher",TRIM(SUBSTITUTE(SUBSTITUTE(MID(Общий!B158,SEARCH("Karcher",Общий!B158,1),19),".",""),"-","")),1)+8,8)),VALUE(LEFT(SUBSTITUTE(SUBSTITUTE(Общий!B158,".",""),"-",""),8))))=7,CONCATENATE(IFERROR(VALUE(MID(TRIM(SUBSTITUTE(SUBSTITUTE(MID(Общий!B158,SEARCH("Karcher",Общий!B158,1),19),".",""),"-","")),SEARCH("Karcher",TRIM(SUBSTITUTE(SUBSTITUTE(MID(Общий!B158,SEARCH("Karcher",Общий!B158,1),19),".",""),"-","")),1)+8,8)),VALUE(LEFT(SUBSTITUTE(SUBSTITUTE(Общий!B158,".",""),"-",""),8))),"0"),IFERROR(VALUE(MID(TRIM(SUBSTITUTE(SUBSTITUTE(MID(Общий!B158,SEARCH("Karcher",Общий!B158,1),19),".",""),"-","")),SEARCH("Karcher",TRIM(SUBSTITUTE(SUBSTITUTE(MID(Общий!B158,SEARCH("Karcher",Общий!B158,1),19),".",""),"-","")),1)+8,8)),VALUE(LEFT(SUBSTITUTE(SUBSTITUTE(Общий!B158,".",""),"-",""),8)))))," ",Общий!C158),0)</f>
        <v>40352850 1</v>
      </c>
      <c r="C158" s="29" t="str">
        <f>Общий!A158</f>
        <v>150</v>
      </c>
      <c r="D158" s="27" t="str">
        <f>Общий!B158</f>
        <v>Сливной шланг с покрытием из ПУ Karcher 4.035-285 код : 006204</v>
      </c>
      <c r="E158" s="28">
        <f>Общий!C158</f>
        <v>1</v>
      </c>
      <c r="F158" s="21"/>
      <c r="G158" s="44"/>
      <c r="H158" s="44"/>
      <c r="I158" s="44"/>
      <c r="J158" s="35"/>
      <c r="K158" s="16"/>
    </row>
    <row r="159" spans="1:11">
      <c r="A159" s="31">
        <f>IFERROR(VALUE(IF(LEN(IFERROR(VALUE(MID(TRIM(SUBSTITUTE(SUBSTITUTE(MID(Общий!B159,SEARCH("Karcher",Общий!B159,1),19),".",""),"-","")),SEARCH("Karcher",TRIM(SUBSTITUTE(SUBSTITUTE(MID(Общий!B159,SEARCH("Karcher",Общий!B159,1),19),".",""),"-","")),1)+8,8)),VALUE(LEFT(SUBSTITUTE(SUBSTITUTE(Общий!B159,".",""),"-",""),8))))=7,CONCATENATE(IFERROR(VALUE(MID(TRIM(SUBSTITUTE(SUBSTITUTE(MID(Общий!B159,SEARCH("Karcher",Общий!B159,1),19),".",""),"-","")),SEARCH("Karcher",TRIM(SUBSTITUTE(SUBSTITUTE(MID(Общий!B159,SEARCH("Karcher",Общий!B159,1),19),".",""),"-","")),1)+8,8)),VALUE(LEFT(SUBSTITUTE(SUBSTITUTE(Общий!B159,".",""),"-",""),8))),"0"),IFERROR(VALUE(MID(TRIM(SUBSTITUTE(SUBSTITUTE(MID(Общий!B159,SEARCH("Karcher",Общий!B159,1),19),".",""),"-","")),SEARCH("Karcher",TRIM(SUBSTITUTE(SUBSTITUTE(MID(Общий!B159,SEARCH("Karcher",Общий!B159,1),19),".",""),"-","")),1)+8,8)),VALUE(LEFT(SUBSTITUTE(SUBSTITUTE(Общий!B159,".",""),"-",""),8))))),0)</f>
        <v>44230270</v>
      </c>
      <c r="B159" s="25" t="str">
        <f>IFERROR(CONCATENATE(VALUE(IF(LEN(IFERROR(VALUE(MID(TRIM(SUBSTITUTE(SUBSTITUTE(MID(Общий!B159,SEARCH("Karcher",Общий!B159,1),19),".",""),"-","")),SEARCH("Karcher",TRIM(SUBSTITUTE(SUBSTITUTE(MID(Общий!B159,SEARCH("Karcher",Общий!B159,1),19),".",""),"-","")),1)+8,8)),VALUE(LEFT(SUBSTITUTE(SUBSTITUTE(Общий!B159,".",""),"-",""),8))))=7,CONCATENATE(IFERROR(VALUE(MID(TRIM(SUBSTITUTE(SUBSTITUTE(MID(Общий!B159,SEARCH("Karcher",Общий!B159,1),19),".",""),"-","")),SEARCH("Karcher",TRIM(SUBSTITUTE(SUBSTITUTE(MID(Общий!B159,SEARCH("Karcher",Общий!B159,1),19),".",""),"-","")),1)+8,8)),VALUE(LEFT(SUBSTITUTE(SUBSTITUTE(Общий!B159,".",""),"-",""),8))),"0"),IFERROR(VALUE(MID(TRIM(SUBSTITUTE(SUBSTITUTE(MID(Общий!B159,SEARCH("Karcher",Общий!B159,1),19),".",""),"-","")),SEARCH("Karcher",TRIM(SUBSTITUTE(SUBSTITUTE(MID(Общий!B159,SEARCH("Karcher",Общий!B159,1),19),".",""),"-","")),1)+8,8)),VALUE(LEFT(SUBSTITUTE(SUBSTITUTE(Общий!B159,".",""),"-",""),8)))))," ",Общий!C159),0)</f>
        <v>44230270 1</v>
      </c>
      <c r="C159" s="29" t="str">
        <f>Общий!A159</f>
        <v>151</v>
      </c>
      <c r="D159" s="27" t="str">
        <f>Общий!B159</f>
        <v>Манометр 0-30 МРа для замены Karcher  4.423-027 код : 005772</v>
      </c>
      <c r="E159" s="28">
        <f>Общий!C159</f>
        <v>1</v>
      </c>
      <c r="F159" s="21"/>
      <c r="G159" s="44"/>
      <c r="H159" s="44"/>
      <c r="I159" s="44"/>
      <c r="J159" s="35"/>
      <c r="K159" s="16"/>
    </row>
    <row r="160" spans="1:11">
      <c r="A160" s="31">
        <f>IFERROR(VALUE(IF(LEN(IFERROR(VALUE(MID(TRIM(SUBSTITUTE(SUBSTITUTE(MID(Общий!B160,SEARCH("Karcher",Общий!B160,1),19),".",""),"-","")),SEARCH("Karcher",TRIM(SUBSTITUTE(SUBSTITUTE(MID(Общий!B160,SEARCH("Karcher",Общий!B160,1),19),".",""),"-","")),1)+8,8)),VALUE(LEFT(SUBSTITUTE(SUBSTITUTE(Общий!B160,".",""),"-",""),8))))=7,CONCATENATE(IFERROR(VALUE(MID(TRIM(SUBSTITUTE(SUBSTITUTE(MID(Общий!B160,SEARCH("Karcher",Общий!B160,1),19),".",""),"-","")),SEARCH("Karcher",TRIM(SUBSTITUTE(SUBSTITUTE(MID(Общий!B160,SEARCH("Karcher",Общий!B160,1),19),".",""),"-","")),1)+8,8)),VALUE(LEFT(SUBSTITUTE(SUBSTITUTE(Общий!B160,".",""),"-",""),8))),"0"),IFERROR(VALUE(MID(TRIM(SUBSTITUTE(SUBSTITUTE(MID(Общий!B160,SEARCH("Karcher",Общий!B160,1),19),".",""),"-","")),SEARCH("Karcher",TRIM(SUBSTITUTE(SUBSTITUTE(MID(Общий!B160,SEARCH("Karcher",Общий!B160,1),19),".",""),"-","")),1)+8,8)),VALUE(LEFT(SUBSTITUTE(SUBSTITUTE(Общий!B160,".",""),"-",""),8))))),0)</f>
        <v>45531970</v>
      </c>
      <c r="B160" s="25" t="str">
        <f>IFERROR(CONCATENATE(VALUE(IF(LEN(IFERROR(VALUE(MID(TRIM(SUBSTITUTE(SUBSTITUTE(MID(Общий!B160,SEARCH("Karcher",Общий!B160,1),19),".",""),"-","")),SEARCH("Karcher",TRIM(SUBSTITUTE(SUBSTITUTE(MID(Общий!B160,SEARCH("Karcher",Общий!B160,1),19),".",""),"-","")),1)+8,8)),VALUE(LEFT(SUBSTITUTE(SUBSTITUTE(Общий!B160,".",""),"-",""),8))))=7,CONCATENATE(IFERROR(VALUE(MID(TRIM(SUBSTITUTE(SUBSTITUTE(MID(Общий!B160,SEARCH("Karcher",Общий!B160,1),19),".",""),"-","")),SEARCH("Karcher",TRIM(SUBSTITUTE(SUBSTITUTE(MID(Общий!B160,SEARCH("Karcher",Общий!B160,1),19),".",""),"-","")),1)+8,8)),VALUE(LEFT(SUBSTITUTE(SUBSTITUTE(Общий!B160,".",""),"-",""),8))),"0"),IFERROR(VALUE(MID(TRIM(SUBSTITUTE(SUBSTITUTE(MID(Общий!B160,SEARCH("Karcher",Общий!B160,1),19),".",""),"-","")),SEARCH("Karcher",TRIM(SUBSTITUTE(SUBSTITUTE(MID(Общий!B160,SEARCH("Karcher",Общий!B160,1),19),".",""),"-","")),1)+8,8)),VALUE(LEFT(SUBSTITUTE(SUBSTITUTE(Общий!B160,".",""),"-",""),8)))))," ",Общий!C160),0)</f>
        <v>45531970 1</v>
      </c>
      <c r="C160" s="29" t="str">
        <f>Общий!A160</f>
        <v>152</v>
      </c>
      <c r="D160" s="27" t="str">
        <f>Общий!B160</f>
        <v>4553197 Поршень микровыключателя HDS Karcher код : 030819</v>
      </c>
      <c r="E160" s="28">
        <f>Общий!C160</f>
        <v>1</v>
      </c>
      <c r="F160" s="21"/>
      <c r="G160" s="44"/>
      <c r="H160" s="44"/>
      <c r="I160" s="44"/>
      <c r="J160" s="35"/>
      <c r="K160" s="16"/>
    </row>
    <row r="161" spans="1:11">
      <c r="A161" s="31">
        <f>IFERROR(VALUE(IF(LEN(IFERROR(VALUE(MID(TRIM(SUBSTITUTE(SUBSTITUTE(MID(Общий!B161,SEARCH("Karcher",Общий!B161,1),19),".",""),"-","")),SEARCH("Karcher",TRIM(SUBSTITUTE(SUBSTITUTE(MID(Общий!B161,SEARCH("Karcher",Общий!B161,1),19),".",""),"-","")),1)+8,8)),VALUE(LEFT(SUBSTITUTE(SUBSTITUTE(Общий!B161,".",""),"-",""),8))))=7,CONCATENATE(IFERROR(VALUE(MID(TRIM(SUBSTITUTE(SUBSTITUTE(MID(Общий!B161,SEARCH("Karcher",Общий!B161,1),19),".",""),"-","")),SEARCH("Karcher",TRIM(SUBSTITUTE(SUBSTITUTE(MID(Общий!B161,SEARCH("Karcher",Общий!B161,1),19),".",""),"-","")),1)+8,8)),VALUE(LEFT(SUBSTITUTE(SUBSTITUTE(Общий!B161,".",""),"-",""),8))),"0"),IFERROR(VALUE(MID(TRIM(SUBSTITUTE(SUBSTITUTE(MID(Общий!B161,SEARCH("Karcher",Общий!B161,1),19),".",""),"-","")),SEARCH("Karcher",TRIM(SUBSTITUTE(SUBSTITUTE(MID(Общий!B161,SEARCH("Karcher",Общий!B161,1),19),".",""),"-","")),1)+8,8)),VALUE(LEFT(SUBSTITUTE(SUBSTITUTE(Общий!B161,".",""),"-",""),8))))),0)</f>
        <v>45532303</v>
      </c>
      <c r="B161" s="25" t="str">
        <f>IFERROR(CONCATENATE(VALUE(IF(LEN(IFERROR(VALUE(MID(TRIM(SUBSTITUTE(SUBSTITUTE(MID(Общий!B161,SEARCH("Karcher",Общий!B161,1),19),".",""),"-","")),SEARCH("Karcher",TRIM(SUBSTITUTE(SUBSTITUTE(MID(Общий!B161,SEARCH("Karcher",Общий!B161,1),19),".",""),"-","")),1)+8,8)),VALUE(LEFT(SUBSTITUTE(SUBSTITUTE(Общий!B161,".",""),"-",""),8))))=7,CONCATENATE(IFERROR(VALUE(MID(TRIM(SUBSTITUTE(SUBSTITUTE(MID(Общий!B161,SEARCH("Karcher",Общий!B161,1),19),".",""),"-","")),SEARCH("Karcher",TRIM(SUBSTITUTE(SUBSTITUTE(MID(Общий!B161,SEARCH("Karcher",Общий!B161,1),19),".",""),"-","")),1)+8,8)),VALUE(LEFT(SUBSTITUTE(SUBSTITUTE(Общий!B161,".",""),"-",""),8))),"0"),IFERROR(VALUE(MID(TRIM(SUBSTITUTE(SUBSTITUTE(MID(Общий!B161,SEARCH("Karcher",Общий!B161,1),19),".",""),"-","")),SEARCH("Karcher",TRIM(SUBSTITUTE(SUBSTITUTE(MID(Общий!B161,SEARCH("Karcher",Общий!B161,1),19),".",""),"-","")),1)+8,8)),VALUE(LEFT(SUBSTITUTE(SUBSTITUTE(Общий!B161,".",""),"-",""),8)))))," ",Общий!C161),0)</f>
        <v>45532303 3</v>
      </c>
      <c r="C161" s="29" t="str">
        <f>Общий!A161</f>
        <v>153</v>
      </c>
      <c r="D161" s="27" t="str">
        <f>Общий!B161</f>
        <v>45532303 Пистон Karcher код : 005230</v>
      </c>
      <c r="E161" s="28">
        <f>Общий!C161</f>
        <v>3</v>
      </c>
      <c r="F161" s="21"/>
      <c r="G161" s="44"/>
      <c r="H161" s="44"/>
      <c r="I161" s="44"/>
      <c r="J161" s="35"/>
      <c r="K161" s="16"/>
    </row>
    <row r="162" spans="1:11">
      <c r="A162" s="31">
        <f>IFERROR(VALUE(IF(LEN(IFERROR(VALUE(MID(TRIM(SUBSTITUTE(SUBSTITUTE(MID(Общий!B162,SEARCH("Karcher",Общий!B162,1),19),".",""),"-","")),SEARCH("Karcher",TRIM(SUBSTITUTE(SUBSTITUTE(MID(Общий!B162,SEARCH("Karcher",Общий!B162,1),19),".",""),"-","")),1)+8,8)),VALUE(LEFT(SUBSTITUTE(SUBSTITUTE(Общий!B162,".",""),"-",""),8))))=7,CONCATENATE(IFERROR(VALUE(MID(TRIM(SUBSTITUTE(SUBSTITUTE(MID(Общий!B162,SEARCH("Karcher",Общий!B162,1),19),".",""),"-","")),SEARCH("Karcher",TRIM(SUBSTITUTE(SUBSTITUTE(MID(Общий!B162,SEARCH("Karcher",Общий!B162,1),19),".",""),"-","")),1)+8,8)),VALUE(LEFT(SUBSTITUTE(SUBSTITUTE(Общий!B162,".",""),"-",""),8))),"0"),IFERROR(VALUE(MID(TRIM(SUBSTITUTE(SUBSTITUTE(MID(Общий!B162,SEARCH("Karcher",Общий!B162,1),19),".",""),"-","")),SEARCH("Karcher",TRIM(SUBSTITUTE(SUBSTITUTE(MID(Общий!B162,SEARCH("Karcher",Общий!B162,1),19),".",""),"-","")),1)+8,8)),VALUE(LEFT(SUBSTITUTE(SUBSTITUTE(Общий!B162,".",""),"-",""),8))))),0)</f>
        <v>45801393</v>
      </c>
      <c r="B162" s="25" t="str">
        <f>IFERROR(CONCATENATE(VALUE(IF(LEN(IFERROR(VALUE(MID(TRIM(SUBSTITUTE(SUBSTITUTE(MID(Общий!B162,SEARCH("Karcher",Общий!B162,1),19),".",""),"-","")),SEARCH("Karcher",TRIM(SUBSTITUTE(SUBSTITUTE(MID(Общий!B162,SEARCH("Karcher",Общий!B162,1),19),".",""),"-","")),1)+8,8)),VALUE(LEFT(SUBSTITUTE(SUBSTITUTE(Общий!B162,".",""),"-",""),8))))=7,CONCATENATE(IFERROR(VALUE(MID(TRIM(SUBSTITUTE(SUBSTITUTE(MID(Общий!B162,SEARCH("Karcher",Общий!B162,1),19),".",""),"-","")),SEARCH("Karcher",TRIM(SUBSTITUTE(SUBSTITUTE(MID(Общий!B162,SEARCH("Karcher",Общий!B162,1),19),".",""),"-","")),1)+8,8)),VALUE(LEFT(SUBSTITUTE(SUBSTITUTE(Общий!B162,".",""),"-",""),8))),"0"),IFERROR(VALUE(MID(TRIM(SUBSTITUTE(SUBSTITUTE(MID(Общий!B162,SEARCH("Karcher",Общий!B162,1),19),".",""),"-","")),SEARCH("Karcher",TRIM(SUBSTITUTE(SUBSTITUTE(MID(Общий!B162,SEARCH("Karcher",Общий!B162,1),19),".",""),"-","")),1)+8,8)),VALUE(LEFT(SUBSTITUTE(SUBSTITUTE(Общий!B162,".",""),"-",""),8)))))," ",Общий!C162),0)</f>
        <v>45801393 1</v>
      </c>
      <c r="C162" s="29" t="str">
        <f>Общий!A162</f>
        <v>154</v>
      </c>
      <c r="D162" s="27" t="str">
        <f>Общий!B162</f>
        <v>45801393 Пусковой клапан на замену Karcher (OLD 45800763) *3* код : 005067</v>
      </c>
      <c r="E162" s="28">
        <f>Общий!C162</f>
        <v>1</v>
      </c>
      <c r="F162" s="21"/>
      <c r="G162" s="44"/>
      <c r="H162" s="44"/>
      <c r="I162" s="44"/>
      <c r="J162" s="35"/>
      <c r="K162" s="16"/>
    </row>
    <row r="163" spans="1:11">
      <c r="A163" s="31">
        <f>IFERROR(VALUE(IF(LEN(IFERROR(VALUE(MID(TRIM(SUBSTITUTE(SUBSTITUTE(MID(Общий!B163,SEARCH("Karcher",Общий!B163,1),19),".",""),"-","")),SEARCH("Karcher",TRIM(SUBSTITUTE(SUBSTITUTE(MID(Общий!B163,SEARCH("Karcher",Общий!B163,1),19),".",""),"-","")),1)+8,8)),VALUE(LEFT(SUBSTITUTE(SUBSTITUTE(Общий!B163,".",""),"-",""),8))))=7,CONCATENATE(IFERROR(VALUE(MID(TRIM(SUBSTITUTE(SUBSTITUTE(MID(Общий!B163,SEARCH("Karcher",Общий!B163,1),19),".",""),"-","")),SEARCH("Karcher",TRIM(SUBSTITUTE(SUBSTITUTE(MID(Общий!B163,SEARCH("Karcher",Общий!B163,1),19),".",""),"-","")),1)+8,8)),VALUE(LEFT(SUBSTITUTE(SUBSTITUTE(Общий!B163,".",""),"-",""),8))),"0"),IFERROR(VALUE(MID(TRIM(SUBSTITUTE(SUBSTITUTE(MID(Общий!B163,SEARCH("Karcher",Общий!B163,1),19),".",""),"-","")),SEARCH("Karcher",TRIM(SUBSTITUTE(SUBSTITUTE(MID(Общий!B163,SEARCH("Karcher",Общий!B163,1),19),".",""),"-","")),1)+8,8)),VALUE(LEFT(SUBSTITUTE(SUBSTITUTE(Общий!B163,".",""),"-",""),8))))),0)</f>
        <v>45805813</v>
      </c>
      <c r="B163" s="25" t="str">
        <f>IFERROR(CONCATENATE(VALUE(IF(LEN(IFERROR(VALUE(MID(TRIM(SUBSTITUTE(SUBSTITUTE(MID(Общий!B163,SEARCH("Karcher",Общий!B163,1),19),".",""),"-","")),SEARCH("Karcher",TRIM(SUBSTITUTE(SUBSTITUTE(MID(Общий!B163,SEARCH("Karcher",Общий!B163,1),19),".",""),"-","")),1)+8,8)),VALUE(LEFT(SUBSTITUTE(SUBSTITUTE(Общий!B163,".",""),"-",""),8))))=7,CONCATENATE(IFERROR(VALUE(MID(TRIM(SUBSTITUTE(SUBSTITUTE(MID(Общий!B163,SEARCH("Karcher",Общий!B163,1),19),".",""),"-","")),SEARCH("Karcher",TRIM(SUBSTITUTE(SUBSTITUTE(MID(Общий!B163,SEARCH("Karcher",Общий!B163,1),19),".",""),"-","")),1)+8,8)),VALUE(LEFT(SUBSTITUTE(SUBSTITUTE(Общий!B163,".",""),"-",""),8))),"0"),IFERROR(VALUE(MID(TRIM(SUBSTITUTE(SUBSTITUTE(MID(Общий!B163,SEARCH("Karcher",Общий!B163,1),19),".",""),"-","")),SEARCH("Karcher",TRIM(SUBSTITUTE(SUBSTITUTE(MID(Общий!B163,SEARCH("Karcher",Общий!B163,1),19),".",""),"-","")),1)+8,8)),VALUE(LEFT(SUBSTITUTE(SUBSTITUTE(Общий!B163,".",""),"-",""),8)))))," ",Общий!C163),0)</f>
        <v>45805813 1</v>
      </c>
      <c r="C163" s="29" t="str">
        <f>Общий!A163</f>
        <v>155</v>
      </c>
      <c r="D163" s="27" t="str">
        <f>Общий!B163</f>
        <v>45805813 Клапан Karcher код : 005223</v>
      </c>
      <c r="E163" s="28">
        <f>Общий!C163</f>
        <v>1</v>
      </c>
      <c r="F163" s="21"/>
      <c r="G163" s="44"/>
      <c r="H163" s="44"/>
      <c r="I163" s="44"/>
      <c r="J163" s="35"/>
      <c r="K163" s="16"/>
    </row>
    <row r="164" spans="1:11">
      <c r="A164" s="31">
        <f>IFERROR(VALUE(IF(LEN(IFERROR(VALUE(MID(TRIM(SUBSTITUTE(SUBSTITUTE(MID(Общий!B164,SEARCH("Karcher",Общий!B164,1),19),".",""),"-","")),SEARCH("Karcher",TRIM(SUBSTITUTE(SUBSTITUTE(MID(Общий!B164,SEARCH("Karcher",Общий!B164,1),19),".",""),"-","")),1)+8,8)),VALUE(LEFT(SUBSTITUTE(SUBSTITUTE(Общий!B164,".",""),"-",""),8))))=7,CONCATENATE(IFERROR(VALUE(MID(TRIM(SUBSTITUTE(SUBSTITUTE(MID(Общий!B164,SEARCH("Karcher",Общий!B164,1),19),".",""),"-","")),SEARCH("Karcher",TRIM(SUBSTITUTE(SUBSTITUTE(MID(Общий!B164,SEARCH("Karcher",Общий!B164,1),19),".",""),"-","")),1)+8,8)),VALUE(LEFT(SUBSTITUTE(SUBSTITUTE(Общий!B164,".",""),"-",""),8))),"0"),IFERROR(VALUE(MID(TRIM(SUBSTITUTE(SUBSTITUTE(MID(Общий!B164,SEARCH("Karcher",Общий!B164,1),19),".",""),"-","")),SEARCH("Karcher",TRIM(SUBSTITUTE(SUBSTITUTE(MID(Общий!B164,SEARCH("Karcher",Общий!B164,1),19),".",""),"-","")),1)+8,8)),VALUE(LEFT(SUBSTITUTE(SUBSTITUTE(Общий!B164,".",""),"-",""),8))))),0)</f>
        <v>45805940</v>
      </c>
      <c r="B164" s="25" t="str">
        <f>IFERROR(CONCATENATE(VALUE(IF(LEN(IFERROR(VALUE(MID(TRIM(SUBSTITUTE(SUBSTITUTE(MID(Общий!B164,SEARCH("Karcher",Общий!B164,1),19),".",""),"-","")),SEARCH("Karcher",TRIM(SUBSTITUTE(SUBSTITUTE(MID(Общий!B164,SEARCH("Karcher",Общий!B164,1),19),".",""),"-","")),1)+8,8)),VALUE(LEFT(SUBSTITUTE(SUBSTITUTE(Общий!B164,".",""),"-",""),8))))=7,CONCATENATE(IFERROR(VALUE(MID(TRIM(SUBSTITUTE(SUBSTITUTE(MID(Общий!B164,SEARCH("Karcher",Общий!B164,1),19),".",""),"-","")),SEARCH("Karcher",TRIM(SUBSTITUTE(SUBSTITUTE(MID(Общий!B164,SEARCH("Karcher",Общий!B164,1),19),".",""),"-","")),1)+8,8)),VALUE(LEFT(SUBSTITUTE(SUBSTITUTE(Общий!B164,".",""),"-",""),8))),"0"),IFERROR(VALUE(MID(TRIM(SUBSTITUTE(SUBSTITUTE(MID(Общий!B164,SEARCH("Karcher",Общий!B164,1),19),".",""),"-","")),SEARCH("Karcher",TRIM(SUBSTITUTE(SUBSTITUTE(MID(Общий!B164,SEARCH("Karcher",Общий!B164,1),19),".",""),"-","")),1)+8,8)),VALUE(LEFT(SUBSTITUTE(SUBSTITUTE(Общий!B164,".",""),"-",""),8)))))," ",Общий!C164),0)</f>
        <v>45805940 10</v>
      </c>
      <c r="C164" s="29" t="str">
        <f>Общий!A164</f>
        <v>156</v>
      </c>
      <c r="D164" s="27" t="str">
        <f>Общий!B164</f>
        <v>4580594 Клапан обратный на профи HD10/25.....      *4* код : 005006</v>
      </c>
      <c r="E164" s="28">
        <f>Общий!C164</f>
        <v>10</v>
      </c>
      <c r="F164" s="21"/>
      <c r="G164" s="44"/>
      <c r="H164" s="44"/>
      <c r="I164" s="44"/>
      <c r="J164" s="35"/>
      <c r="K164" s="16"/>
    </row>
    <row r="165" spans="1:11">
      <c r="A165" s="31">
        <f>IFERROR(VALUE(IF(LEN(IFERROR(VALUE(MID(TRIM(SUBSTITUTE(SUBSTITUTE(MID(Общий!B165,SEARCH("Karcher",Общий!B165,1),19),".",""),"-","")),SEARCH("Karcher",TRIM(SUBSTITUTE(SUBSTITUTE(MID(Общий!B165,SEARCH("Karcher",Общий!B165,1),19),".",""),"-","")),1)+8,8)),VALUE(LEFT(SUBSTITUTE(SUBSTITUTE(Общий!B165,".",""),"-",""),8))))=7,CONCATENATE(IFERROR(VALUE(MID(TRIM(SUBSTITUTE(SUBSTITUTE(MID(Общий!B165,SEARCH("Karcher",Общий!B165,1),19),".",""),"-","")),SEARCH("Karcher",TRIM(SUBSTITUTE(SUBSTITUTE(MID(Общий!B165,SEARCH("Karcher",Общий!B165,1),19),".",""),"-","")),1)+8,8)),VALUE(LEFT(SUBSTITUTE(SUBSTITUTE(Общий!B165,".",""),"-",""),8))),"0"),IFERROR(VALUE(MID(TRIM(SUBSTITUTE(SUBSTITUTE(MID(Общий!B165,SEARCH("Karcher",Общий!B165,1),19),".",""),"-","")),SEARCH("Karcher",TRIM(SUBSTITUTE(SUBSTITUTE(MID(Общий!B165,SEARCH("Karcher",Общий!B165,1),19),".",""),"-","")),1)+8,8)),VALUE(LEFT(SUBSTITUTE(SUBSTITUTE(Общий!B165,".",""),"-",""),8))))),0)</f>
        <v>45910383</v>
      </c>
      <c r="B165" s="25" t="str">
        <f>IFERROR(CONCATENATE(VALUE(IF(LEN(IFERROR(VALUE(MID(TRIM(SUBSTITUTE(SUBSTITUTE(MID(Общий!B165,SEARCH("Karcher",Общий!B165,1),19),".",""),"-","")),SEARCH("Karcher",TRIM(SUBSTITUTE(SUBSTITUTE(MID(Общий!B165,SEARCH("Karcher",Общий!B165,1),19),".",""),"-","")),1)+8,8)),VALUE(LEFT(SUBSTITUTE(SUBSTITUTE(Общий!B165,".",""),"-",""),8))))=7,CONCATENATE(IFERROR(VALUE(MID(TRIM(SUBSTITUTE(SUBSTITUTE(MID(Общий!B165,SEARCH("Karcher",Общий!B165,1),19),".",""),"-","")),SEARCH("Karcher",TRIM(SUBSTITUTE(SUBSTITUTE(MID(Общий!B165,SEARCH("Karcher",Общий!B165,1),19),".",""),"-","")),1)+8,8)),VALUE(LEFT(SUBSTITUTE(SUBSTITUTE(Общий!B165,".",""),"-",""),8))),"0"),IFERROR(VALUE(MID(TRIM(SUBSTITUTE(SUBSTITUTE(MID(Общий!B165,SEARCH("Karcher",Общий!B165,1),19),".",""),"-","")),SEARCH("Karcher",TRIM(SUBSTITUTE(SUBSTITUTE(MID(Общий!B165,SEARCH("Karcher",Общий!B165,1),19),".",""),"-","")),1)+8,8)),VALUE(LEFT(SUBSTITUTE(SUBSTITUTE(Общий!B165,".",""),"-",""),8)))))," ",Общий!C165),0)</f>
        <v>45910383 1</v>
      </c>
      <c r="C165" s="29" t="str">
        <f>Общий!A165</f>
        <v>157</v>
      </c>
      <c r="D165" s="27" t="str">
        <f>Общий!B165</f>
        <v>45910383 Байпас HD5/12.6/13  *2* код : 005053</v>
      </c>
      <c r="E165" s="28">
        <f>Общий!C165</f>
        <v>1</v>
      </c>
      <c r="F165" s="21"/>
      <c r="G165" s="44"/>
      <c r="H165" s="44"/>
      <c r="I165" s="44"/>
      <c r="J165" s="35"/>
      <c r="K165" s="16"/>
    </row>
    <row r="166" spans="1:11">
      <c r="A166" s="31">
        <f>IFERROR(VALUE(IF(LEN(IFERROR(VALUE(MID(TRIM(SUBSTITUTE(SUBSTITUTE(MID(Общий!B166,SEARCH("Karcher",Общий!B166,1),19),".",""),"-","")),SEARCH("Karcher",TRIM(SUBSTITUTE(SUBSTITUTE(MID(Общий!B166,SEARCH("Karcher",Общий!B166,1),19),".",""),"-","")),1)+8,8)),VALUE(LEFT(SUBSTITUTE(SUBSTITUTE(Общий!B166,".",""),"-",""),8))))=7,CONCATENATE(IFERROR(VALUE(MID(TRIM(SUBSTITUTE(SUBSTITUTE(MID(Общий!B166,SEARCH("Karcher",Общий!B166,1),19),".",""),"-","")),SEARCH("Karcher",TRIM(SUBSTITUTE(SUBSTITUTE(MID(Общий!B166,SEARCH("Karcher",Общий!B166,1),19),".",""),"-","")),1)+8,8)),VALUE(LEFT(SUBSTITUTE(SUBSTITUTE(Общий!B166,".",""),"-",""),8))),"0"),IFERROR(VALUE(MID(TRIM(SUBSTITUTE(SUBSTITUTE(MID(Общий!B166,SEARCH("Karcher",Общий!B166,1),19),".",""),"-","")),SEARCH("Karcher",TRIM(SUBSTITUTE(SUBSTITUTE(MID(Общий!B166,SEARCH("Karcher",Общий!B166,1),19),".",""),"-","")),1)+8,8)),VALUE(LEFT(SUBSTITUTE(SUBSTITUTE(Общий!B166,".",""),"-",""),8))))),0)</f>
        <v>47301683</v>
      </c>
      <c r="B166" s="25" t="str">
        <f>IFERROR(CONCATENATE(VALUE(IF(LEN(IFERROR(VALUE(MID(TRIM(SUBSTITUTE(SUBSTITUTE(MID(Общий!B166,SEARCH("Karcher",Общий!B166,1),19),".",""),"-","")),SEARCH("Karcher",TRIM(SUBSTITUTE(SUBSTITUTE(MID(Общий!B166,SEARCH("Karcher",Общий!B166,1),19),".",""),"-","")),1)+8,8)),VALUE(LEFT(SUBSTITUTE(SUBSTITUTE(Общий!B166,".",""),"-",""),8))))=7,CONCATENATE(IFERROR(VALUE(MID(TRIM(SUBSTITUTE(SUBSTITUTE(MID(Общий!B166,SEARCH("Karcher",Общий!B166,1),19),".",""),"-","")),SEARCH("Karcher",TRIM(SUBSTITUTE(SUBSTITUTE(MID(Общий!B166,SEARCH("Karcher",Общий!B166,1),19),".",""),"-","")),1)+8,8)),VALUE(LEFT(SUBSTITUTE(SUBSTITUTE(Общий!B166,".",""),"-",""),8))),"0"),IFERROR(VALUE(MID(TRIM(SUBSTITUTE(SUBSTITUTE(MID(Общий!B166,SEARCH("Karcher",Общий!B166,1),19),".",""),"-","")),SEARCH("Karcher",TRIM(SUBSTITUTE(SUBSTITUTE(MID(Общий!B166,SEARCH("Karcher",Общий!B166,1),19),".",""),"-","")),1)+8,8)),VALUE(LEFT(SUBSTITUTE(SUBSTITUTE(Общий!B166,".",""),"-",""),8)))))," ",Общий!C166),0)</f>
        <v>47301683 1</v>
      </c>
      <c r="C166" s="29" t="str">
        <f>Общий!A166</f>
        <v>158</v>
      </c>
      <c r="D166" s="27" t="str">
        <f>Общий!B166</f>
        <v>Фильтр для воды в сборе Karcher 4.730-168.3 код : 006385</v>
      </c>
      <c r="E166" s="28">
        <f>Общий!C166</f>
        <v>1</v>
      </c>
      <c r="F166" s="21"/>
      <c r="G166" s="44"/>
      <c r="H166" s="44"/>
      <c r="I166" s="44"/>
      <c r="J166" s="35"/>
      <c r="K166" s="16"/>
    </row>
    <row r="167" spans="1:11">
      <c r="A167" s="31">
        <f>IFERROR(VALUE(IF(LEN(IFERROR(VALUE(MID(TRIM(SUBSTITUTE(SUBSTITUTE(MID(Общий!B167,SEARCH("Karcher",Общий!B167,1),19),".",""),"-","")),SEARCH("Karcher",TRIM(SUBSTITUTE(SUBSTITUTE(MID(Общий!B167,SEARCH("Karcher",Общий!B167,1),19),".",""),"-","")),1)+8,8)),VALUE(LEFT(SUBSTITUTE(SUBSTITUTE(Общий!B167,".",""),"-",""),8))))=7,CONCATENATE(IFERROR(VALUE(MID(TRIM(SUBSTITUTE(SUBSTITUTE(MID(Общий!B167,SEARCH("Karcher",Общий!B167,1),19),".",""),"-","")),SEARCH("Karcher",TRIM(SUBSTITUTE(SUBSTITUTE(MID(Общий!B167,SEARCH("Karcher",Общий!B167,1),19),".",""),"-","")),1)+8,8)),VALUE(LEFT(SUBSTITUTE(SUBSTITUTE(Общий!B167,".",""),"-",""),8))),"0"),IFERROR(VALUE(MID(TRIM(SUBSTITUTE(SUBSTITUTE(MID(Общий!B167,SEARCH("Karcher",Общий!B167,1),19),".",""),"-","")),SEARCH("Karcher",TRIM(SUBSTITUTE(SUBSTITUTE(MID(Общий!B167,SEARCH("Karcher",Общий!B167,1),19),".",""),"-","")),1)+8,8)),VALUE(LEFT(SUBSTITUTE(SUBSTITUTE(Общий!B167,".",""),"-",""),8))))),0)</f>
        <v>47442420</v>
      </c>
      <c r="B167" s="25" t="str">
        <f>IFERROR(CONCATENATE(VALUE(IF(LEN(IFERROR(VALUE(MID(TRIM(SUBSTITUTE(SUBSTITUTE(MID(Общий!B167,SEARCH("Karcher",Общий!B167,1),19),".",""),"-","")),SEARCH("Karcher",TRIM(SUBSTITUTE(SUBSTITUTE(MID(Общий!B167,SEARCH("Karcher",Общий!B167,1),19),".",""),"-","")),1)+8,8)),VALUE(LEFT(SUBSTITUTE(SUBSTITUTE(Общий!B167,".",""),"-",""),8))))=7,CONCATENATE(IFERROR(VALUE(MID(TRIM(SUBSTITUTE(SUBSTITUTE(MID(Общий!B167,SEARCH("Karcher",Общий!B167,1),19),".",""),"-","")),SEARCH("Karcher",TRIM(SUBSTITUTE(SUBSTITUTE(MID(Общий!B167,SEARCH("Karcher",Общий!B167,1),19),".",""),"-","")),1)+8,8)),VALUE(LEFT(SUBSTITUTE(SUBSTITUTE(Общий!B167,".",""),"-",""),8))),"0"),IFERROR(VALUE(MID(TRIM(SUBSTITUTE(SUBSTITUTE(MID(Общий!B167,SEARCH("Karcher",Общий!B167,1),19),".",""),"-","")),SEARCH("Karcher",TRIM(SUBSTITUTE(SUBSTITUTE(MID(Общий!B167,SEARCH("Karcher",Общий!B167,1),19),".",""),"-","")),1)+8,8)),VALUE(LEFT(SUBSTITUTE(SUBSTITUTE(Общий!B167,".",""),"-",""),8)))))," ",Общий!C167),0)</f>
        <v>47442420 1</v>
      </c>
      <c r="C167" s="29" t="str">
        <f>Общий!A167</f>
        <v>159</v>
      </c>
      <c r="D167" s="27" t="str">
        <f>Общий!B167</f>
        <v>4744242 Выключатель Karcher *3* код : 005187</v>
      </c>
      <c r="E167" s="28">
        <f>Общий!C167</f>
        <v>1</v>
      </c>
      <c r="F167" s="21"/>
      <c r="G167" s="44"/>
      <c r="H167" s="44"/>
      <c r="I167" s="44"/>
      <c r="J167" s="35"/>
      <c r="K167" s="16"/>
    </row>
    <row r="168" spans="1:11">
      <c r="A168" s="31">
        <f>IFERROR(VALUE(IF(LEN(IFERROR(VALUE(MID(TRIM(SUBSTITUTE(SUBSTITUTE(MID(Общий!B168,SEARCH("Karcher",Общий!B168,1),19),".",""),"-","")),SEARCH("Karcher",TRIM(SUBSTITUTE(SUBSTITUTE(MID(Общий!B168,SEARCH("Karcher",Общий!B168,1),19),".",""),"-","")),1)+8,8)),VALUE(LEFT(SUBSTITUTE(SUBSTITUTE(Общий!B168,".",""),"-",""),8))))=7,CONCATENATE(IFERROR(VALUE(MID(TRIM(SUBSTITUTE(SUBSTITUTE(MID(Общий!B168,SEARCH("Karcher",Общий!B168,1),19),".",""),"-","")),SEARCH("Karcher",TRIM(SUBSTITUTE(SUBSTITUTE(MID(Общий!B168,SEARCH("Karcher",Общий!B168,1),19),".",""),"-","")),1)+8,8)),VALUE(LEFT(SUBSTITUTE(SUBSTITUTE(Общий!B168,".",""),"-",""),8))),"0"),IFERROR(VALUE(MID(TRIM(SUBSTITUTE(SUBSTITUTE(MID(Общий!B168,SEARCH("Karcher",Общий!B168,1),19),".",""),"-","")),SEARCH("Karcher",TRIM(SUBSTITUTE(SUBSTITUTE(MID(Общий!B168,SEARCH("Karcher",Общий!B168,1),19),".",""),"-","")),1)+8,8)),VALUE(LEFT(SUBSTITUTE(SUBSTITUTE(Общий!B168,".",""),"-",""),8))))),0)</f>
        <v>47450430</v>
      </c>
      <c r="B168" s="25" t="str">
        <f>IFERROR(CONCATENATE(VALUE(IF(LEN(IFERROR(VALUE(MID(TRIM(SUBSTITUTE(SUBSTITUTE(MID(Общий!B168,SEARCH("Karcher",Общий!B168,1),19),".",""),"-","")),SEARCH("Karcher",TRIM(SUBSTITUTE(SUBSTITUTE(MID(Общий!B168,SEARCH("Karcher",Общий!B168,1),19),".",""),"-","")),1)+8,8)),VALUE(LEFT(SUBSTITUTE(SUBSTITUTE(Общий!B168,".",""),"-",""),8))))=7,CONCATENATE(IFERROR(VALUE(MID(TRIM(SUBSTITUTE(SUBSTITUTE(MID(Общий!B168,SEARCH("Karcher",Общий!B168,1),19),".",""),"-","")),SEARCH("Karcher",TRIM(SUBSTITUTE(SUBSTITUTE(MID(Общий!B168,SEARCH("Karcher",Общий!B168,1),19),".",""),"-","")),1)+8,8)),VALUE(LEFT(SUBSTITUTE(SUBSTITUTE(Общий!B168,".",""),"-",""),8))),"0"),IFERROR(VALUE(MID(TRIM(SUBSTITUTE(SUBSTITUTE(MID(Общий!B168,SEARCH("Karcher",Общий!B168,1),19),".",""),"-","")),SEARCH("Karcher",TRIM(SUBSTITUTE(SUBSTITUTE(MID(Общий!B168,SEARCH("Karcher",Общий!B168,1),19),".",""),"-","")),1)+8,8)),VALUE(LEFT(SUBSTITUTE(SUBSTITUTE(Общий!B168,".",""),"-",""),8)))))," ",Общий!C168),0)</f>
        <v>47450430 1</v>
      </c>
      <c r="C168" s="29" t="str">
        <f>Общий!A168</f>
        <v>160</v>
      </c>
      <c r="D168" s="27" t="str">
        <f>Общий!B168</f>
        <v>Соединительный элемент Karcher 4.745-043 код : 030052</v>
      </c>
      <c r="E168" s="28">
        <f>Общий!C168</f>
        <v>1</v>
      </c>
      <c r="F168" s="21"/>
      <c r="G168" s="44"/>
      <c r="H168" s="44"/>
      <c r="I168" s="44"/>
      <c r="J168" s="35"/>
      <c r="K168" s="16"/>
    </row>
    <row r="169" spans="1:11">
      <c r="A169" s="31">
        <f>IFERROR(VALUE(IF(LEN(IFERROR(VALUE(MID(TRIM(SUBSTITUTE(SUBSTITUTE(MID(Общий!B169,SEARCH("Karcher",Общий!B169,1),19),".",""),"-","")),SEARCH("Karcher",TRIM(SUBSTITUTE(SUBSTITUTE(MID(Общий!B169,SEARCH("Karcher",Общий!B169,1),19),".",""),"-","")),1)+8,8)),VALUE(LEFT(SUBSTITUTE(SUBSTITUTE(Общий!B169,".",""),"-",""),8))))=7,CONCATENATE(IFERROR(VALUE(MID(TRIM(SUBSTITUTE(SUBSTITUTE(MID(Общий!B169,SEARCH("Karcher",Общий!B169,1),19),".",""),"-","")),SEARCH("Karcher",TRIM(SUBSTITUTE(SUBSTITUTE(MID(Общий!B169,SEARCH("Karcher",Общий!B169,1),19),".",""),"-","")),1)+8,8)),VALUE(LEFT(SUBSTITUTE(SUBSTITUTE(Общий!B169,".",""),"-",""),8))),"0"),IFERROR(VALUE(MID(TRIM(SUBSTITUTE(SUBSTITUTE(MID(Общий!B169,SEARCH("Karcher",Общий!B169,1),19),".",""),"-","")),SEARCH("Karcher",TRIM(SUBSTITUTE(SUBSTITUTE(MID(Общий!B169,SEARCH("Karcher",Общий!B169,1),19),".",""),"-","")),1)+8,8)),VALUE(LEFT(SUBSTITUTE(SUBSTITUTE(Общий!B169,".",""),"-",""),8))))),0)</f>
        <v>47623920</v>
      </c>
      <c r="B169" s="25" t="str">
        <f>IFERROR(CONCATENATE(VALUE(IF(LEN(IFERROR(VALUE(MID(TRIM(SUBSTITUTE(SUBSTITUTE(MID(Общий!B169,SEARCH("Karcher",Общий!B169,1),19),".",""),"-","")),SEARCH("Karcher",TRIM(SUBSTITUTE(SUBSTITUTE(MID(Общий!B169,SEARCH("Karcher",Общий!B169,1),19),".",""),"-","")),1)+8,8)),VALUE(LEFT(SUBSTITUTE(SUBSTITUTE(Общий!B169,".",""),"-",""),8))))=7,CONCATENATE(IFERROR(VALUE(MID(TRIM(SUBSTITUTE(SUBSTITUTE(MID(Общий!B169,SEARCH("Karcher",Общий!B169,1),19),".",""),"-","")),SEARCH("Karcher",TRIM(SUBSTITUTE(SUBSTITUTE(MID(Общий!B169,SEARCH("Karcher",Общий!B169,1),19),".",""),"-","")),1)+8,8)),VALUE(LEFT(SUBSTITUTE(SUBSTITUTE(Общий!B169,".",""),"-",""),8))),"0"),IFERROR(VALUE(MID(TRIM(SUBSTITUTE(SUBSTITUTE(MID(Общий!B169,SEARCH("Karcher",Общий!B169,1),19),".",""),"-","")),SEARCH("Karcher",TRIM(SUBSTITUTE(SUBSTITUTE(MID(Общий!B169,SEARCH("Karcher",Общий!B169,1),19),".",""),"-","")),1)+8,8)),VALUE(LEFT(SUBSTITUTE(SUBSTITUTE(Общий!B169,".",""),"-",""),8)))))," ",Общий!C169),0)</f>
        <v>47623920 2</v>
      </c>
      <c r="C169" s="29" t="str">
        <f>Общий!A169</f>
        <v>161</v>
      </c>
      <c r="D169" s="27" t="str">
        <f>Общий!B169</f>
        <v>4762392 Цилиндрическая щетка в сборе красная BR Karcher код : 030801</v>
      </c>
      <c r="E169" s="28">
        <f>Общий!C169</f>
        <v>2</v>
      </c>
      <c r="F169" s="21"/>
      <c r="G169" s="44"/>
      <c r="H169" s="44"/>
      <c r="I169" s="44"/>
      <c r="J169" s="35"/>
      <c r="K169" s="16"/>
    </row>
    <row r="170" spans="1:11">
      <c r="A170" s="31">
        <f>IFERROR(VALUE(IF(LEN(IFERROR(VALUE(MID(TRIM(SUBSTITUTE(SUBSTITUTE(MID(Общий!B170,SEARCH("Karcher",Общий!B170,1),19),".",""),"-","")),SEARCH("Karcher",TRIM(SUBSTITUTE(SUBSTITUTE(MID(Общий!B170,SEARCH("Karcher",Общий!B170,1),19),".",""),"-","")),1)+8,8)),VALUE(LEFT(SUBSTITUTE(SUBSTITUTE(Общий!B170,".",""),"-",""),8))))=7,CONCATENATE(IFERROR(VALUE(MID(TRIM(SUBSTITUTE(SUBSTITUTE(MID(Общий!B170,SEARCH("Karcher",Общий!B170,1),19),".",""),"-","")),SEARCH("Karcher",TRIM(SUBSTITUTE(SUBSTITUTE(MID(Общий!B170,SEARCH("Karcher",Общий!B170,1),19),".",""),"-","")),1)+8,8)),VALUE(LEFT(SUBSTITUTE(SUBSTITUTE(Общий!B170,".",""),"-",""),8))),"0"),IFERROR(VALUE(MID(TRIM(SUBSTITUTE(SUBSTITUTE(MID(Общий!B170,SEARCH("Karcher",Общий!B170,1),19),".",""),"-","")),SEARCH("Karcher",TRIM(SUBSTITUTE(SUBSTITUTE(MID(Общий!B170,SEARCH("Karcher",Общий!B170,1),19),".",""),"-","")),1)+8,8)),VALUE(LEFT(SUBSTITUTE(SUBSTITUTE(Общий!B170,".",""),"-",""),8))))),0)</f>
        <v>47640070</v>
      </c>
      <c r="B170" s="25" t="str">
        <f>IFERROR(CONCATENATE(VALUE(IF(LEN(IFERROR(VALUE(MID(TRIM(SUBSTITUTE(SUBSTITUTE(MID(Общий!B170,SEARCH("Karcher",Общий!B170,1),19),".",""),"-","")),SEARCH("Karcher",TRIM(SUBSTITUTE(SUBSTITUTE(MID(Общий!B170,SEARCH("Karcher",Общий!B170,1),19),".",""),"-","")),1)+8,8)),VALUE(LEFT(SUBSTITUTE(SUBSTITUTE(Общий!B170,".",""),"-",""),8))))=7,CONCATENATE(IFERROR(VALUE(MID(TRIM(SUBSTITUTE(SUBSTITUTE(MID(Общий!B170,SEARCH("Karcher",Общий!B170,1),19),".",""),"-","")),SEARCH("Karcher",TRIM(SUBSTITUTE(SUBSTITUTE(MID(Общий!B170,SEARCH("Karcher",Общий!B170,1),19),".",""),"-","")),1)+8,8)),VALUE(LEFT(SUBSTITUTE(SUBSTITUTE(Общий!B170,".",""),"-",""),8))),"0"),IFERROR(VALUE(MID(TRIM(SUBSTITUTE(SUBSTITUTE(MID(Общий!B170,SEARCH("Karcher",Общий!B170,1),19),".",""),"-","")),SEARCH("Karcher",TRIM(SUBSTITUTE(SUBSTITUTE(MID(Общий!B170,SEARCH("Karcher",Общий!B170,1),19),".",""),"-","")),1)+8,8)),VALUE(LEFT(SUBSTITUTE(SUBSTITUTE(Общий!B170,".",""),"-",""),8)))))," ",Общий!C170),0)</f>
        <v>47640070 1</v>
      </c>
      <c r="C170" s="29" t="str">
        <f>Общий!A170</f>
        <v>162</v>
      </c>
      <c r="D170" s="27" t="str">
        <f>Общий!B170</f>
        <v>Корпус форсунки комплектный Karcher 4.764-007 код : 006190</v>
      </c>
      <c r="E170" s="28">
        <f>Общий!C170</f>
        <v>1</v>
      </c>
      <c r="F170" s="21"/>
      <c r="G170" s="44"/>
      <c r="H170" s="44"/>
      <c r="I170" s="44"/>
      <c r="J170" s="35"/>
      <c r="K170" s="16"/>
    </row>
    <row r="171" spans="1:11">
      <c r="A171" s="31">
        <f>IFERROR(VALUE(IF(LEN(IFERROR(VALUE(MID(TRIM(SUBSTITUTE(SUBSTITUTE(MID(Общий!B171,SEARCH("Karcher",Общий!B171,1),19),".",""),"-","")),SEARCH("Karcher",TRIM(SUBSTITUTE(SUBSTITUTE(MID(Общий!B171,SEARCH("Karcher",Общий!B171,1),19),".",""),"-","")),1)+8,8)),VALUE(LEFT(SUBSTITUTE(SUBSTITUTE(Общий!B171,".",""),"-",""),8))))=7,CONCATENATE(IFERROR(VALUE(MID(TRIM(SUBSTITUTE(SUBSTITUTE(MID(Общий!B171,SEARCH("Karcher",Общий!B171,1),19),".",""),"-","")),SEARCH("Karcher",TRIM(SUBSTITUTE(SUBSTITUTE(MID(Общий!B171,SEARCH("Karcher",Общий!B171,1),19),".",""),"-","")),1)+8,8)),VALUE(LEFT(SUBSTITUTE(SUBSTITUTE(Общий!B171,".",""),"-",""),8))),"0"),IFERROR(VALUE(MID(TRIM(SUBSTITUTE(SUBSTITUTE(MID(Общий!B171,SEARCH("Karcher",Общий!B171,1),19),".",""),"-","")),SEARCH("Karcher",TRIM(SUBSTITUTE(SUBSTITUTE(MID(Общий!B171,SEARCH("Karcher",Общий!B171,1),19),".",""),"-","")),1)+8,8)),VALUE(LEFT(SUBSTITUTE(SUBSTITUTE(Общий!B171,".",""),"-",""),8))))),0)</f>
        <v>50322860</v>
      </c>
      <c r="B171" s="25" t="str">
        <f>IFERROR(CONCATENATE(VALUE(IF(LEN(IFERROR(VALUE(MID(TRIM(SUBSTITUTE(SUBSTITUTE(MID(Общий!B171,SEARCH("Karcher",Общий!B171,1),19),".",""),"-","")),SEARCH("Karcher",TRIM(SUBSTITUTE(SUBSTITUTE(MID(Общий!B171,SEARCH("Karcher",Общий!B171,1),19),".",""),"-","")),1)+8,8)),VALUE(LEFT(SUBSTITUTE(SUBSTITUTE(Общий!B171,".",""),"-",""),8))))=7,CONCATENATE(IFERROR(VALUE(MID(TRIM(SUBSTITUTE(SUBSTITUTE(MID(Общий!B171,SEARCH("Karcher",Общий!B171,1),19),".",""),"-","")),SEARCH("Karcher",TRIM(SUBSTITUTE(SUBSTITUTE(MID(Общий!B171,SEARCH("Karcher",Общий!B171,1),19),".",""),"-","")),1)+8,8)),VALUE(LEFT(SUBSTITUTE(SUBSTITUTE(Общий!B171,".",""),"-",""),8))),"0"),IFERROR(VALUE(MID(TRIM(SUBSTITUTE(SUBSTITUTE(MID(Общий!B171,SEARCH("Karcher",Общий!B171,1),19),".",""),"-","")),SEARCH("Karcher",TRIM(SUBSTITUTE(SUBSTITUTE(MID(Общий!B171,SEARCH("Karcher",Общий!B171,1),19),".",""),"-","")),1)+8,8)),VALUE(LEFT(SUBSTITUTE(SUBSTITUTE(Общий!B171,".",""),"-",""),8)))))," ",Общий!C171),0)</f>
        <v>50322860 1</v>
      </c>
      <c r="C171" s="29" t="str">
        <f>Общий!A171</f>
        <v>163</v>
      </c>
      <c r="D171" s="27" t="str">
        <f>Общий!B171</f>
        <v>Держатель оси Karcher 5.032-286 код : 030046</v>
      </c>
      <c r="E171" s="28">
        <f>Общий!C171</f>
        <v>1</v>
      </c>
      <c r="F171" s="21"/>
      <c r="G171" s="44"/>
      <c r="H171" s="44"/>
      <c r="I171" s="44"/>
      <c r="J171" s="35"/>
      <c r="K171" s="16"/>
    </row>
    <row r="172" spans="1:11">
      <c r="A172" s="31">
        <f>IFERROR(VALUE(IF(LEN(IFERROR(VALUE(MID(TRIM(SUBSTITUTE(SUBSTITUTE(MID(Общий!B172,SEARCH("Karcher",Общий!B172,1),19),".",""),"-","")),SEARCH("Karcher",TRIM(SUBSTITUTE(SUBSTITUTE(MID(Общий!B172,SEARCH("Karcher",Общий!B172,1),19),".",""),"-","")),1)+8,8)),VALUE(LEFT(SUBSTITUTE(SUBSTITUTE(Общий!B172,".",""),"-",""),8))))=7,CONCATENATE(IFERROR(VALUE(MID(TRIM(SUBSTITUTE(SUBSTITUTE(MID(Общий!B172,SEARCH("Karcher",Общий!B172,1),19),".",""),"-","")),SEARCH("Karcher",TRIM(SUBSTITUTE(SUBSTITUTE(MID(Общий!B172,SEARCH("Karcher",Общий!B172,1),19),".",""),"-","")),1)+8,8)),VALUE(LEFT(SUBSTITUTE(SUBSTITUTE(Общий!B172,".",""),"-",""),8))),"0"),IFERROR(VALUE(MID(TRIM(SUBSTITUTE(SUBSTITUTE(MID(Общий!B172,SEARCH("Karcher",Общий!B172,1),19),".",""),"-","")),SEARCH("Karcher",TRIM(SUBSTITUTE(SUBSTITUTE(MID(Общий!B172,SEARCH("Karcher",Общий!B172,1),19),".",""),"-","")),1)+8,8)),VALUE(LEFT(SUBSTITUTE(SUBSTITUTE(Общий!B172,".",""),"-",""),8))))),0)</f>
        <v>50373330</v>
      </c>
      <c r="B172" s="25" t="str">
        <f>IFERROR(CONCATENATE(VALUE(IF(LEN(IFERROR(VALUE(MID(TRIM(SUBSTITUTE(SUBSTITUTE(MID(Общий!B172,SEARCH("Karcher",Общий!B172,1),19),".",""),"-","")),SEARCH("Karcher",TRIM(SUBSTITUTE(SUBSTITUTE(MID(Общий!B172,SEARCH("Karcher",Общий!B172,1),19),".",""),"-","")),1)+8,8)),VALUE(LEFT(SUBSTITUTE(SUBSTITUTE(Общий!B172,".",""),"-",""),8))))=7,CONCATENATE(IFERROR(VALUE(MID(TRIM(SUBSTITUTE(SUBSTITUTE(MID(Общий!B172,SEARCH("Karcher",Общий!B172,1),19),".",""),"-","")),SEARCH("Karcher",TRIM(SUBSTITUTE(SUBSTITUTE(MID(Общий!B172,SEARCH("Karcher",Общий!B172,1),19),".",""),"-","")),1)+8,8)),VALUE(LEFT(SUBSTITUTE(SUBSTITUTE(Общий!B172,".",""),"-",""),8))),"0"),IFERROR(VALUE(MID(TRIM(SUBSTITUTE(SUBSTITUTE(MID(Общий!B172,SEARCH("Karcher",Общий!B172,1),19),".",""),"-","")),SEARCH("Karcher",TRIM(SUBSTITUTE(SUBSTITUTE(MID(Общий!B172,SEARCH("Karcher",Общий!B172,1),19),".",""),"-","")),1)+8,8)),VALUE(LEFT(SUBSTITUTE(SUBSTITUTE(Общий!B172,".",""),"-",""),8)))))," ",Общий!C172),0)</f>
        <v>50373330 1</v>
      </c>
      <c r="C172" s="29" t="str">
        <f>Общий!A172</f>
        <v>164</v>
      </c>
      <c r="D172" s="27" t="str">
        <f>Общий!B172</f>
        <v>Зажим распылителя Karcher 5.037-333 код : 030167</v>
      </c>
      <c r="E172" s="28">
        <f>Общий!C172</f>
        <v>1</v>
      </c>
      <c r="F172" s="21"/>
      <c r="G172" s="44"/>
      <c r="H172" s="44"/>
      <c r="I172" s="44"/>
      <c r="J172" s="35"/>
      <c r="K172" s="16"/>
    </row>
    <row r="173" spans="1:11">
      <c r="A173" s="31">
        <f>IFERROR(VALUE(IF(LEN(IFERROR(VALUE(MID(TRIM(SUBSTITUTE(SUBSTITUTE(MID(Общий!B173,SEARCH("Karcher",Общий!B173,1),19),".",""),"-","")),SEARCH("Karcher",TRIM(SUBSTITUTE(SUBSTITUTE(MID(Общий!B173,SEARCH("Karcher",Общий!B173,1),19),".",""),"-","")),1)+8,8)),VALUE(LEFT(SUBSTITUTE(SUBSTITUTE(Общий!B173,".",""),"-",""),8))))=7,CONCATENATE(IFERROR(VALUE(MID(TRIM(SUBSTITUTE(SUBSTITUTE(MID(Общий!B173,SEARCH("Karcher",Общий!B173,1),19),".",""),"-","")),SEARCH("Karcher",TRIM(SUBSTITUTE(SUBSTITUTE(MID(Общий!B173,SEARCH("Karcher",Общий!B173,1),19),".",""),"-","")),1)+8,8)),VALUE(LEFT(SUBSTITUTE(SUBSTITUTE(Общий!B173,".",""),"-",""),8))),"0"),IFERROR(VALUE(MID(TRIM(SUBSTITUTE(SUBSTITUTE(MID(Общий!B173,SEARCH("Karcher",Общий!B173,1),19),".",""),"-","")),SEARCH("Karcher",TRIM(SUBSTITUTE(SUBSTITUTE(MID(Общий!B173,SEARCH("Karcher",Общий!B173,1),19),".",""),"-","")),1)+8,8)),VALUE(LEFT(SUBSTITUTE(SUBSTITUTE(Общий!B173,".",""),"-",""),8))))),0)</f>
        <v>50643920</v>
      </c>
      <c r="B173" s="25" t="str">
        <f>IFERROR(CONCATENATE(VALUE(IF(LEN(IFERROR(VALUE(MID(TRIM(SUBSTITUTE(SUBSTITUTE(MID(Общий!B173,SEARCH("Karcher",Общий!B173,1),19),".",""),"-","")),SEARCH("Karcher",TRIM(SUBSTITUTE(SUBSTITUTE(MID(Общий!B173,SEARCH("Karcher",Общий!B173,1),19),".",""),"-","")),1)+8,8)),VALUE(LEFT(SUBSTITUTE(SUBSTITUTE(Общий!B173,".",""),"-",""),8))))=7,CONCATENATE(IFERROR(VALUE(MID(TRIM(SUBSTITUTE(SUBSTITUTE(MID(Общий!B173,SEARCH("Karcher",Общий!B173,1),19),".",""),"-","")),SEARCH("Karcher",TRIM(SUBSTITUTE(SUBSTITUTE(MID(Общий!B173,SEARCH("Karcher",Общий!B173,1),19),".",""),"-","")),1)+8,8)),VALUE(LEFT(SUBSTITUTE(SUBSTITUTE(Общий!B173,".",""),"-",""),8))),"0"),IFERROR(VALUE(MID(TRIM(SUBSTITUTE(SUBSTITUTE(MID(Общий!B173,SEARCH("Karcher",Общий!B173,1),19),".",""),"-","")),SEARCH("Karcher",TRIM(SUBSTITUTE(SUBSTITUTE(MID(Общий!B173,SEARCH("Karcher",Общий!B173,1),19),".",""),"-","")),1)+8,8)),VALUE(LEFT(SUBSTITUTE(SUBSTITUTE(Общий!B173,".",""),"-",""),8)))))," ",Общий!C173),0)</f>
        <v>50643920 1</v>
      </c>
      <c r="C173" s="29" t="str">
        <f>Общий!A173</f>
        <v>165</v>
      </c>
      <c r="D173" s="27" t="str">
        <f>Общий!B173</f>
        <v>Колпак колеса серый Karcher 5.064-392 код : 030200</v>
      </c>
      <c r="E173" s="28">
        <f>Общий!C173</f>
        <v>1</v>
      </c>
      <c r="F173" s="21"/>
      <c r="G173" s="44"/>
      <c r="H173" s="44"/>
      <c r="I173" s="44"/>
      <c r="J173" s="35"/>
      <c r="K173" s="16"/>
    </row>
    <row r="174" spans="1:11">
      <c r="A174" s="31">
        <f>IFERROR(VALUE(IF(LEN(IFERROR(VALUE(MID(TRIM(SUBSTITUTE(SUBSTITUTE(MID(Общий!B174,SEARCH("Karcher",Общий!B174,1),19),".",""),"-","")),SEARCH("Karcher",TRIM(SUBSTITUTE(SUBSTITUTE(MID(Общий!B174,SEARCH("Karcher",Общий!B174,1),19),".",""),"-","")),1)+8,8)),VALUE(LEFT(SUBSTITUTE(SUBSTITUTE(Общий!B174,".",""),"-",""),8))))=7,CONCATENATE(IFERROR(VALUE(MID(TRIM(SUBSTITUTE(SUBSTITUTE(MID(Общий!B174,SEARCH("Karcher",Общий!B174,1),19),".",""),"-","")),SEARCH("Karcher",TRIM(SUBSTITUTE(SUBSTITUTE(MID(Общий!B174,SEARCH("Karcher",Общий!B174,1),19),".",""),"-","")),1)+8,8)),VALUE(LEFT(SUBSTITUTE(SUBSTITUTE(Общий!B174,".",""),"-",""),8))),"0"),IFERROR(VALUE(MID(TRIM(SUBSTITUTE(SUBSTITUTE(MID(Общий!B174,SEARCH("Karcher",Общий!B174,1),19),".",""),"-","")),SEARCH("Karcher",TRIM(SUBSTITUTE(SUBSTITUTE(MID(Общий!B174,SEARCH("Karcher",Общий!B174,1),19),".",""),"-","")),1)+8,8)),VALUE(LEFT(SUBSTITUTE(SUBSTITUTE(Общий!B174,".",""),"-",""),8))))),0)</f>
        <v>51155370</v>
      </c>
      <c r="B174" s="25" t="str">
        <f>IFERROR(CONCATENATE(VALUE(IF(LEN(IFERROR(VALUE(MID(TRIM(SUBSTITUTE(SUBSTITUTE(MID(Общий!B174,SEARCH("Karcher",Общий!B174,1),19),".",""),"-","")),SEARCH("Karcher",TRIM(SUBSTITUTE(SUBSTITUTE(MID(Общий!B174,SEARCH("Karcher",Общий!B174,1),19),".",""),"-","")),1)+8,8)),VALUE(LEFT(SUBSTITUTE(SUBSTITUTE(Общий!B174,".",""),"-",""),8))))=7,CONCATENATE(IFERROR(VALUE(MID(TRIM(SUBSTITUTE(SUBSTITUTE(MID(Общий!B174,SEARCH("Karcher",Общий!B174,1),19),".",""),"-","")),SEARCH("Karcher",TRIM(SUBSTITUTE(SUBSTITUTE(MID(Общий!B174,SEARCH("Karcher",Общий!B174,1),19),".",""),"-","")),1)+8,8)),VALUE(LEFT(SUBSTITUTE(SUBSTITUTE(Общий!B174,".",""),"-",""),8))),"0"),IFERROR(VALUE(MID(TRIM(SUBSTITUTE(SUBSTITUTE(MID(Общий!B174,SEARCH("Karcher",Общий!B174,1),19),".",""),"-","")),SEARCH("Karcher",TRIM(SUBSTITUTE(SUBSTITUTE(MID(Общий!B174,SEARCH("Karcher",Общий!B174,1),19),".",""),"-","")),1)+8,8)),VALUE(LEFT(SUBSTITUTE(SUBSTITUTE(Общий!B174,".",""),"-",""),8)))))," ",Общий!C174),0)</f>
        <v>51155370 3</v>
      </c>
      <c r="C174" s="29" t="str">
        <f>Общий!A174</f>
        <v>166</v>
      </c>
      <c r="D174" s="27" t="str">
        <f>Общий!B174</f>
        <v>5115537 Шайба  Karcher ** код : 005194</v>
      </c>
      <c r="E174" s="28">
        <f>Общий!C174</f>
        <v>3</v>
      </c>
      <c r="F174" s="21"/>
      <c r="G174" s="44"/>
      <c r="H174" s="44"/>
      <c r="I174" s="44"/>
      <c r="J174" s="35"/>
      <c r="K174" s="16"/>
    </row>
    <row r="175" spans="1:11">
      <c r="A175" s="31">
        <f>IFERROR(VALUE(IF(LEN(IFERROR(VALUE(MID(TRIM(SUBSTITUTE(SUBSTITUTE(MID(Общий!B175,SEARCH("Karcher",Общий!B175,1),19),".",""),"-","")),SEARCH("Karcher",TRIM(SUBSTITUTE(SUBSTITUTE(MID(Общий!B175,SEARCH("Karcher",Общий!B175,1),19),".",""),"-","")),1)+8,8)),VALUE(LEFT(SUBSTITUTE(SUBSTITUTE(Общий!B175,".",""),"-",""),8))))=7,CONCATENATE(IFERROR(VALUE(MID(TRIM(SUBSTITUTE(SUBSTITUTE(MID(Общий!B175,SEARCH("Karcher",Общий!B175,1),19),".",""),"-","")),SEARCH("Karcher",TRIM(SUBSTITUTE(SUBSTITUTE(MID(Общий!B175,SEARCH("Karcher",Общий!B175,1),19),".",""),"-","")),1)+8,8)),VALUE(LEFT(SUBSTITUTE(SUBSTITUTE(Общий!B175,".",""),"-",""),8))),"0"),IFERROR(VALUE(MID(TRIM(SUBSTITUTE(SUBSTITUTE(MID(Общий!B175,SEARCH("Karcher",Общий!B175,1),19),".",""),"-","")),SEARCH("Karcher",TRIM(SUBSTITUTE(SUBSTITUTE(MID(Общий!B175,SEARCH("Karcher",Общий!B175,1),19),".",""),"-","")),1)+8,8)),VALUE(LEFT(SUBSTITUTE(SUBSTITUTE(Общий!B175,".",""),"-",""),8))))),0)</f>
        <v>51163800</v>
      </c>
      <c r="B175" s="25" t="str">
        <f>IFERROR(CONCATENATE(VALUE(IF(LEN(IFERROR(VALUE(MID(TRIM(SUBSTITUTE(SUBSTITUTE(MID(Общий!B175,SEARCH("Karcher",Общий!B175,1),19),".",""),"-","")),SEARCH("Karcher",TRIM(SUBSTITUTE(SUBSTITUTE(MID(Общий!B175,SEARCH("Karcher",Общий!B175,1),19),".",""),"-","")),1)+8,8)),VALUE(LEFT(SUBSTITUTE(SUBSTITUTE(Общий!B175,".",""),"-",""),8))))=7,CONCATENATE(IFERROR(VALUE(MID(TRIM(SUBSTITUTE(SUBSTITUTE(MID(Общий!B175,SEARCH("Karcher",Общий!B175,1),19),".",""),"-","")),SEARCH("Karcher",TRIM(SUBSTITUTE(SUBSTITUTE(MID(Общий!B175,SEARCH("Karcher",Общий!B175,1),19),".",""),"-","")),1)+8,8)),VALUE(LEFT(SUBSTITUTE(SUBSTITUTE(Общий!B175,".",""),"-",""),8))),"0"),IFERROR(VALUE(MID(TRIM(SUBSTITUTE(SUBSTITUTE(MID(Общий!B175,SEARCH("Karcher",Общий!B175,1),19),".",""),"-","")),SEARCH("Karcher",TRIM(SUBSTITUTE(SUBSTITUTE(MID(Общий!B175,SEARCH("Karcher",Общий!B175,1),19),".",""),"-","")),1)+8,8)),VALUE(LEFT(SUBSTITUTE(SUBSTITUTE(Общий!B175,".",""),"-",""),8)))))," ",Общий!C175),0)</f>
        <v>51163800 45</v>
      </c>
      <c r="C175" s="29" t="str">
        <f>Общий!A175</f>
        <v>167</v>
      </c>
      <c r="D175" s="27" t="str">
        <f>Общий!B175</f>
        <v>5116380 Пластиковый уплотнитель на проставки Karcher код : 006455</v>
      </c>
      <c r="E175" s="28">
        <f>Общий!C175</f>
        <v>45</v>
      </c>
      <c r="F175" s="21"/>
      <c r="G175" s="44"/>
      <c r="H175" s="44"/>
      <c r="I175" s="44"/>
      <c r="J175" s="35"/>
      <c r="K175" s="16"/>
    </row>
    <row r="176" spans="1:11">
      <c r="A176" s="31">
        <f>IFERROR(VALUE(IF(LEN(IFERROR(VALUE(MID(TRIM(SUBSTITUTE(SUBSTITUTE(MID(Общий!B176,SEARCH("Karcher",Общий!B176,1),19),".",""),"-","")),SEARCH("Karcher",TRIM(SUBSTITUTE(SUBSTITUTE(MID(Общий!B176,SEARCH("Karcher",Общий!B176,1),19),".",""),"-","")),1)+8,8)),VALUE(LEFT(SUBSTITUTE(SUBSTITUTE(Общий!B176,".",""),"-",""),8))))=7,CONCATENATE(IFERROR(VALUE(MID(TRIM(SUBSTITUTE(SUBSTITUTE(MID(Общий!B176,SEARCH("Karcher",Общий!B176,1),19),".",""),"-","")),SEARCH("Karcher",TRIM(SUBSTITUTE(SUBSTITUTE(MID(Общий!B176,SEARCH("Karcher",Общий!B176,1),19),".",""),"-","")),1)+8,8)),VALUE(LEFT(SUBSTITUTE(SUBSTITUTE(Общий!B176,".",""),"-",""),8))),"0"),IFERROR(VALUE(MID(TRIM(SUBSTITUTE(SUBSTITUTE(MID(Общий!B176,SEARCH("Karcher",Общий!B176,1),19),".",""),"-","")),SEARCH("Karcher",TRIM(SUBSTITUTE(SUBSTITUTE(MID(Общий!B176,SEARCH("Karcher",Общий!B176,1),19),".",""),"-","")),1)+8,8)),VALUE(LEFT(SUBSTITUTE(SUBSTITUTE(Общий!B176,".",""),"-",""),8))))),0)</f>
        <v>51163810</v>
      </c>
      <c r="B176" s="25" t="str">
        <f>IFERROR(CONCATENATE(VALUE(IF(LEN(IFERROR(VALUE(MID(TRIM(SUBSTITUTE(SUBSTITUTE(MID(Общий!B176,SEARCH("Karcher",Общий!B176,1),19),".",""),"-","")),SEARCH("Karcher",TRIM(SUBSTITUTE(SUBSTITUTE(MID(Общий!B176,SEARCH("Karcher",Общий!B176,1),19),".",""),"-","")),1)+8,8)),VALUE(LEFT(SUBSTITUTE(SUBSTITUTE(Общий!B176,".",""),"-",""),8))))=7,CONCATENATE(IFERROR(VALUE(MID(TRIM(SUBSTITUTE(SUBSTITUTE(MID(Общий!B176,SEARCH("Karcher",Общий!B176,1),19),".",""),"-","")),SEARCH("Karcher",TRIM(SUBSTITUTE(SUBSTITUTE(MID(Общий!B176,SEARCH("Karcher",Общий!B176,1),19),".",""),"-","")),1)+8,8)),VALUE(LEFT(SUBSTITUTE(SUBSTITUTE(Общий!B176,".",""),"-",""),8))),"0"),IFERROR(VALUE(MID(TRIM(SUBSTITUTE(SUBSTITUTE(MID(Общий!B176,SEARCH("Karcher",Общий!B176,1),19),".",""),"-","")),SEARCH("Karcher",TRIM(SUBSTITUTE(SUBSTITUTE(MID(Общий!B176,SEARCH("Karcher",Общий!B176,1),19),".",""),"-","")),1)+8,8)),VALUE(LEFT(SUBSTITUTE(SUBSTITUTE(Общий!B176,".",""),"-",""),8)))))," ",Общий!C176),0)</f>
        <v>51163810 30</v>
      </c>
      <c r="C176" s="29" t="str">
        <f>Общий!A176</f>
        <v>168</v>
      </c>
      <c r="D176" s="27" t="str">
        <f>Общий!B176</f>
        <v>5116381 Поддерживающий диск Karcher *3* код : 005343</v>
      </c>
      <c r="E176" s="28">
        <f>Общий!C176</f>
        <v>30</v>
      </c>
      <c r="F176" s="21"/>
      <c r="G176" s="44"/>
      <c r="H176" s="44"/>
      <c r="I176" s="44"/>
      <c r="J176" s="35"/>
      <c r="K176" s="16"/>
    </row>
    <row r="177" spans="1:11">
      <c r="A177" s="31">
        <f>IFERROR(VALUE(IF(LEN(IFERROR(VALUE(MID(TRIM(SUBSTITUTE(SUBSTITUTE(MID(Общий!B177,SEARCH("Karcher",Общий!B177,1),19),".",""),"-","")),SEARCH("Karcher",TRIM(SUBSTITUTE(SUBSTITUTE(MID(Общий!B177,SEARCH("Karcher",Общий!B177,1),19),".",""),"-","")),1)+8,8)),VALUE(LEFT(SUBSTITUTE(SUBSTITUTE(Общий!B177,".",""),"-",""),8))))=7,CONCATENATE(IFERROR(VALUE(MID(TRIM(SUBSTITUTE(SUBSTITUTE(MID(Общий!B177,SEARCH("Karcher",Общий!B177,1),19),".",""),"-","")),SEARCH("Karcher",TRIM(SUBSTITUTE(SUBSTITUTE(MID(Общий!B177,SEARCH("Karcher",Общий!B177,1),19),".",""),"-","")),1)+8,8)),VALUE(LEFT(SUBSTITUTE(SUBSTITUTE(Общий!B177,".",""),"-",""),8))),"0"),IFERROR(VALUE(MID(TRIM(SUBSTITUTE(SUBSTITUTE(MID(Общий!B177,SEARCH("Karcher",Общий!B177,1),19),".",""),"-","")),SEARCH("Karcher",TRIM(SUBSTITUTE(SUBSTITUTE(MID(Общий!B177,SEARCH("Karcher",Общий!B177,1),19),".",""),"-","")),1)+8,8)),VALUE(LEFT(SUBSTITUTE(SUBSTITUTE(Общий!B177,".",""),"-",""),8))))),0)</f>
        <v>54272980</v>
      </c>
      <c r="B177" s="25" t="str">
        <f>IFERROR(CONCATENATE(VALUE(IF(LEN(IFERROR(VALUE(MID(TRIM(SUBSTITUTE(SUBSTITUTE(MID(Общий!B177,SEARCH("Karcher",Общий!B177,1),19),".",""),"-","")),SEARCH("Karcher",TRIM(SUBSTITUTE(SUBSTITUTE(MID(Общий!B177,SEARCH("Karcher",Общий!B177,1),19),".",""),"-","")),1)+8,8)),VALUE(LEFT(SUBSTITUTE(SUBSTITUTE(Общий!B177,".",""),"-",""),8))))=7,CONCATENATE(IFERROR(VALUE(MID(TRIM(SUBSTITUTE(SUBSTITUTE(MID(Общий!B177,SEARCH("Karcher",Общий!B177,1),19),".",""),"-","")),SEARCH("Karcher",TRIM(SUBSTITUTE(SUBSTITUTE(MID(Общий!B177,SEARCH("Karcher",Общий!B177,1),19),".",""),"-","")),1)+8,8)),VALUE(LEFT(SUBSTITUTE(SUBSTITUTE(Общий!B177,".",""),"-",""),8))),"0"),IFERROR(VALUE(MID(TRIM(SUBSTITUTE(SUBSTITUTE(MID(Общий!B177,SEARCH("Karcher",Общий!B177,1),19),".",""),"-","")),SEARCH("Karcher",TRIM(SUBSTITUTE(SUBSTITUTE(MID(Общий!B177,SEARCH("Karcher",Общий!B177,1),19),".",""),"-","")),1)+8,8)),VALUE(LEFT(SUBSTITUTE(SUBSTITUTE(Общий!B177,".",""),"-",""),8)))))," ",Общий!C177),0)</f>
        <v>54272980 1</v>
      </c>
      <c r="C177" s="29" t="str">
        <f>Общий!A177</f>
        <v>169</v>
      </c>
      <c r="D177" s="27" t="str">
        <f>Общий!B177</f>
        <v>Соединительная деталь короткая Karcher 5.427-298 код : 006486</v>
      </c>
      <c r="E177" s="28">
        <f>Общий!C177</f>
        <v>1</v>
      </c>
      <c r="F177" s="21"/>
      <c r="G177" s="44"/>
      <c r="H177" s="44"/>
      <c r="I177" s="44"/>
      <c r="J177" s="35"/>
      <c r="K177" s="16"/>
    </row>
    <row r="178" spans="1:11">
      <c r="A178" s="31">
        <f>IFERROR(VALUE(IF(LEN(IFERROR(VALUE(MID(TRIM(SUBSTITUTE(SUBSTITUTE(MID(Общий!B178,SEARCH("Karcher",Общий!B178,1),19),".",""),"-","")),SEARCH("Karcher",TRIM(SUBSTITUTE(SUBSTITUTE(MID(Общий!B178,SEARCH("Karcher",Общий!B178,1),19),".",""),"-","")),1)+8,8)),VALUE(LEFT(SUBSTITUTE(SUBSTITUTE(Общий!B178,".",""),"-",""),8))))=7,CONCATENATE(IFERROR(VALUE(MID(TRIM(SUBSTITUTE(SUBSTITUTE(MID(Общий!B178,SEARCH("Karcher",Общий!B178,1),19),".",""),"-","")),SEARCH("Karcher",TRIM(SUBSTITUTE(SUBSTITUTE(MID(Общий!B178,SEARCH("Karcher",Общий!B178,1),19),".",""),"-","")),1)+8,8)),VALUE(LEFT(SUBSTITUTE(SUBSTITUTE(Общий!B178,".",""),"-",""),8))),"0"),IFERROR(VALUE(MID(TRIM(SUBSTITUTE(SUBSTITUTE(MID(Общий!B178,SEARCH("Karcher",Общий!B178,1),19),".",""),"-","")),SEARCH("Karcher",TRIM(SUBSTITUTE(SUBSTITUTE(MID(Общий!B178,SEARCH("Karcher",Общий!B178,1),19),".",""),"-","")),1)+8,8)),VALUE(LEFT(SUBSTITUTE(SUBSTITUTE(Общий!B178,".",""),"-",""),8))))),0)</f>
        <v>56000603</v>
      </c>
      <c r="B178" s="25" t="str">
        <f>IFERROR(CONCATENATE(VALUE(IF(LEN(IFERROR(VALUE(MID(TRIM(SUBSTITUTE(SUBSTITUTE(MID(Общий!B178,SEARCH("Karcher",Общий!B178,1),19),".",""),"-","")),SEARCH("Karcher",TRIM(SUBSTITUTE(SUBSTITUTE(MID(Общий!B178,SEARCH("Karcher",Общий!B178,1),19),".",""),"-","")),1)+8,8)),VALUE(LEFT(SUBSTITUTE(SUBSTITUTE(Общий!B178,".",""),"-",""),8))))=7,CONCATENATE(IFERROR(VALUE(MID(TRIM(SUBSTITUTE(SUBSTITUTE(MID(Общий!B178,SEARCH("Karcher",Общий!B178,1),19),".",""),"-","")),SEARCH("Karcher",TRIM(SUBSTITUTE(SUBSTITUTE(MID(Общий!B178,SEARCH("Karcher",Общий!B178,1),19),".",""),"-","")),1)+8,8)),VALUE(LEFT(SUBSTITUTE(SUBSTITUTE(Общий!B178,".",""),"-",""),8))),"0"),IFERROR(VALUE(MID(TRIM(SUBSTITUTE(SUBSTITUTE(MID(Общий!B178,SEARCH("Karcher",Общий!B178,1),19),".",""),"-","")),SEARCH("Karcher",TRIM(SUBSTITUTE(SUBSTITUTE(MID(Общий!B178,SEARCH("Karcher",Общий!B178,1),19),".",""),"-","")),1)+8,8)),VALUE(LEFT(SUBSTITUTE(SUBSTITUTE(Общий!B178,".",""),"-",""),8)))))," ",Общий!C178),0)</f>
        <v>56000603 2</v>
      </c>
      <c r="C178" s="29" t="str">
        <f>Общий!A178</f>
        <v>170</v>
      </c>
      <c r="D178" s="27" t="str">
        <f>Общий!B178</f>
        <v>56000603 Крыльчатка Karcher *1* код : 005195</v>
      </c>
      <c r="E178" s="28">
        <f>Общий!C178</f>
        <v>2</v>
      </c>
      <c r="F178" s="21"/>
      <c r="G178" s="44"/>
      <c r="H178" s="44"/>
      <c r="I178" s="44"/>
      <c r="J178" s="35"/>
      <c r="K178" s="16"/>
    </row>
    <row r="179" spans="1:11">
      <c r="A179" s="31">
        <f>IFERROR(VALUE(IF(LEN(IFERROR(VALUE(MID(TRIM(SUBSTITUTE(SUBSTITUTE(MID(Общий!B179,SEARCH("Karcher",Общий!B179,1),19),".",""),"-","")),SEARCH("Karcher",TRIM(SUBSTITUTE(SUBSTITUTE(MID(Общий!B179,SEARCH("Karcher",Общий!B179,1),19),".",""),"-","")),1)+8,8)),VALUE(LEFT(SUBSTITUTE(SUBSTITUTE(Общий!B179,".",""),"-",""),8))))=7,CONCATENATE(IFERROR(VALUE(MID(TRIM(SUBSTITUTE(SUBSTITUTE(MID(Общий!B179,SEARCH("Karcher",Общий!B179,1),19),".",""),"-","")),SEARCH("Karcher",TRIM(SUBSTITUTE(SUBSTITUTE(MID(Общий!B179,SEARCH("Karcher",Общий!B179,1),19),".",""),"-","")),1)+8,8)),VALUE(LEFT(SUBSTITUTE(SUBSTITUTE(Общий!B179,".",""),"-",""),8))),"0"),IFERROR(VALUE(MID(TRIM(SUBSTITUTE(SUBSTITUTE(MID(Общий!B179,SEARCH("Karcher",Общий!B179,1),19),".",""),"-","")),SEARCH("Karcher",TRIM(SUBSTITUTE(SUBSTITUTE(MID(Общий!B179,SEARCH("Karcher",Общий!B179,1),19),".",""),"-","")),1)+8,8)),VALUE(LEFT(SUBSTITUTE(SUBSTITUTE(Общий!B179,".",""),"-",""),8))))),0)</f>
        <v>57310590</v>
      </c>
      <c r="B179" s="25" t="str">
        <f>IFERROR(CONCATENATE(VALUE(IF(LEN(IFERROR(VALUE(MID(TRIM(SUBSTITUTE(SUBSTITUTE(MID(Общий!B179,SEARCH("Karcher",Общий!B179,1),19),".",""),"-","")),SEARCH("Karcher",TRIM(SUBSTITUTE(SUBSTITUTE(MID(Общий!B179,SEARCH("Karcher",Общий!B179,1),19),".",""),"-","")),1)+8,8)),VALUE(LEFT(SUBSTITUTE(SUBSTITUTE(Общий!B179,".",""),"-",""),8))))=7,CONCATENATE(IFERROR(VALUE(MID(TRIM(SUBSTITUTE(SUBSTITUTE(MID(Общий!B179,SEARCH("Karcher",Общий!B179,1),19),".",""),"-","")),SEARCH("Karcher",TRIM(SUBSTITUTE(SUBSTITUTE(MID(Общий!B179,SEARCH("Karcher",Общий!B179,1),19),".",""),"-","")),1)+8,8)),VALUE(LEFT(SUBSTITUTE(SUBSTITUTE(Общий!B179,".",""),"-",""),8))),"0"),IFERROR(VALUE(MID(TRIM(SUBSTITUTE(SUBSTITUTE(MID(Общий!B179,SEARCH("Karcher",Общий!B179,1),19),".",""),"-","")),SEARCH("Karcher",TRIM(SUBSTITUTE(SUBSTITUTE(MID(Общий!B179,SEARCH("Karcher",Общий!B179,1),19),".",""),"-","")),1)+8,8)),VALUE(LEFT(SUBSTITUTE(SUBSTITUTE(Общий!B179,".",""),"-",""),8)))))," ",Общий!C179),0)</f>
        <v>57310590 2</v>
      </c>
      <c r="C179" s="29" t="str">
        <f>Общий!A179</f>
        <v>171</v>
      </c>
      <c r="D179" s="27" t="str">
        <f>Общий!B179</f>
        <v>Фильтровальная вставка (сетка 100) Karcher 5.731-059 код : 006164</v>
      </c>
      <c r="E179" s="28">
        <f>Общий!C179</f>
        <v>2</v>
      </c>
      <c r="F179" s="21"/>
      <c r="G179" s="44"/>
      <c r="H179" s="44"/>
      <c r="I179" s="44"/>
      <c r="J179" s="35"/>
      <c r="K179" s="16"/>
    </row>
    <row r="180" spans="1:11">
      <c r="A180" s="31">
        <f>IFERROR(VALUE(IF(LEN(IFERROR(VALUE(MID(TRIM(SUBSTITUTE(SUBSTITUTE(MID(Общий!B180,SEARCH("Karcher",Общий!B180,1),19),".",""),"-","")),SEARCH("Karcher",TRIM(SUBSTITUTE(SUBSTITUTE(MID(Общий!B180,SEARCH("Karcher",Общий!B180,1),19),".",""),"-","")),1)+8,8)),VALUE(LEFT(SUBSTITUTE(SUBSTITUTE(Общий!B180,".",""),"-",""),8))))=7,CONCATENATE(IFERROR(VALUE(MID(TRIM(SUBSTITUTE(SUBSTITUTE(MID(Общий!B180,SEARCH("Karcher",Общий!B180,1),19),".",""),"-","")),SEARCH("Karcher",TRIM(SUBSTITUTE(SUBSTITUTE(MID(Общий!B180,SEARCH("Karcher",Общий!B180,1),19),".",""),"-","")),1)+8,8)),VALUE(LEFT(SUBSTITUTE(SUBSTITUTE(Общий!B180,".",""),"-",""),8))),"0"),IFERROR(VALUE(MID(TRIM(SUBSTITUTE(SUBSTITUTE(MID(Общий!B180,SEARCH("Karcher",Общий!B180,1),19),".",""),"-","")),SEARCH("Karcher",TRIM(SUBSTITUTE(SUBSTITUTE(MID(Общий!B180,SEARCH("Karcher",Общий!B180,1),19),".",""),"-","")),1)+8,8)),VALUE(LEFT(SUBSTITUTE(SUBSTITUTE(Общий!B180,".",""),"-",""),8))))),0)</f>
        <v>61100460</v>
      </c>
      <c r="B180" s="25" t="str">
        <f>IFERROR(CONCATENATE(VALUE(IF(LEN(IFERROR(VALUE(MID(TRIM(SUBSTITUTE(SUBSTITUTE(MID(Общий!B180,SEARCH("Karcher",Общий!B180,1),19),".",""),"-","")),SEARCH("Karcher",TRIM(SUBSTITUTE(SUBSTITUTE(MID(Общий!B180,SEARCH("Karcher",Общий!B180,1),19),".",""),"-","")),1)+8,8)),VALUE(LEFT(SUBSTITUTE(SUBSTITUTE(Общий!B180,".",""),"-",""),8))))=7,CONCATENATE(IFERROR(VALUE(MID(TRIM(SUBSTITUTE(SUBSTITUTE(MID(Общий!B180,SEARCH("Karcher",Общий!B180,1),19),".",""),"-","")),SEARCH("Karcher",TRIM(SUBSTITUTE(SUBSTITUTE(MID(Общий!B180,SEARCH("Karcher",Общий!B180,1),19),".",""),"-","")),1)+8,8)),VALUE(LEFT(SUBSTITUTE(SUBSTITUTE(Общий!B180,".",""),"-",""),8))),"0"),IFERROR(VALUE(MID(TRIM(SUBSTITUTE(SUBSTITUTE(MID(Общий!B180,SEARCH("Karcher",Общий!B180,1),19),".",""),"-","")),SEARCH("Karcher",TRIM(SUBSTITUTE(SUBSTITUTE(MID(Общий!B180,SEARCH("Karcher",Общий!B180,1),19),".",""),"-","")),1)+8,8)),VALUE(LEFT(SUBSTITUTE(SUBSTITUTE(Общий!B180,".",""),"-",""),8)))))," ",Общий!C180),0)</f>
        <v>61100460 1</v>
      </c>
      <c r="C180" s="29" t="str">
        <f>Общий!A180</f>
        <v>172</v>
      </c>
      <c r="D180" s="27" t="str">
        <f>Общий!B180</f>
        <v>Шланговое соединение Karcher 6.110-046 код : 030054</v>
      </c>
      <c r="E180" s="28">
        <f>Общий!C180</f>
        <v>1</v>
      </c>
      <c r="F180" s="21"/>
      <c r="G180" s="44"/>
      <c r="H180" s="44"/>
      <c r="I180" s="44"/>
      <c r="J180" s="35"/>
      <c r="K180" s="16"/>
    </row>
    <row r="181" spans="1:11">
      <c r="A181" s="31">
        <f>IFERROR(VALUE(IF(LEN(IFERROR(VALUE(MID(TRIM(SUBSTITUTE(SUBSTITUTE(MID(Общий!B181,SEARCH("Karcher",Общий!B181,1),19),".",""),"-","")),SEARCH("Karcher",TRIM(SUBSTITUTE(SUBSTITUTE(MID(Общий!B181,SEARCH("Karcher",Общий!B181,1),19),".",""),"-","")),1)+8,8)),VALUE(LEFT(SUBSTITUTE(SUBSTITUTE(Общий!B181,".",""),"-",""),8))))=7,CONCATENATE(IFERROR(VALUE(MID(TRIM(SUBSTITUTE(SUBSTITUTE(MID(Общий!B181,SEARCH("Karcher",Общий!B181,1),19),".",""),"-","")),SEARCH("Karcher",TRIM(SUBSTITUTE(SUBSTITUTE(MID(Общий!B181,SEARCH("Karcher",Общий!B181,1),19),".",""),"-","")),1)+8,8)),VALUE(LEFT(SUBSTITUTE(SUBSTITUTE(Общий!B181,".",""),"-",""),8))),"0"),IFERROR(VALUE(MID(TRIM(SUBSTITUTE(SUBSTITUTE(MID(Общий!B181,SEARCH("Karcher",Общий!B181,1),19),".",""),"-","")),SEARCH("Karcher",TRIM(SUBSTITUTE(SUBSTITUTE(MID(Общий!B181,SEARCH("Karcher",Общий!B181,1),19),".",""),"-","")),1)+8,8)),VALUE(LEFT(SUBSTITUTE(SUBSTITUTE(Общий!B181,".",""),"-",""),8))))),0)</f>
        <v>62730230</v>
      </c>
      <c r="B181" s="25" t="str">
        <f>IFERROR(CONCATENATE(VALUE(IF(LEN(IFERROR(VALUE(MID(TRIM(SUBSTITUTE(SUBSTITUTE(MID(Общий!B181,SEARCH("Karcher",Общий!B181,1),19),".",""),"-","")),SEARCH("Karcher",TRIM(SUBSTITUTE(SUBSTITUTE(MID(Общий!B181,SEARCH("Karcher",Общий!B181,1),19),".",""),"-","")),1)+8,8)),VALUE(LEFT(SUBSTITUTE(SUBSTITUTE(Общий!B181,".",""),"-",""),8))))=7,CONCATENATE(IFERROR(VALUE(MID(TRIM(SUBSTITUTE(SUBSTITUTE(MID(Общий!B181,SEARCH("Karcher",Общий!B181,1),19),".",""),"-","")),SEARCH("Karcher",TRIM(SUBSTITUTE(SUBSTITUTE(MID(Общий!B181,SEARCH("Karcher",Общий!B181,1),19),".",""),"-","")),1)+8,8)),VALUE(LEFT(SUBSTITUTE(SUBSTITUTE(Общий!B181,".",""),"-",""),8))),"0"),IFERROR(VALUE(MID(TRIM(SUBSTITUTE(SUBSTITUTE(MID(Общий!B181,SEARCH("Karcher",Общий!B181,1),19),".",""),"-","")),SEARCH("Karcher",TRIM(SUBSTITUTE(SUBSTITUTE(MID(Общий!B181,SEARCH("Karcher",Общий!B181,1),19),".",""),"-","")),1)+8,8)),VALUE(LEFT(SUBSTITUTE(SUBSTITUTE(Общий!B181,".",""),"-",""),8)))))," ",Общий!C181),0)</f>
        <v>62730230 1</v>
      </c>
      <c r="C181" s="29" t="str">
        <f>Общий!A181</f>
        <v>173</v>
      </c>
      <c r="D181" s="27" t="str">
        <f>Общий!B181</f>
        <v>6273023 Полоски ребр д/V-балки 900мм Karcher код : 030815</v>
      </c>
      <c r="E181" s="28">
        <f>Общий!C181</f>
        <v>1</v>
      </c>
      <c r="F181" s="21"/>
      <c r="G181" s="44"/>
      <c r="H181" s="44"/>
      <c r="I181" s="44"/>
      <c r="J181" s="35"/>
      <c r="K181" s="16"/>
    </row>
    <row r="182" spans="1:11">
      <c r="A182" s="31">
        <f>IFERROR(VALUE(IF(LEN(IFERROR(VALUE(MID(TRIM(SUBSTITUTE(SUBSTITUTE(MID(Общий!B182,SEARCH("Karcher",Общий!B182,1),19),".",""),"-","")),SEARCH("Karcher",TRIM(SUBSTITUTE(SUBSTITUTE(MID(Общий!B182,SEARCH("Karcher",Общий!B182,1),19),".",""),"-","")),1)+8,8)),VALUE(LEFT(SUBSTITUTE(SUBSTITUTE(Общий!B182,".",""),"-",""),8))))=7,CONCATENATE(IFERROR(VALUE(MID(TRIM(SUBSTITUTE(SUBSTITUTE(MID(Общий!B182,SEARCH("Karcher",Общий!B182,1),19),".",""),"-","")),SEARCH("Karcher",TRIM(SUBSTITUTE(SUBSTITUTE(MID(Общий!B182,SEARCH("Karcher",Общий!B182,1),19),".",""),"-","")),1)+8,8)),VALUE(LEFT(SUBSTITUTE(SUBSTITUTE(Общий!B182,".",""),"-",""),8))),"0"),IFERROR(VALUE(MID(TRIM(SUBSTITUTE(SUBSTITUTE(MID(Общий!B182,SEARCH("Karcher",Общий!B182,1),19),".",""),"-","")),SEARCH("Karcher",TRIM(SUBSTITUTE(SUBSTITUTE(MID(Общий!B182,SEARCH("Karcher",Общий!B182,1),19),".",""),"-","")),1)+8,8)),VALUE(LEFT(SUBSTITUTE(SUBSTITUTE(Общий!B182,".",""),"-",""),8))))),0)</f>
        <v>62901750</v>
      </c>
      <c r="B182" s="25" t="str">
        <f>IFERROR(CONCATENATE(VALUE(IF(LEN(IFERROR(VALUE(MID(TRIM(SUBSTITUTE(SUBSTITUTE(MID(Общий!B182,SEARCH("Karcher",Общий!B182,1),19),".",""),"-","")),SEARCH("Karcher",TRIM(SUBSTITUTE(SUBSTITUTE(MID(Общий!B182,SEARCH("Karcher",Общий!B182,1),19),".",""),"-","")),1)+8,8)),VALUE(LEFT(SUBSTITUTE(SUBSTITUTE(Общий!B182,".",""),"-",""),8))))=7,CONCATENATE(IFERROR(VALUE(MID(TRIM(SUBSTITUTE(SUBSTITUTE(MID(Общий!B182,SEARCH("Karcher",Общий!B182,1),19),".",""),"-","")),SEARCH("Karcher",TRIM(SUBSTITUTE(SUBSTITUTE(MID(Общий!B182,SEARCH("Karcher",Общий!B182,1),19),".",""),"-","")),1)+8,8)),VALUE(LEFT(SUBSTITUTE(SUBSTITUTE(Общий!B182,".",""),"-",""),8))),"0"),IFERROR(VALUE(MID(TRIM(SUBSTITUTE(SUBSTITUTE(MID(Общий!B182,SEARCH("Karcher",Общий!B182,1),19),".",""),"-","")),SEARCH("Karcher",TRIM(SUBSTITUTE(SUBSTITUTE(MID(Общий!B182,SEARCH("Karcher",Общий!B182,1),19),".",""),"-","")),1)+8,8)),VALUE(LEFT(SUBSTITUTE(SUBSTITUTE(Общий!B182,".",""),"-",""),8)))))," ",Общий!C182),0)</f>
        <v>62901750 8</v>
      </c>
      <c r="C182" s="29" t="str">
        <f>Общий!A182</f>
        <v>174</v>
      </c>
      <c r="D182" s="27" t="str">
        <f>Общий!B182</f>
        <v>RM 760 Моющее средство 800г порошок Karcher 6.290-175 код : 000944</v>
      </c>
      <c r="E182" s="28">
        <f>Общий!C182</f>
        <v>8</v>
      </c>
      <c r="F182" s="21"/>
      <c r="G182" s="44"/>
      <c r="H182" s="44"/>
      <c r="I182" s="44"/>
      <c r="J182" s="35"/>
      <c r="K182" s="16"/>
    </row>
    <row r="183" spans="1:11">
      <c r="A183" s="31">
        <f>IFERROR(VALUE(IF(LEN(IFERROR(VALUE(MID(TRIM(SUBSTITUTE(SUBSTITUTE(MID(Общий!B183,SEARCH("Karcher",Общий!B183,1),19),".",""),"-","")),SEARCH("Karcher",TRIM(SUBSTITUTE(SUBSTITUTE(MID(Общий!B183,SEARCH("Karcher",Общий!B183,1),19),".",""),"-","")),1)+8,8)),VALUE(LEFT(SUBSTITUTE(SUBSTITUTE(Общий!B183,".",""),"-",""),8))))=7,CONCATENATE(IFERROR(VALUE(MID(TRIM(SUBSTITUTE(SUBSTITUTE(MID(Общий!B183,SEARCH("Karcher",Общий!B183,1),19),".",""),"-","")),SEARCH("Karcher",TRIM(SUBSTITUTE(SUBSTITUTE(MID(Общий!B183,SEARCH("Karcher",Общий!B183,1),19),".",""),"-","")),1)+8,8)),VALUE(LEFT(SUBSTITUTE(SUBSTITUTE(Общий!B183,".",""),"-",""),8))),"0"),IFERROR(VALUE(MID(TRIM(SUBSTITUTE(SUBSTITUTE(MID(Общий!B183,SEARCH("Karcher",Общий!B183,1),19),".",""),"-","")),SEARCH("Karcher",TRIM(SUBSTITUTE(SUBSTITUTE(MID(Общий!B183,SEARCH("Karcher",Общий!B183,1),19),".",""),"-","")),1)+8,8)),VALUE(LEFT(SUBSTITUTE(SUBSTITUTE(Общий!B183,".",""),"-",""),8))))),0)</f>
        <v>62955530</v>
      </c>
      <c r="B183" s="25" t="str">
        <f>IFERROR(CONCATENATE(VALUE(IF(LEN(IFERROR(VALUE(MID(TRIM(SUBSTITUTE(SUBSTITUTE(MID(Общий!B183,SEARCH("Karcher",Общий!B183,1),19),".",""),"-","")),SEARCH("Karcher",TRIM(SUBSTITUTE(SUBSTITUTE(MID(Общий!B183,SEARCH("Karcher",Общий!B183,1),19),".",""),"-","")),1)+8,8)),VALUE(LEFT(SUBSTITUTE(SUBSTITUTE(Общий!B183,".",""),"-",""),8))))=7,CONCATENATE(IFERROR(VALUE(MID(TRIM(SUBSTITUTE(SUBSTITUTE(MID(Общий!B183,SEARCH("Karcher",Общий!B183,1),19),".",""),"-","")),SEARCH("Karcher",TRIM(SUBSTITUTE(SUBSTITUTE(MID(Общий!B183,SEARCH("Karcher",Общий!B183,1),19),".",""),"-","")),1)+8,8)),VALUE(LEFT(SUBSTITUTE(SUBSTITUTE(Общий!B183,".",""),"-",""),8))),"0"),IFERROR(VALUE(MID(TRIM(SUBSTITUTE(SUBSTITUTE(MID(Общий!B183,SEARCH("Karcher",Общий!B183,1),19),".",""),"-","")),SEARCH("Karcher",TRIM(SUBSTITUTE(SUBSTITUTE(MID(Общий!B183,SEARCH("Karcher",Общий!B183,1),19),".",""),"-","")),1)+8,8)),VALUE(LEFT(SUBSTITUTE(SUBSTITUTE(Общий!B183,".",""),"-",""),8)))))," ",Общий!C183),0)</f>
        <v>62955530 5</v>
      </c>
      <c r="C183" s="29" t="str">
        <f>Общий!A183</f>
        <v>175</v>
      </c>
      <c r="D183" s="27" t="str">
        <f>Общий!B183</f>
        <v>RM 806 ASF Моющее средство 20л Karcher 6.295-553 код : 000824</v>
      </c>
      <c r="E183" s="28">
        <f>Общий!C183</f>
        <v>5</v>
      </c>
      <c r="F183" s="21"/>
      <c r="G183" s="44"/>
      <c r="H183" s="44"/>
      <c r="I183" s="44"/>
      <c r="J183" s="35"/>
      <c r="K183" s="16"/>
    </row>
    <row r="184" spans="1:11">
      <c r="A184" s="31">
        <f>IFERROR(VALUE(IF(LEN(IFERROR(VALUE(MID(TRIM(SUBSTITUTE(SUBSTITUTE(MID(Общий!B184,SEARCH("Karcher",Общий!B184,1),19),".",""),"-","")),SEARCH("Karcher",TRIM(SUBSTITUTE(SUBSTITUTE(MID(Общий!B184,SEARCH("Karcher",Общий!B184,1),19),".",""),"-","")),1)+8,8)),VALUE(LEFT(SUBSTITUTE(SUBSTITUTE(Общий!B184,".",""),"-",""),8))))=7,CONCATENATE(IFERROR(VALUE(MID(TRIM(SUBSTITUTE(SUBSTITUTE(MID(Общий!B184,SEARCH("Karcher",Общий!B184,1),19),".",""),"-","")),SEARCH("Karcher",TRIM(SUBSTITUTE(SUBSTITUTE(MID(Общий!B184,SEARCH("Karcher",Общий!B184,1),19),".",""),"-","")),1)+8,8)),VALUE(LEFT(SUBSTITUTE(SUBSTITUTE(Общий!B184,".",""),"-",""),8))),"0"),IFERROR(VALUE(MID(TRIM(SUBSTITUTE(SUBSTITUTE(MID(Общий!B184,SEARCH("Karcher",Общий!B184,1),19),".",""),"-","")),SEARCH("Karcher",TRIM(SUBSTITUTE(SUBSTITUTE(MID(Общий!B184,SEARCH("Karcher",Общий!B184,1),19),".",""),"-","")),1)+8,8)),VALUE(LEFT(SUBSTITUTE(SUBSTITUTE(Общий!B184,".",""),"-",""),8))))),0)</f>
        <v>63431680</v>
      </c>
      <c r="B184" s="25" t="str">
        <f>IFERROR(CONCATENATE(VALUE(IF(LEN(IFERROR(VALUE(MID(TRIM(SUBSTITUTE(SUBSTITUTE(MID(Общий!B184,SEARCH("Karcher",Общий!B184,1),19),".",""),"-","")),SEARCH("Karcher",TRIM(SUBSTITUTE(SUBSTITUTE(MID(Общий!B184,SEARCH("Karcher",Общий!B184,1),19),".",""),"-","")),1)+8,8)),VALUE(LEFT(SUBSTITUTE(SUBSTITUTE(Общий!B184,".",""),"-",""),8))))=7,CONCATENATE(IFERROR(VALUE(MID(TRIM(SUBSTITUTE(SUBSTITUTE(MID(Общий!B184,SEARCH("Karcher",Общий!B184,1),19),".",""),"-","")),SEARCH("Karcher",TRIM(SUBSTITUTE(SUBSTITUTE(MID(Общий!B184,SEARCH("Karcher",Общий!B184,1),19),".",""),"-","")),1)+8,8)),VALUE(LEFT(SUBSTITUTE(SUBSTITUTE(Общий!B184,".",""),"-",""),8))),"0"),IFERROR(VALUE(MID(TRIM(SUBSTITUTE(SUBSTITUTE(MID(Общий!B184,SEARCH("Karcher",Общий!B184,1),19),".",""),"-","")),SEARCH("Karcher",TRIM(SUBSTITUTE(SUBSTITUTE(MID(Общий!B184,SEARCH("Karcher",Общий!B184,1),19),".",""),"-","")),1)+8,8)),VALUE(LEFT(SUBSTITUTE(SUBSTITUTE(Общий!B184,".",""),"-",""),8)))))," ",Общий!C184),0)</f>
        <v>63431680 1</v>
      </c>
      <c r="C184" s="29" t="str">
        <f>Общий!A184</f>
        <v>176</v>
      </c>
      <c r="D184" s="27" t="str">
        <f>Общий!B184</f>
        <v>Стопорная шайба Karcher 6.343-168 код : 030201</v>
      </c>
      <c r="E184" s="28">
        <f>Общий!C184</f>
        <v>1</v>
      </c>
      <c r="F184" s="21"/>
      <c r="G184" s="44"/>
      <c r="H184" s="44"/>
      <c r="I184" s="44"/>
      <c r="J184" s="35"/>
      <c r="K184" s="16"/>
    </row>
    <row r="185" spans="1:11">
      <c r="A185" s="31">
        <f>IFERROR(VALUE(IF(LEN(IFERROR(VALUE(MID(TRIM(SUBSTITUTE(SUBSTITUTE(MID(Общий!B185,SEARCH("Karcher",Общий!B185,1),19),".",""),"-","")),SEARCH("Karcher",TRIM(SUBSTITUTE(SUBSTITUTE(MID(Общий!B185,SEARCH("Karcher",Общий!B185,1),19),".",""),"-","")),1)+8,8)),VALUE(LEFT(SUBSTITUTE(SUBSTITUTE(Общий!B185,".",""),"-",""),8))))=7,CONCATENATE(IFERROR(VALUE(MID(TRIM(SUBSTITUTE(SUBSTITUTE(MID(Общий!B185,SEARCH("Karcher",Общий!B185,1),19),".",""),"-","")),SEARCH("Karcher",TRIM(SUBSTITUTE(SUBSTITUTE(MID(Общий!B185,SEARCH("Karcher",Общий!B185,1),19),".",""),"-","")),1)+8,8)),VALUE(LEFT(SUBSTITUTE(SUBSTITUTE(Общий!B185,".",""),"-",""),8))),"0"),IFERROR(VALUE(MID(TRIM(SUBSTITUTE(SUBSTITUTE(MID(Общий!B185,SEARCH("Karcher",Общий!B185,1),19),".",""),"-","")),SEARCH("Karcher",TRIM(SUBSTITUTE(SUBSTITUTE(MID(Общий!B185,SEARCH("Karcher",Общий!B185,1),19),".",""),"-","")),1)+8,8)),VALUE(LEFT(SUBSTITUTE(SUBSTITUTE(Общий!B185,".",""),"-",""),8))))),0)</f>
        <v>63624710</v>
      </c>
      <c r="B185" s="25" t="str">
        <f>IFERROR(CONCATENATE(VALUE(IF(LEN(IFERROR(VALUE(MID(TRIM(SUBSTITUTE(SUBSTITUTE(MID(Общий!B185,SEARCH("Karcher",Общий!B185,1),19),".",""),"-","")),SEARCH("Karcher",TRIM(SUBSTITUTE(SUBSTITUTE(MID(Общий!B185,SEARCH("Karcher",Общий!B185,1),19),".",""),"-","")),1)+8,8)),VALUE(LEFT(SUBSTITUTE(SUBSTITUTE(Общий!B185,".",""),"-",""),8))))=7,CONCATENATE(IFERROR(VALUE(MID(TRIM(SUBSTITUTE(SUBSTITUTE(MID(Общий!B185,SEARCH("Karcher",Общий!B185,1),19),".",""),"-","")),SEARCH("Karcher",TRIM(SUBSTITUTE(SUBSTITUTE(MID(Общий!B185,SEARCH("Karcher",Общий!B185,1),19),".",""),"-","")),1)+8,8)),VALUE(LEFT(SUBSTITUTE(SUBSTITUTE(Общий!B185,".",""),"-",""),8))),"0"),IFERROR(VALUE(MID(TRIM(SUBSTITUTE(SUBSTITUTE(MID(Общий!B185,SEARCH("Karcher",Общий!B185,1),19),".",""),"-","")),SEARCH("Karcher",TRIM(SUBSTITUTE(SUBSTITUTE(MID(Общий!B185,SEARCH("Karcher",Общий!B185,1),19),".",""),"-","")),1)+8,8)),VALUE(LEFT(SUBSTITUTE(SUBSTITUTE(Общий!B185,".",""),"-",""),8)))))," ",Общий!C185),0)</f>
        <v>63624710 3</v>
      </c>
      <c r="C185" s="29" t="str">
        <f>Общий!A185</f>
        <v>177</v>
      </c>
      <c r="D185" s="27" t="str">
        <f>Общий!B185</f>
        <v>6362471 Прокладка код : 005115</v>
      </c>
      <c r="E185" s="28">
        <f>Общий!C185</f>
        <v>3</v>
      </c>
      <c r="F185" s="21"/>
      <c r="G185" s="44"/>
      <c r="H185" s="44"/>
      <c r="I185" s="44"/>
      <c r="J185" s="35"/>
      <c r="K185" s="16"/>
    </row>
    <row r="186" spans="1:11">
      <c r="A186" s="31">
        <f>IFERROR(VALUE(IF(LEN(IFERROR(VALUE(MID(TRIM(SUBSTITUTE(SUBSTITUTE(MID(Общий!B186,SEARCH("Karcher",Общий!B186,1),19),".",""),"-","")),SEARCH("Karcher",TRIM(SUBSTITUTE(SUBSTITUTE(MID(Общий!B186,SEARCH("Karcher",Общий!B186,1),19),".",""),"-","")),1)+8,8)),VALUE(LEFT(SUBSTITUTE(SUBSTITUTE(Общий!B186,".",""),"-",""),8))))=7,CONCATENATE(IFERROR(VALUE(MID(TRIM(SUBSTITUTE(SUBSTITUTE(MID(Общий!B186,SEARCH("Karcher",Общий!B186,1),19),".",""),"-","")),SEARCH("Karcher",TRIM(SUBSTITUTE(SUBSTITUTE(MID(Общий!B186,SEARCH("Karcher",Общий!B186,1),19),".",""),"-","")),1)+8,8)),VALUE(LEFT(SUBSTITUTE(SUBSTITUTE(Общий!B186,".",""),"-",""),8))),"0"),IFERROR(VALUE(MID(TRIM(SUBSTITUTE(SUBSTITUTE(MID(Общий!B186,SEARCH("Karcher",Общий!B186,1),19),".",""),"-","")),SEARCH("Karcher",TRIM(SUBSTITUTE(SUBSTITUTE(MID(Общий!B186,SEARCH("Karcher",Общий!B186,1),19),".",""),"-","")),1)+8,8)),VALUE(LEFT(SUBSTITUTE(SUBSTITUTE(Общий!B186,".",""),"-",""),8))))),0)</f>
        <v>63624980</v>
      </c>
      <c r="B186" s="25" t="str">
        <f>IFERROR(CONCATENATE(VALUE(IF(LEN(IFERROR(VALUE(MID(TRIM(SUBSTITUTE(SUBSTITUTE(MID(Общий!B186,SEARCH("Karcher",Общий!B186,1),19),".",""),"-","")),SEARCH("Karcher",TRIM(SUBSTITUTE(SUBSTITUTE(MID(Общий!B186,SEARCH("Karcher",Общий!B186,1),19),".",""),"-","")),1)+8,8)),VALUE(LEFT(SUBSTITUTE(SUBSTITUTE(Общий!B186,".",""),"-",""),8))))=7,CONCATENATE(IFERROR(VALUE(MID(TRIM(SUBSTITUTE(SUBSTITUTE(MID(Общий!B186,SEARCH("Karcher",Общий!B186,1),19),".",""),"-","")),SEARCH("Karcher",TRIM(SUBSTITUTE(SUBSTITUTE(MID(Общий!B186,SEARCH("Karcher",Общий!B186,1),19),".",""),"-","")),1)+8,8)),VALUE(LEFT(SUBSTITUTE(SUBSTITUTE(Общий!B186,".",""),"-",""),8))),"0"),IFERROR(VALUE(MID(TRIM(SUBSTITUTE(SUBSTITUTE(MID(Общий!B186,SEARCH("Karcher",Общий!B186,1),19),".",""),"-","")),SEARCH("Karcher",TRIM(SUBSTITUTE(SUBSTITUTE(MID(Общий!B186,SEARCH("Karcher",Общий!B186,1),19),".",""),"-","")),1)+8,8)),VALUE(LEFT(SUBSTITUTE(SUBSTITUTE(Общий!B186,".",""),"-",""),8)))))," ",Общий!C186),0)</f>
        <v>63624980 5</v>
      </c>
      <c r="C186" s="29" t="str">
        <f>Общий!A186</f>
        <v>178</v>
      </c>
      <c r="D186" s="27" t="str">
        <f>Общий!B186</f>
        <v>6362498 Кольцо круглого сечения 6,75 х 1,78 NBR Karcher код : 005082</v>
      </c>
      <c r="E186" s="28">
        <f>Общий!C186</f>
        <v>5</v>
      </c>
      <c r="F186" s="21"/>
      <c r="G186" s="44"/>
      <c r="H186" s="44"/>
      <c r="I186" s="44"/>
      <c r="J186" s="35"/>
      <c r="K186" s="16"/>
    </row>
    <row r="187" spans="1:11">
      <c r="A187" s="31">
        <f>IFERROR(VALUE(IF(LEN(IFERROR(VALUE(MID(TRIM(SUBSTITUTE(SUBSTITUTE(MID(Общий!B187,SEARCH("Karcher",Общий!B187,1),19),".",""),"-","")),SEARCH("Karcher",TRIM(SUBSTITUTE(SUBSTITUTE(MID(Общий!B187,SEARCH("Karcher",Общий!B187,1),19),".",""),"-","")),1)+8,8)),VALUE(LEFT(SUBSTITUTE(SUBSTITUTE(Общий!B187,".",""),"-",""),8))))=7,CONCATENATE(IFERROR(VALUE(MID(TRIM(SUBSTITUTE(SUBSTITUTE(MID(Общий!B187,SEARCH("Karcher",Общий!B187,1),19),".",""),"-","")),SEARCH("Karcher",TRIM(SUBSTITUTE(SUBSTITUTE(MID(Общий!B187,SEARCH("Karcher",Общий!B187,1),19),".",""),"-","")),1)+8,8)),VALUE(LEFT(SUBSTITUTE(SUBSTITUTE(Общий!B187,".",""),"-",""),8))),"0"),IFERROR(VALUE(MID(TRIM(SUBSTITUTE(SUBSTITUTE(MID(Общий!B187,SEARCH("Karcher",Общий!B187,1),19),".",""),"-","")),SEARCH("Karcher",TRIM(SUBSTITUTE(SUBSTITUTE(MID(Общий!B187,SEARCH("Karcher",Общий!B187,1),19),".",""),"-","")),1)+8,8)),VALUE(LEFT(SUBSTITUTE(SUBSTITUTE(Общий!B187,".",""),"-",""),8))))),0)</f>
        <v>63636330</v>
      </c>
      <c r="B187" s="25" t="str">
        <f>IFERROR(CONCATENATE(VALUE(IF(LEN(IFERROR(VALUE(MID(TRIM(SUBSTITUTE(SUBSTITUTE(MID(Общий!B187,SEARCH("Karcher",Общий!B187,1),19),".",""),"-","")),SEARCH("Karcher",TRIM(SUBSTITUTE(SUBSTITUTE(MID(Общий!B187,SEARCH("Karcher",Общий!B187,1),19),".",""),"-","")),1)+8,8)),VALUE(LEFT(SUBSTITUTE(SUBSTITUTE(Общий!B187,".",""),"-",""),8))))=7,CONCATENATE(IFERROR(VALUE(MID(TRIM(SUBSTITUTE(SUBSTITUTE(MID(Общий!B187,SEARCH("Karcher",Общий!B187,1),19),".",""),"-","")),SEARCH("Karcher",TRIM(SUBSTITUTE(SUBSTITUTE(MID(Общий!B187,SEARCH("Karcher",Общий!B187,1),19),".",""),"-","")),1)+8,8)),VALUE(LEFT(SUBSTITUTE(SUBSTITUTE(Общий!B187,".",""),"-",""),8))),"0"),IFERROR(VALUE(MID(TRIM(SUBSTITUTE(SUBSTITUTE(MID(Общий!B187,SEARCH("Karcher",Общий!B187,1),19),".",""),"-","")),SEARCH("Karcher",TRIM(SUBSTITUTE(SUBSTITUTE(MID(Общий!B187,SEARCH("Karcher",Общий!B187,1),19),".",""),"-","")),1)+8,8)),VALUE(LEFT(SUBSTITUTE(SUBSTITUTE(Общий!B187,".",""),"-",""),8)))))," ",Общий!C187),0)</f>
        <v>63636330 30</v>
      </c>
      <c r="C187" s="29" t="str">
        <f>Общий!A187</f>
        <v>179</v>
      </c>
      <c r="D187" s="27" t="str">
        <f>Общий!B187</f>
        <v>6363633 З/ч Karcher *6* код : 005325</v>
      </c>
      <c r="E187" s="28">
        <f>Общий!C187</f>
        <v>30</v>
      </c>
      <c r="F187" s="21"/>
      <c r="G187" s="44"/>
      <c r="H187" s="44"/>
      <c r="I187" s="44"/>
      <c r="J187" s="35"/>
      <c r="K187" s="16"/>
    </row>
    <row r="188" spans="1:11">
      <c r="A188" s="31">
        <f>IFERROR(VALUE(IF(LEN(IFERROR(VALUE(MID(TRIM(SUBSTITUTE(SUBSTITUTE(MID(Общий!B188,SEARCH("Karcher",Общий!B188,1),19),".",""),"-","")),SEARCH("Karcher",TRIM(SUBSTITUTE(SUBSTITUTE(MID(Общий!B188,SEARCH("Karcher",Общий!B188,1),19),".",""),"-","")),1)+8,8)),VALUE(LEFT(SUBSTITUTE(SUBSTITUTE(Общий!B188,".",""),"-",""),8))))=7,CONCATENATE(IFERROR(VALUE(MID(TRIM(SUBSTITUTE(SUBSTITUTE(MID(Общий!B188,SEARCH("Karcher",Общий!B188,1),19),".",""),"-","")),SEARCH("Karcher",TRIM(SUBSTITUTE(SUBSTITUTE(MID(Общий!B188,SEARCH("Karcher",Общий!B188,1),19),".",""),"-","")),1)+8,8)),VALUE(LEFT(SUBSTITUTE(SUBSTITUTE(Общий!B188,".",""),"-",""),8))),"0"),IFERROR(VALUE(MID(TRIM(SUBSTITUTE(SUBSTITUTE(MID(Общий!B188,SEARCH("Karcher",Общий!B188,1),19),".",""),"-","")),SEARCH("Karcher",TRIM(SUBSTITUTE(SUBSTITUTE(MID(Общий!B188,SEARCH("Karcher",Общий!B188,1),19),".",""),"-","")),1)+8,8)),VALUE(LEFT(SUBSTITUTE(SUBSTITUTE(Общий!B188,".",""),"-",""),8))))),0)</f>
        <v>63653400</v>
      </c>
      <c r="B188" s="25" t="str">
        <f>IFERROR(CONCATENATE(VALUE(IF(LEN(IFERROR(VALUE(MID(TRIM(SUBSTITUTE(SUBSTITUTE(MID(Общий!B188,SEARCH("Karcher",Общий!B188,1),19),".",""),"-","")),SEARCH("Karcher",TRIM(SUBSTITUTE(SUBSTITUTE(MID(Общий!B188,SEARCH("Karcher",Общий!B188,1),19),".",""),"-","")),1)+8,8)),VALUE(LEFT(SUBSTITUTE(SUBSTITUTE(Общий!B188,".",""),"-",""),8))))=7,CONCATENATE(IFERROR(VALUE(MID(TRIM(SUBSTITUTE(SUBSTITUTE(MID(Общий!B188,SEARCH("Karcher",Общий!B188,1),19),".",""),"-","")),SEARCH("Karcher",TRIM(SUBSTITUTE(SUBSTITUTE(MID(Общий!B188,SEARCH("Karcher",Общий!B188,1),19),".",""),"-","")),1)+8,8)),VALUE(LEFT(SUBSTITUTE(SUBSTITUTE(Общий!B188,".",""),"-",""),8))),"0"),IFERROR(VALUE(MID(TRIM(SUBSTITUTE(SUBSTITUTE(MID(Общий!B188,SEARCH("Karcher",Общий!B188,1),19),".",""),"-","")),SEARCH("Karcher",TRIM(SUBSTITUTE(SUBSTITUTE(MID(Общий!B188,SEARCH("Karcher",Общий!B188,1),19),".",""),"-","")),1)+8,8)),VALUE(LEFT(SUBSTITUTE(SUBSTITUTE(Общий!B188,".",""),"-",""),8)))))," ",Общий!C188),0)</f>
        <v>63653400 6</v>
      </c>
      <c r="C188" s="29" t="str">
        <f>Общий!A188</f>
        <v>180</v>
      </c>
      <c r="D188" s="27" t="str">
        <f>Общий!B188</f>
        <v>6365340 Сальник масло HD7/18 6/15      *15* код : 005128</v>
      </c>
      <c r="E188" s="28">
        <f>Общий!C188</f>
        <v>6</v>
      </c>
      <c r="F188" s="21"/>
      <c r="G188" s="44"/>
      <c r="H188" s="44"/>
      <c r="I188" s="44"/>
      <c r="J188" s="35"/>
      <c r="K188" s="16"/>
    </row>
    <row r="189" spans="1:11">
      <c r="A189" s="31">
        <f>IFERROR(VALUE(IF(LEN(IFERROR(VALUE(MID(TRIM(SUBSTITUTE(SUBSTITUTE(MID(Общий!B189,SEARCH("Karcher",Общий!B189,1),19),".",""),"-","")),SEARCH("Karcher",TRIM(SUBSTITUTE(SUBSTITUTE(MID(Общий!B189,SEARCH("Karcher",Общий!B189,1),19),".",""),"-","")),1)+8,8)),VALUE(LEFT(SUBSTITUTE(SUBSTITUTE(Общий!B189,".",""),"-",""),8))))=7,CONCATENATE(IFERROR(VALUE(MID(TRIM(SUBSTITUTE(SUBSTITUTE(MID(Общий!B189,SEARCH("Karcher",Общий!B189,1),19),".",""),"-","")),SEARCH("Karcher",TRIM(SUBSTITUTE(SUBSTITUTE(MID(Общий!B189,SEARCH("Karcher",Общий!B189,1),19),".",""),"-","")),1)+8,8)),VALUE(LEFT(SUBSTITUTE(SUBSTITUTE(Общий!B189,".",""),"-",""),8))),"0"),IFERROR(VALUE(MID(TRIM(SUBSTITUTE(SUBSTITUTE(MID(Общий!B189,SEARCH("Karcher",Общий!B189,1),19),".",""),"-","")),SEARCH("Karcher",TRIM(SUBSTITUTE(SUBSTITUTE(MID(Общий!B189,SEARCH("Karcher",Общий!B189,1),19),".",""),"-","")),1)+8,8)),VALUE(LEFT(SUBSTITUTE(SUBSTITUTE(Общий!B189,".",""),"-",""),8))))),0)</f>
        <v>63654933</v>
      </c>
      <c r="B189" s="25" t="str">
        <f>IFERROR(CONCATENATE(VALUE(IF(LEN(IFERROR(VALUE(MID(TRIM(SUBSTITUTE(SUBSTITUTE(MID(Общий!B189,SEARCH("Karcher",Общий!B189,1),19),".",""),"-","")),SEARCH("Karcher",TRIM(SUBSTITUTE(SUBSTITUTE(MID(Общий!B189,SEARCH("Karcher",Общий!B189,1),19),".",""),"-","")),1)+8,8)),VALUE(LEFT(SUBSTITUTE(SUBSTITUTE(Общий!B189,".",""),"-",""),8))))=7,CONCATENATE(IFERROR(VALUE(MID(TRIM(SUBSTITUTE(SUBSTITUTE(MID(Общий!B189,SEARCH("Karcher",Общий!B189,1),19),".",""),"-","")),SEARCH("Karcher",TRIM(SUBSTITUTE(SUBSTITUTE(MID(Общий!B189,SEARCH("Karcher",Общий!B189,1),19),".",""),"-","")),1)+8,8)),VALUE(LEFT(SUBSTITUTE(SUBSTITUTE(Общий!B189,".",""),"-",""),8))),"0"),IFERROR(VALUE(MID(TRIM(SUBSTITUTE(SUBSTITUTE(MID(Общий!B189,SEARCH("Karcher",Общий!B189,1),19),".",""),"-","")),SEARCH("Karcher",TRIM(SUBSTITUTE(SUBSTITUTE(MID(Общий!B189,SEARCH("Karcher",Общий!B189,1),19),".",""),"-","")),1)+8,8)),VALUE(LEFT(SUBSTITUTE(SUBSTITUTE(Общий!B189,".",""),"-",""),8)))))," ",Общий!C189),0)</f>
        <v>63654933 3</v>
      </c>
      <c r="C189" s="29" t="str">
        <f>Общий!A189</f>
        <v>181</v>
      </c>
      <c r="D189" s="27" t="str">
        <f>Общий!B189</f>
        <v>63654933 *Сальник ВД Karcher код : 005316</v>
      </c>
      <c r="E189" s="28">
        <f>Общий!C189</f>
        <v>3</v>
      </c>
      <c r="F189" s="21"/>
      <c r="G189" s="44"/>
      <c r="H189" s="44"/>
      <c r="I189" s="44"/>
      <c r="J189" s="35"/>
      <c r="K189" s="16"/>
    </row>
    <row r="190" spans="1:11">
      <c r="A190" s="31">
        <f>IFERROR(VALUE(IF(LEN(IFERROR(VALUE(MID(TRIM(SUBSTITUTE(SUBSTITUTE(MID(Общий!B190,SEARCH("Karcher",Общий!B190,1),19),".",""),"-","")),SEARCH("Karcher",TRIM(SUBSTITUTE(SUBSTITUTE(MID(Общий!B190,SEARCH("Karcher",Общий!B190,1),19),".",""),"-","")),1)+8,8)),VALUE(LEFT(SUBSTITUTE(SUBSTITUTE(Общий!B190,".",""),"-",""),8))))=7,CONCATENATE(IFERROR(VALUE(MID(TRIM(SUBSTITUTE(SUBSTITUTE(MID(Общий!B190,SEARCH("Karcher",Общий!B190,1),19),".",""),"-","")),SEARCH("Karcher",TRIM(SUBSTITUTE(SUBSTITUTE(MID(Общий!B190,SEARCH("Karcher",Общий!B190,1),19),".",""),"-","")),1)+8,8)),VALUE(LEFT(SUBSTITUTE(SUBSTITUTE(Общий!B190,".",""),"-",""),8))),"0"),IFERROR(VALUE(MID(TRIM(SUBSTITUTE(SUBSTITUTE(MID(Общий!B190,SEARCH("Karcher",Общий!B190,1),19),".",""),"-","")),SEARCH("Karcher",TRIM(SUBSTITUTE(SUBSTITUTE(MID(Общий!B190,SEARCH("Karcher",Общий!B190,1),19),".",""),"-","")),1)+8,8)),VALUE(LEFT(SUBSTITUTE(SUBSTITUTE(Общий!B190,".",""),"-",""),8))))),0)</f>
        <v>63654953</v>
      </c>
      <c r="B190" s="25" t="str">
        <f>IFERROR(CONCATENATE(VALUE(IF(LEN(IFERROR(VALUE(MID(TRIM(SUBSTITUTE(SUBSTITUTE(MID(Общий!B190,SEARCH("Karcher",Общий!B190,1),19),".",""),"-","")),SEARCH("Karcher",TRIM(SUBSTITUTE(SUBSTITUTE(MID(Общий!B190,SEARCH("Karcher",Общий!B190,1),19),".",""),"-","")),1)+8,8)),VALUE(LEFT(SUBSTITUTE(SUBSTITUTE(Общий!B190,".",""),"-",""),8))))=7,CONCATENATE(IFERROR(VALUE(MID(TRIM(SUBSTITUTE(SUBSTITUTE(MID(Общий!B190,SEARCH("Karcher",Общий!B190,1),19),".",""),"-","")),SEARCH("Karcher",TRIM(SUBSTITUTE(SUBSTITUTE(MID(Общий!B190,SEARCH("Karcher",Общий!B190,1),19),".",""),"-","")),1)+8,8)),VALUE(LEFT(SUBSTITUTE(SUBSTITUTE(Общий!B190,".",""),"-",""),8))),"0"),IFERROR(VALUE(MID(TRIM(SUBSTITUTE(SUBSTITUTE(MID(Общий!B190,SEARCH("Karcher",Общий!B190,1),19),".",""),"-","")),SEARCH("Karcher",TRIM(SUBSTITUTE(SUBSTITUTE(MID(Общий!B190,SEARCH("Karcher",Общий!B190,1),19),".",""),"-","")),1)+8,8)),VALUE(LEFT(SUBSTITUTE(SUBSTITUTE(Общий!B190,".",""),"-",""),8)))))," ",Общий!C190),0)</f>
        <v>63654953 9</v>
      </c>
      <c r="C190" s="29" t="str">
        <f>Общий!A190</f>
        <v>182</v>
      </c>
      <c r="D190" s="27" t="str">
        <f>Общий!B190</f>
        <v>63654953 *Сальник НД Karcher код : 005317</v>
      </c>
      <c r="E190" s="28">
        <f>Общий!C190</f>
        <v>9</v>
      </c>
      <c r="F190" s="21"/>
      <c r="G190" s="44"/>
      <c r="H190" s="44"/>
      <c r="I190" s="44"/>
      <c r="J190" s="35"/>
      <c r="K190" s="16"/>
    </row>
    <row r="191" spans="1:11">
      <c r="A191" s="31">
        <f>IFERROR(VALUE(IF(LEN(IFERROR(VALUE(MID(TRIM(SUBSTITUTE(SUBSTITUTE(MID(Общий!B191,SEARCH("Karcher",Общий!B191,1),19),".",""),"-","")),SEARCH("Karcher",TRIM(SUBSTITUTE(SUBSTITUTE(MID(Общий!B191,SEARCH("Karcher",Общий!B191,1),19),".",""),"-","")),1)+8,8)),VALUE(LEFT(SUBSTITUTE(SUBSTITUTE(Общий!B191,".",""),"-",""),8))))=7,CONCATENATE(IFERROR(VALUE(MID(TRIM(SUBSTITUTE(SUBSTITUTE(MID(Общий!B191,SEARCH("Karcher",Общий!B191,1),19),".",""),"-","")),SEARCH("Karcher",TRIM(SUBSTITUTE(SUBSTITUTE(MID(Общий!B191,SEARCH("Karcher",Общий!B191,1),19),".",""),"-","")),1)+8,8)),VALUE(LEFT(SUBSTITUTE(SUBSTITUTE(Общий!B191,".",""),"-",""),8))),"0"),IFERROR(VALUE(MID(TRIM(SUBSTITUTE(SUBSTITUTE(MID(Общий!B191,SEARCH("Karcher",Общий!B191,1),19),".",""),"-","")),SEARCH("Karcher",TRIM(SUBSTITUTE(SUBSTITUTE(MID(Общий!B191,SEARCH("Karcher",Общий!B191,1),19),".",""),"-","")),1)+8,8)),VALUE(LEFT(SUBSTITUTE(SUBSTITUTE(Общий!B191,".",""),"-",""),8))))),0)</f>
        <v>63660390</v>
      </c>
      <c r="B191" s="25" t="str">
        <f>IFERROR(CONCATENATE(VALUE(IF(LEN(IFERROR(VALUE(MID(TRIM(SUBSTITUTE(SUBSTITUTE(MID(Общий!B191,SEARCH("Karcher",Общий!B191,1),19),".",""),"-","")),SEARCH("Karcher",TRIM(SUBSTITUTE(SUBSTITUTE(MID(Общий!B191,SEARCH("Karcher",Общий!B191,1),19),".",""),"-","")),1)+8,8)),VALUE(LEFT(SUBSTITUTE(SUBSTITUTE(Общий!B191,".",""),"-",""),8))))=7,CONCATENATE(IFERROR(VALUE(MID(TRIM(SUBSTITUTE(SUBSTITUTE(MID(Общий!B191,SEARCH("Karcher",Общий!B191,1),19),".",""),"-","")),SEARCH("Karcher",TRIM(SUBSTITUTE(SUBSTITUTE(MID(Общий!B191,SEARCH("Karcher",Общий!B191,1),19),".",""),"-","")),1)+8,8)),VALUE(LEFT(SUBSTITUTE(SUBSTITUTE(Общий!B191,".",""),"-",""),8))),"0"),IFERROR(VALUE(MID(TRIM(SUBSTITUTE(SUBSTITUTE(MID(Общий!B191,SEARCH("Karcher",Общий!B191,1),19),".",""),"-","")),SEARCH("Karcher",TRIM(SUBSTITUTE(SUBSTITUTE(MID(Общий!B191,SEARCH("Karcher",Общий!B191,1),19),".",""),"-","")),1)+8,8)),VALUE(LEFT(SUBSTITUTE(SUBSTITUTE(Общий!B191,".",""),"-",""),8)))))," ",Общий!C191),0)</f>
        <v>63660390 1</v>
      </c>
      <c r="C191" s="29" t="str">
        <f>Общий!A191</f>
        <v>183</v>
      </c>
      <c r="D191" s="27" t="str">
        <f>Общий!B191</f>
        <v>6366039 Уплотнительный шнур Karcher код : 005208</v>
      </c>
      <c r="E191" s="28">
        <f>Общий!C191</f>
        <v>1</v>
      </c>
      <c r="F191" s="21"/>
      <c r="G191" s="44"/>
      <c r="H191" s="44"/>
      <c r="I191" s="44"/>
      <c r="J191" s="35"/>
      <c r="K191" s="16"/>
    </row>
    <row r="192" spans="1:11">
      <c r="A192" s="31">
        <f>IFERROR(VALUE(IF(LEN(IFERROR(VALUE(MID(TRIM(SUBSTITUTE(SUBSTITUTE(MID(Общий!B192,SEARCH("Karcher",Общий!B192,1),19),".",""),"-","")),SEARCH("Karcher",TRIM(SUBSTITUTE(SUBSTITUTE(MID(Общий!B192,SEARCH("Karcher",Общий!B192,1),19),".",""),"-","")),1)+8,8)),VALUE(LEFT(SUBSTITUTE(SUBSTITUTE(Общий!B192,".",""),"-",""),8))))=7,CONCATENATE(IFERROR(VALUE(MID(TRIM(SUBSTITUTE(SUBSTITUTE(MID(Общий!B192,SEARCH("Karcher",Общий!B192,1),19),".",""),"-","")),SEARCH("Karcher",TRIM(SUBSTITUTE(SUBSTITUTE(MID(Общий!B192,SEARCH("Karcher",Общий!B192,1),19),".",""),"-","")),1)+8,8)),VALUE(LEFT(SUBSTITUTE(SUBSTITUTE(Общий!B192,".",""),"-",""),8))),"0"),IFERROR(VALUE(MID(TRIM(SUBSTITUTE(SUBSTITUTE(MID(Общий!B192,SEARCH("Karcher",Общий!B192,1),19),".",""),"-","")),SEARCH("Karcher",TRIM(SUBSTITUTE(SUBSTITUTE(MID(Общий!B192,SEARCH("Karcher",Общий!B192,1),19),".",""),"-","")),1)+8,8)),VALUE(LEFT(SUBSTITUTE(SUBSTITUTE(Общий!B192,".",""),"-",""),8))))),0)</f>
        <v>64149630</v>
      </c>
      <c r="B192" s="25" t="str">
        <f>IFERROR(CONCATENATE(VALUE(IF(LEN(IFERROR(VALUE(MID(TRIM(SUBSTITUTE(SUBSTITUTE(MID(Общий!B192,SEARCH("Karcher",Общий!B192,1),19),".",""),"-","")),SEARCH("Karcher",TRIM(SUBSTITUTE(SUBSTITUTE(MID(Общий!B192,SEARCH("Karcher",Общий!B192,1),19),".",""),"-","")),1)+8,8)),VALUE(LEFT(SUBSTITUTE(SUBSTITUTE(Общий!B192,".",""),"-",""),8))))=7,CONCATENATE(IFERROR(VALUE(MID(TRIM(SUBSTITUTE(SUBSTITUTE(MID(Общий!B192,SEARCH("Karcher",Общий!B192,1),19),".",""),"-","")),SEARCH("Karcher",TRIM(SUBSTITUTE(SUBSTITUTE(MID(Общий!B192,SEARCH("Karcher",Общий!B192,1),19),".",""),"-","")),1)+8,8)),VALUE(LEFT(SUBSTITUTE(SUBSTITUTE(Общий!B192,".",""),"-",""),8))),"0"),IFERROR(VALUE(MID(TRIM(SUBSTITUTE(SUBSTITUTE(MID(Общий!B192,SEARCH("Karcher",Общий!B192,1),19),".",""),"-","")),SEARCH("Karcher",TRIM(SUBSTITUTE(SUBSTITUTE(MID(Общий!B192,SEARCH("Karcher",Общий!B192,1),19),".",""),"-","")),1)+8,8)),VALUE(LEFT(SUBSTITUTE(SUBSTITUTE(Общий!B192,".",""),"-",""),8)))))," ",Общий!C192),0)</f>
        <v>64149630 5</v>
      </c>
      <c r="C192" s="29" t="str">
        <f>Общий!A192</f>
        <v>184</v>
      </c>
      <c r="D192" s="27" t="str">
        <f>Общий!B192</f>
        <v>Фильтр НЕРА 13 (DS5500/ 5600 mediclean) Karcher 6.414-963 код : 001731</v>
      </c>
      <c r="E192" s="28">
        <f>Общий!C192</f>
        <v>5</v>
      </c>
      <c r="F192" s="21"/>
      <c r="G192" s="44"/>
      <c r="H192" s="44"/>
      <c r="I192" s="44"/>
      <c r="J192" s="35"/>
      <c r="K192" s="16"/>
    </row>
    <row r="193" spans="1:11">
      <c r="A193" s="31">
        <f>IFERROR(VALUE(IF(LEN(IFERROR(VALUE(MID(TRIM(SUBSTITUTE(SUBSTITUTE(MID(Общий!B193,SEARCH("Karcher",Общий!B193,1),19),".",""),"-","")),SEARCH("Karcher",TRIM(SUBSTITUTE(SUBSTITUTE(MID(Общий!B193,SEARCH("Karcher",Общий!B193,1),19),".",""),"-","")),1)+8,8)),VALUE(LEFT(SUBSTITUTE(SUBSTITUTE(Общий!B193,".",""),"-",""),8))))=7,CONCATENATE(IFERROR(VALUE(MID(TRIM(SUBSTITUTE(SUBSTITUTE(MID(Общий!B193,SEARCH("Karcher",Общий!B193,1),19),".",""),"-","")),SEARCH("Karcher",TRIM(SUBSTITUTE(SUBSTITUTE(MID(Общий!B193,SEARCH("Karcher",Общий!B193,1),19),".",""),"-","")),1)+8,8)),VALUE(LEFT(SUBSTITUTE(SUBSTITUTE(Общий!B193,".",""),"-",""),8))),"0"),IFERROR(VALUE(MID(TRIM(SUBSTITUTE(SUBSTITUTE(MID(Общий!B193,SEARCH("Karcher",Общий!B193,1),19),".",""),"-","")),SEARCH("Karcher",TRIM(SUBSTITUTE(SUBSTITUTE(MID(Общий!B193,SEARCH("Karcher",Общий!B193,1),19),".",""),"-","")),1)+8,8)),VALUE(LEFT(SUBSTITUTE(SUBSTITUTE(Общий!B193,".",""),"-",""),8))))),0)</f>
        <v>64149760</v>
      </c>
      <c r="B193" s="25" t="str">
        <f>IFERROR(CONCATENATE(VALUE(IF(LEN(IFERROR(VALUE(MID(TRIM(SUBSTITUTE(SUBSTITUTE(MID(Общий!B193,SEARCH("Karcher",Общий!B193,1),19),".",""),"-","")),SEARCH("Karcher",TRIM(SUBSTITUTE(SUBSTITUTE(MID(Общий!B193,SEARCH("Karcher",Общий!B193,1),19),".",""),"-","")),1)+8,8)),VALUE(LEFT(SUBSTITUTE(SUBSTITUTE(Общий!B193,".",""),"-",""),8))))=7,CONCATENATE(IFERROR(VALUE(MID(TRIM(SUBSTITUTE(SUBSTITUTE(MID(Общий!B193,SEARCH("Karcher",Общий!B193,1),19),".",""),"-","")),SEARCH("Karcher",TRIM(SUBSTITUTE(SUBSTITUTE(MID(Общий!B193,SEARCH("Karcher",Общий!B193,1),19),".",""),"-","")),1)+8,8)),VALUE(LEFT(SUBSTITUTE(SUBSTITUTE(Общий!B193,".",""),"-",""),8))),"0"),IFERROR(VALUE(MID(TRIM(SUBSTITUTE(SUBSTITUTE(MID(Общий!B193,SEARCH("Karcher",Общий!B193,1),19),".",""),"-","")),SEARCH("Karcher",TRIM(SUBSTITUTE(SUBSTITUTE(MID(Общий!B193,SEARCH("Karcher",Общий!B193,1),19),".",""),"-","")),1)+8,8)),VALUE(LEFT(SUBSTITUTE(SUBSTITUTE(Общий!B193,".",""),"-",""),8)))))," ",Общий!C193),0)</f>
        <v>64149760 1</v>
      </c>
      <c r="C193" s="29" t="str">
        <f>Общий!A193</f>
        <v>185</v>
      </c>
      <c r="D193" s="27" t="str">
        <f>Общий!B193</f>
        <v>6414976 Фильтр только для замены Karcher код : 030500</v>
      </c>
      <c r="E193" s="28">
        <f>Общий!C193</f>
        <v>1</v>
      </c>
      <c r="F193" s="21"/>
      <c r="G193" s="44"/>
      <c r="H193" s="44"/>
      <c r="I193" s="44"/>
      <c r="J193" s="35"/>
      <c r="K193" s="16"/>
    </row>
    <row r="194" spans="1:11">
      <c r="A194" s="31">
        <f>IFERROR(VALUE(IF(LEN(IFERROR(VALUE(MID(TRIM(SUBSTITUTE(SUBSTITUTE(MID(Общий!B194,SEARCH("Karcher",Общий!B194,1),19),".",""),"-","")),SEARCH("Karcher",TRIM(SUBSTITUTE(SUBSTITUTE(MID(Общий!B194,SEARCH("Karcher",Общий!B194,1),19),".",""),"-","")),1)+8,8)),VALUE(LEFT(SUBSTITUTE(SUBSTITUTE(Общий!B194,".",""),"-",""),8))))=7,CONCATENATE(IFERROR(VALUE(MID(TRIM(SUBSTITUTE(SUBSTITUTE(MID(Общий!B194,SEARCH("Karcher",Общий!B194,1),19),".",""),"-","")),SEARCH("Karcher",TRIM(SUBSTITUTE(SUBSTITUTE(MID(Общий!B194,SEARCH("Karcher",Общий!B194,1),19),".",""),"-","")),1)+8,8)),VALUE(LEFT(SUBSTITUTE(SUBSTITUTE(Общий!B194,".",""),"-",""),8))),"0"),IFERROR(VALUE(MID(TRIM(SUBSTITUTE(SUBSTITUTE(MID(Общий!B194,SEARCH("Karcher",Общий!B194,1),19),".",""),"-","")),SEARCH("Karcher",TRIM(SUBSTITUTE(SUBSTITUTE(MID(Общий!B194,SEARCH("Karcher",Общий!B194,1),19),".",""),"-","")),1)+8,8)),VALUE(LEFT(SUBSTITUTE(SUBSTITUTE(Общий!B194,".",""),"-",""),8))))),0)</f>
        <v>64155300</v>
      </c>
      <c r="B194" s="25" t="str">
        <f>IFERROR(CONCATENATE(VALUE(IF(LEN(IFERROR(VALUE(MID(TRIM(SUBSTITUTE(SUBSTITUTE(MID(Общий!B194,SEARCH("Karcher",Общий!B194,1),19),".",""),"-","")),SEARCH("Karcher",TRIM(SUBSTITUTE(SUBSTITUTE(MID(Общий!B194,SEARCH("Karcher",Общий!B194,1),19),".",""),"-","")),1)+8,8)),VALUE(LEFT(SUBSTITUTE(SUBSTITUTE(Общий!B194,".",""),"-",""),8))))=7,CONCATENATE(IFERROR(VALUE(MID(TRIM(SUBSTITUTE(SUBSTITUTE(MID(Общий!B194,SEARCH("Karcher",Общий!B194,1),19),".",""),"-","")),SEARCH("Karcher",TRIM(SUBSTITUTE(SUBSTITUTE(MID(Общий!B194,SEARCH("Karcher",Общий!B194,1),19),".",""),"-","")),1)+8,8)),VALUE(LEFT(SUBSTITUTE(SUBSTITUTE(Общий!B194,".",""),"-",""),8))),"0"),IFERROR(VALUE(MID(TRIM(SUBSTITUTE(SUBSTITUTE(MID(Общий!B194,SEARCH("Karcher",Общий!B194,1),19),".",""),"-","")),SEARCH("Karcher",TRIM(SUBSTITUTE(SUBSTITUTE(MID(Общий!B194,SEARCH("Karcher",Общий!B194,1),19),".",""),"-","")),1)+8,8)),VALUE(LEFT(SUBSTITUTE(SUBSTITUTE(Общий!B194,".",""),"-",""),8)))))," ",Общий!C194),0)</f>
        <v>64155300 3</v>
      </c>
      <c r="C194" s="29" t="str">
        <f>Общий!A194</f>
        <v>186</v>
      </c>
      <c r="D194" s="27" t="str">
        <f>Общий!B194</f>
        <v>6415530 Сопло 60 гр Н Karcher код : 005227</v>
      </c>
      <c r="E194" s="28">
        <f>Общий!C194</f>
        <v>3</v>
      </c>
      <c r="F194" s="21"/>
      <c r="G194" s="44"/>
      <c r="H194" s="44"/>
      <c r="I194" s="44"/>
      <c r="J194" s="35"/>
      <c r="K194" s="16"/>
    </row>
    <row r="195" spans="1:11">
      <c r="A195" s="31">
        <f>IFERROR(VALUE(IF(LEN(IFERROR(VALUE(MID(TRIM(SUBSTITUTE(SUBSTITUTE(MID(Общий!B195,SEARCH("Karcher",Общий!B195,1),19),".",""),"-","")),SEARCH("Karcher",TRIM(SUBSTITUTE(SUBSTITUTE(MID(Общий!B195,SEARCH("Karcher",Общий!B195,1),19),".",""),"-","")),1)+8,8)),VALUE(LEFT(SUBSTITUTE(SUBSTITUTE(Общий!B195,".",""),"-",""),8))))=7,CONCATENATE(IFERROR(VALUE(MID(TRIM(SUBSTITUTE(SUBSTITUTE(MID(Общий!B195,SEARCH("Karcher",Общий!B195,1),19),".",""),"-","")),SEARCH("Karcher",TRIM(SUBSTITUTE(SUBSTITUTE(MID(Общий!B195,SEARCH("Karcher",Общий!B195,1),19),".",""),"-","")),1)+8,8)),VALUE(LEFT(SUBSTITUTE(SUBSTITUTE(Общий!B195,".",""),"-",""),8))),"0"),IFERROR(VALUE(MID(TRIM(SUBSTITUTE(SUBSTITUTE(MID(Общий!B195,SEARCH("Karcher",Общий!B195,1),19),".",""),"-","")),SEARCH("Karcher",TRIM(SUBSTITUTE(SUBSTITUTE(MID(Общий!B195,SEARCH("Karcher",Общий!B195,1),19),".",""),"-","")),1)+8,8)),VALUE(LEFT(SUBSTITUTE(SUBSTITUTE(Общий!B195,".",""),"-",""),8))))),0)</f>
        <v>64156600</v>
      </c>
      <c r="B195" s="25" t="str">
        <f>IFERROR(CONCATENATE(VALUE(IF(LEN(IFERROR(VALUE(MID(TRIM(SUBSTITUTE(SUBSTITUTE(MID(Общий!B195,SEARCH("Karcher",Общий!B195,1),19),".",""),"-","")),SEARCH("Karcher",TRIM(SUBSTITUTE(SUBSTITUTE(MID(Общий!B195,SEARCH("Karcher",Общий!B195,1),19),".",""),"-","")),1)+8,8)),VALUE(LEFT(SUBSTITUTE(SUBSTITUTE(Общий!B195,".",""),"-",""),8))))=7,CONCATENATE(IFERROR(VALUE(MID(TRIM(SUBSTITUTE(SUBSTITUTE(MID(Общий!B195,SEARCH("Karcher",Общий!B195,1),19),".",""),"-","")),SEARCH("Karcher",TRIM(SUBSTITUTE(SUBSTITUTE(MID(Общий!B195,SEARCH("Karcher",Общий!B195,1),19),".",""),"-","")),1)+8,8)),VALUE(LEFT(SUBSTITUTE(SUBSTITUTE(Общий!B195,".",""),"-",""),8))),"0"),IFERROR(VALUE(MID(TRIM(SUBSTITUTE(SUBSTITUTE(MID(Общий!B195,SEARCH("Karcher",Общий!B195,1),19),".",""),"-","")),SEARCH("Karcher",TRIM(SUBSTITUTE(SUBSTITUTE(MID(Общий!B195,SEARCH("Karcher",Общий!B195,1),19),".",""),"-","")),1)+8,8)),VALUE(LEFT(SUBSTITUTE(SUBSTITUTE(Общий!B195,".",""),"-",""),8)))))," ",Общий!C195),0)</f>
        <v>64156600 2</v>
      </c>
      <c r="C195" s="29" t="str">
        <f>Общий!A195</f>
        <v>187</v>
      </c>
      <c r="D195" s="27" t="str">
        <f>Общий!B195</f>
        <v>6415660 Форсунка 1,25GPH 60гр S-S Karcher код : 005180</v>
      </c>
      <c r="E195" s="28">
        <f>Общий!C195</f>
        <v>2</v>
      </c>
      <c r="F195" s="21"/>
      <c r="G195" s="44"/>
      <c r="H195" s="44"/>
      <c r="I195" s="44"/>
      <c r="J195" s="35"/>
      <c r="K195" s="16"/>
    </row>
    <row r="196" spans="1:11">
      <c r="A196" s="31">
        <f>IFERROR(VALUE(IF(LEN(IFERROR(VALUE(MID(TRIM(SUBSTITUTE(SUBSTITUTE(MID(Общий!B196,SEARCH("Karcher",Общий!B196,1),19),".",""),"-","")),SEARCH("Karcher",TRIM(SUBSTITUTE(SUBSTITUTE(MID(Общий!B196,SEARCH("Karcher",Общий!B196,1),19),".",""),"-","")),1)+8,8)),VALUE(LEFT(SUBSTITUTE(SUBSTITUTE(Общий!B196,".",""),"-",""),8))))=7,CONCATENATE(IFERROR(VALUE(MID(TRIM(SUBSTITUTE(SUBSTITUTE(MID(Общий!B196,SEARCH("Karcher",Общий!B196,1),19),".",""),"-","")),SEARCH("Karcher",TRIM(SUBSTITUTE(SUBSTITUTE(MID(Общий!B196,SEARCH("Karcher",Общий!B196,1),19),".",""),"-","")),1)+8,8)),VALUE(LEFT(SUBSTITUTE(SUBSTITUTE(Общий!B196,".",""),"-",""),8))),"0"),IFERROR(VALUE(MID(TRIM(SUBSTITUTE(SUBSTITUTE(MID(Общий!B196,SEARCH("Karcher",Общий!B196,1),19),".",""),"-","")),SEARCH("Karcher",TRIM(SUBSTITUTE(SUBSTITUTE(MID(Общий!B196,SEARCH("Karcher",Общий!B196,1),19),".",""),"-","")),1)+8,8)),VALUE(LEFT(SUBSTITUTE(SUBSTITUTE(Общий!B196,".",""),"-",""),8))))),0)</f>
        <v>64351960</v>
      </c>
      <c r="B196" s="25" t="str">
        <f>IFERROR(CONCATENATE(VALUE(IF(LEN(IFERROR(VALUE(MID(TRIM(SUBSTITUTE(SUBSTITUTE(MID(Общий!B196,SEARCH("Karcher",Общий!B196,1),19),".",""),"-","")),SEARCH("Karcher",TRIM(SUBSTITUTE(SUBSTITUTE(MID(Общий!B196,SEARCH("Karcher",Общий!B196,1),19),".",""),"-","")),1)+8,8)),VALUE(LEFT(SUBSTITUTE(SUBSTITUTE(Общий!B196,".",""),"-",""),8))))=7,CONCATENATE(IFERROR(VALUE(MID(TRIM(SUBSTITUTE(SUBSTITUTE(MID(Общий!B196,SEARCH("Karcher",Общий!B196,1),19),".",""),"-","")),SEARCH("Karcher",TRIM(SUBSTITUTE(SUBSTITUTE(MID(Общий!B196,SEARCH("Karcher",Общий!B196,1),19),".",""),"-","")),1)+8,8)),VALUE(LEFT(SUBSTITUTE(SUBSTITUTE(Общий!B196,".",""),"-",""),8))),"0"),IFERROR(VALUE(MID(TRIM(SUBSTITUTE(SUBSTITUTE(MID(Общий!B196,SEARCH("Karcher",Общий!B196,1),19),".",""),"-","")),SEARCH("Karcher",TRIM(SUBSTITUTE(SUBSTITUTE(MID(Общий!B196,SEARCH("Karcher",Общий!B196,1),19),".",""),"-","")),1)+8,8)),VALUE(LEFT(SUBSTITUTE(SUBSTITUTE(Общий!B196,".",""),"-",""),8)))))," ",Общий!C196),0)</f>
        <v>64351960 1</v>
      </c>
      <c r="C196" s="29" t="str">
        <f>Общий!A196</f>
        <v>188</v>
      </c>
      <c r="D196" s="27" t="str">
        <f>Общий!B196</f>
        <v>Колесо D 180 Karcher 6.435-196 код : 030202</v>
      </c>
      <c r="E196" s="28">
        <f>Общий!C196</f>
        <v>1</v>
      </c>
      <c r="F196" s="21"/>
      <c r="G196" s="44"/>
      <c r="H196" s="44"/>
      <c r="I196" s="44"/>
      <c r="J196" s="35"/>
      <c r="K196" s="16"/>
    </row>
    <row r="197" spans="1:11">
      <c r="A197" s="31">
        <f>IFERROR(VALUE(IF(LEN(IFERROR(VALUE(MID(TRIM(SUBSTITUTE(SUBSTITUTE(MID(Общий!B197,SEARCH("Karcher",Общий!B197,1),19),".",""),"-","")),SEARCH("Karcher",TRIM(SUBSTITUTE(SUBSTITUTE(MID(Общий!B197,SEARCH("Karcher",Общий!B197,1),19),".",""),"-","")),1)+8,8)),VALUE(LEFT(SUBSTITUTE(SUBSTITUTE(Общий!B197,".",""),"-",""),8))))=7,CONCATENATE(IFERROR(VALUE(MID(TRIM(SUBSTITUTE(SUBSTITUTE(MID(Общий!B197,SEARCH("Karcher",Общий!B197,1),19),".",""),"-","")),SEARCH("Karcher",TRIM(SUBSTITUTE(SUBSTITUTE(MID(Общий!B197,SEARCH("Karcher",Общий!B197,1),19),".",""),"-","")),1)+8,8)),VALUE(LEFT(SUBSTITUTE(SUBSTITUTE(Общий!B197,".",""),"-",""),8))),"0"),IFERROR(VALUE(MID(TRIM(SUBSTITUTE(SUBSTITUTE(MID(Общий!B197,SEARCH("Karcher",Общий!B197,1),19),".",""),"-","")),SEARCH("Karcher",TRIM(SUBSTITUTE(SUBSTITUTE(MID(Общий!B197,SEARCH("Karcher",Общий!B197,1),19),".",""),"-","")),1)+8,8)),VALUE(LEFT(SUBSTITUTE(SUBSTITUTE(Общий!B197,".",""),"-",""),8))))),0)</f>
        <v>66311900</v>
      </c>
      <c r="B197" s="25" t="str">
        <f>IFERROR(CONCATENATE(VALUE(IF(LEN(IFERROR(VALUE(MID(TRIM(SUBSTITUTE(SUBSTITUTE(MID(Общий!B197,SEARCH("Karcher",Общий!B197,1),19),".",""),"-","")),SEARCH("Karcher",TRIM(SUBSTITUTE(SUBSTITUTE(MID(Общий!B197,SEARCH("Karcher",Общий!B197,1),19),".",""),"-","")),1)+8,8)),VALUE(LEFT(SUBSTITUTE(SUBSTITUTE(Общий!B197,".",""),"-",""),8))))=7,CONCATENATE(IFERROR(VALUE(MID(TRIM(SUBSTITUTE(SUBSTITUTE(MID(Общий!B197,SEARCH("Karcher",Общий!B197,1),19),".",""),"-","")),SEARCH("Karcher",TRIM(SUBSTITUTE(SUBSTITUTE(MID(Общий!B197,SEARCH("Karcher",Общий!B197,1),19),".",""),"-","")),1)+8,8)),VALUE(LEFT(SUBSTITUTE(SUBSTITUTE(Общий!B197,".",""),"-",""),8))),"0"),IFERROR(VALUE(MID(TRIM(SUBSTITUTE(SUBSTITUTE(MID(Общий!B197,SEARCH("Karcher",Общий!B197,1),19),".",""),"-","")),SEARCH("Karcher",TRIM(SUBSTITUTE(SUBSTITUTE(MID(Общий!B197,SEARCH("Karcher",Общий!B197,1),19),".",""),"-","")),1)+8,8)),VALUE(LEFT(SUBSTITUTE(SUBSTITUTE(Общий!B197,".",""),"-",""),8)))))," ",Общий!C197),0)</f>
        <v>66311900 1</v>
      </c>
      <c r="C197" s="29" t="str">
        <f>Общий!A197</f>
        <v>189</v>
      </c>
      <c r="D197" s="27" t="str">
        <f>Общий!B197</f>
        <v>6631190 Выключатель *1* код : 005004</v>
      </c>
      <c r="E197" s="28">
        <f>Общий!C197</f>
        <v>1</v>
      </c>
      <c r="F197" s="21"/>
      <c r="G197" s="44"/>
      <c r="H197" s="44"/>
      <c r="I197" s="44"/>
      <c r="J197" s="35"/>
      <c r="K197" s="16"/>
    </row>
    <row r="198" spans="1:11">
      <c r="A198" s="31">
        <f>IFERROR(VALUE(IF(LEN(IFERROR(VALUE(MID(TRIM(SUBSTITUTE(SUBSTITUTE(MID(Общий!B198,SEARCH("Karcher",Общий!B198,1),19),".",""),"-","")),SEARCH("Karcher",TRIM(SUBSTITUTE(SUBSTITUTE(MID(Общий!B198,SEARCH("Karcher",Общий!B198,1),19),".",""),"-","")),1)+8,8)),VALUE(LEFT(SUBSTITUTE(SUBSTITUTE(Общий!B198,".",""),"-",""),8))))=7,CONCATENATE(IFERROR(VALUE(MID(TRIM(SUBSTITUTE(SUBSTITUTE(MID(Общий!B198,SEARCH("Karcher",Общий!B198,1),19),".",""),"-","")),SEARCH("Karcher",TRIM(SUBSTITUTE(SUBSTITUTE(MID(Общий!B198,SEARCH("Karcher",Общий!B198,1),19),".",""),"-","")),1)+8,8)),VALUE(LEFT(SUBSTITUTE(SUBSTITUTE(Общий!B198,".",""),"-",""),8))),"0"),IFERROR(VALUE(MID(TRIM(SUBSTITUTE(SUBSTITUTE(MID(Общий!B198,SEARCH("Karcher",Общий!B198,1),19),".",""),"-","")),SEARCH("Karcher",TRIM(SUBSTITUTE(SUBSTITUTE(MID(Общий!B198,SEARCH("Karcher",Общий!B198,1),19),".",""),"-","")),1)+8,8)),VALUE(LEFT(SUBSTITUTE(SUBSTITUTE(Общий!B198,".",""),"-",""),8))))),0)</f>
        <v>66611290</v>
      </c>
      <c r="B198" s="25" t="str">
        <f>IFERROR(CONCATENATE(VALUE(IF(LEN(IFERROR(VALUE(MID(TRIM(SUBSTITUTE(SUBSTITUTE(MID(Общий!B198,SEARCH("Karcher",Общий!B198,1),19),".",""),"-","")),SEARCH("Karcher",TRIM(SUBSTITUTE(SUBSTITUTE(MID(Общий!B198,SEARCH("Karcher",Общий!B198,1),19),".",""),"-","")),1)+8,8)),VALUE(LEFT(SUBSTITUTE(SUBSTITUTE(Общий!B198,".",""),"-",""),8))))=7,CONCATENATE(IFERROR(VALUE(MID(TRIM(SUBSTITUTE(SUBSTITUTE(MID(Общий!B198,SEARCH("Karcher",Общий!B198,1),19),".",""),"-","")),SEARCH("Karcher",TRIM(SUBSTITUTE(SUBSTITUTE(MID(Общий!B198,SEARCH("Karcher",Общий!B198,1),19),".",""),"-","")),1)+8,8)),VALUE(LEFT(SUBSTITUTE(SUBSTITUTE(Общий!B198,".",""),"-",""),8))),"0"),IFERROR(VALUE(MID(TRIM(SUBSTITUTE(SUBSTITUTE(MID(Общий!B198,SEARCH("Karcher",Общий!B198,1),19),".",""),"-","")),SEARCH("Karcher",TRIM(SUBSTITUTE(SUBSTITUTE(MID(Общий!B198,SEARCH("Karcher",Общий!B198,1),19),".",""),"-","")),1)+8,8)),VALUE(LEFT(SUBSTITUTE(SUBSTITUTE(Общий!B198,".",""),"-",""),8)))))," ",Общий!C198),0)</f>
        <v>66611290 2</v>
      </c>
      <c r="C198" s="29" t="str">
        <f>Общий!A198</f>
        <v>190</v>
      </c>
      <c r="D198" s="27" t="str">
        <f>Общий!B198</f>
        <v>6661129 Конденсатор HD 5/11.6/13    *1* код : 005096</v>
      </c>
      <c r="E198" s="28">
        <f>Общий!C198</f>
        <v>2</v>
      </c>
      <c r="F198" s="21"/>
      <c r="G198" s="44"/>
      <c r="H198" s="44"/>
      <c r="I198" s="44"/>
      <c r="J198" s="35"/>
      <c r="K198" s="16"/>
    </row>
    <row r="199" spans="1:11">
      <c r="A199" s="31">
        <f>IFERROR(VALUE(IF(LEN(IFERROR(VALUE(MID(TRIM(SUBSTITUTE(SUBSTITUTE(MID(Общий!B199,SEARCH("Karcher",Общий!B199,1),19),".",""),"-","")),SEARCH("Karcher",TRIM(SUBSTITUTE(SUBSTITUTE(MID(Общий!B199,SEARCH("Karcher",Общий!B199,1),19),".",""),"-","")),1)+8,8)),VALUE(LEFT(SUBSTITUTE(SUBSTITUTE(Общий!B199,".",""),"-",""),8))))=7,CONCATENATE(IFERROR(VALUE(MID(TRIM(SUBSTITUTE(SUBSTITUTE(MID(Общий!B199,SEARCH("Karcher",Общий!B199,1),19),".",""),"-","")),SEARCH("Karcher",TRIM(SUBSTITUTE(SUBSTITUTE(MID(Общий!B199,SEARCH("Karcher",Общий!B199,1),19),".",""),"-","")),1)+8,8)),VALUE(LEFT(SUBSTITUTE(SUBSTITUTE(Общий!B199,".",""),"-",""),8))),"0"),IFERROR(VALUE(MID(TRIM(SUBSTITUTE(SUBSTITUTE(MID(Общий!B199,SEARCH("Karcher",Общий!B199,1),19),".",""),"-","")),SEARCH("Karcher",TRIM(SUBSTITUTE(SUBSTITUTE(MID(Общий!B199,SEARCH("Karcher",Общий!B199,1),19),".",""),"-","")),1)+8,8)),VALUE(LEFT(SUBSTITUTE(SUBSTITUTE(Общий!B199,".",""),"-",""),8))))),0)</f>
        <v>66611580</v>
      </c>
      <c r="B199" s="25" t="str">
        <f>IFERROR(CONCATENATE(VALUE(IF(LEN(IFERROR(VALUE(MID(TRIM(SUBSTITUTE(SUBSTITUTE(MID(Общий!B199,SEARCH("Karcher",Общий!B199,1),19),".",""),"-","")),SEARCH("Karcher",TRIM(SUBSTITUTE(SUBSTITUTE(MID(Общий!B199,SEARCH("Karcher",Общий!B199,1),19),".",""),"-","")),1)+8,8)),VALUE(LEFT(SUBSTITUTE(SUBSTITUTE(Общий!B199,".",""),"-",""),8))))=7,CONCATENATE(IFERROR(VALUE(MID(TRIM(SUBSTITUTE(SUBSTITUTE(MID(Общий!B199,SEARCH("Karcher",Общий!B199,1),19),".",""),"-","")),SEARCH("Karcher",TRIM(SUBSTITUTE(SUBSTITUTE(MID(Общий!B199,SEARCH("Karcher",Общий!B199,1),19),".",""),"-","")),1)+8,8)),VALUE(LEFT(SUBSTITUTE(SUBSTITUTE(Общий!B199,".",""),"-",""),8))),"0"),IFERROR(VALUE(MID(TRIM(SUBSTITUTE(SUBSTITUTE(MID(Общий!B199,SEARCH("Karcher",Общий!B199,1),19),".",""),"-","")),SEARCH("Karcher",TRIM(SUBSTITUTE(SUBSTITUTE(MID(Общий!B199,SEARCH("Karcher",Общий!B199,1),19),".",""),"-","")),1)+8,8)),VALUE(LEFT(SUBSTITUTE(SUBSTITUTE(Общий!B199,".",""),"-",""),8)))))," ",Общий!C199),0)</f>
        <v>66611580 1</v>
      </c>
      <c r="C199" s="29" t="str">
        <f>Общий!A199</f>
        <v>191</v>
      </c>
      <c r="D199" s="27" t="str">
        <f>Общий!B199</f>
        <v>6661158 Конденсатор 40EF HD 5/12 6/13 K720 Karcher *1* (OLD 6.661-298) код : 005225</v>
      </c>
      <c r="E199" s="28">
        <f>Общий!C199</f>
        <v>1</v>
      </c>
      <c r="F199" s="21"/>
      <c r="G199" s="44"/>
      <c r="H199" s="44"/>
      <c r="I199" s="44"/>
      <c r="J199" s="35"/>
      <c r="K199" s="16"/>
    </row>
    <row r="200" spans="1:11">
      <c r="A200" s="31">
        <f>IFERROR(VALUE(IF(LEN(IFERROR(VALUE(MID(TRIM(SUBSTITUTE(SUBSTITUTE(MID(Общий!B200,SEARCH("Karcher",Общий!B200,1),19),".",""),"-","")),SEARCH("Karcher",TRIM(SUBSTITUTE(SUBSTITUTE(MID(Общий!B200,SEARCH("Karcher",Общий!B200,1),19),".",""),"-","")),1)+8,8)),VALUE(LEFT(SUBSTITUTE(SUBSTITUTE(Общий!B200,".",""),"-",""),8))))=7,CONCATENATE(IFERROR(VALUE(MID(TRIM(SUBSTITUTE(SUBSTITUTE(MID(Общий!B200,SEARCH("Karcher",Общий!B200,1),19),".",""),"-","")),SEARCH("Karcher",TRIM(SUBSTITUTE(SUBSTITUTE(MID(Общий!B200,SEARCH("Karcher",Общий!B200,1),19),".",""),"-","")),1)+8,8)),VALUE(LEFT(SUBSTITUTE(SUBSTITUTE(Общий!B200,".",""),"-",""),8))),"0"),IFERROR(VALUE(MID(TRIM(SUBSTITUTE(SUBSTITUTE(MID(Общий!B200,SEARCH("Karcher",Общий!B200,1),19),".",""),"-","")),SEARCH("Karcher",TRIM(SUBSTITUTE(SUBSTITUTE(MID(Общий!B200,SEARCH("Karcher",Общий!B200,1),19),".",""),"-","")),1)+8,8)),VALUE(LEFT(SUBSTITUTE(SUBSTITUTE(Общий!B200,".",""),"-",""),8))))),0)</f>
        <v>66611580</v>
      </c>
      <c r="B200" s="25" t="str">
        <f>IFERROR(CONCATENATE(VALUE(IF(LEN(IFERROR(VALUE(MID(TRIM(SUBSTITUTE(SUBSTITUTE(MID(Общий!B200,SEARCH("Karcher",Общий!B200,1),19),".",""),"-","")),SEARCH("Karcher",TRIM(SUBSTITUTE(SUBSTITUTE(MID(Общий!B200,SEARCH("Karcher",Общий!B200,1),19),".",""),"-","")),1)+8,8)),VALUE(LEFT(SUBSTITUTE(SUBSTITUTE(Общий!B200,".",""),"-",""),8))))=7,CONCATENATE(IFERROR(VALUE(MID(TRIM(SUBSTITUTE(SUBSTITUTE(MID(Общий!B200,SEARCH("Karcher",Общий!B200,1),19),".",""),"-","")),SEARCH("Karcher",TRIM(SUBSTITUTE(SUBSTITUTE(MID(Общий!B200,SEARCH("Karcher",Общий!B200,1),19),".",""),"-","")),1)+8,8)),VALUE(LEFT(SUBSTITUTE(SUBSTITUTE(Общий!B200,".",""),"-",""),8))),"0"),IFERROR(VALUE(MID(TRIM(SUBSTITUTE(SUBSTITUTE(MID(Общий!B200,SEARCH("Karcher",Общий!B200,1),19),".",""),"-","")),SEARCH("Karcher",TRIM(SUBSTITUTE(SUBSTITUTE(MID(Общий!B200,SEARCH("Karcher",Общий!B200,1),19),".",""),"-","")),1)+8,8)),VALUE(LEFT(SUBSTITUTE(SUBSTITUTE(Общий!B200,".",""),"-",""),8)))))," ",Общий!C200),0)</f>
        <v>66611580 2</v>
      </c>
      <c r="C200" s="29" t="str">
        <f>Общий!A200</f>
        <v>192</v>
      </c>
      <c r="D200" s="27" t="str">
        <f>Общий!B200</f>
        <v>6661158 Конденсатор 40EF HD 5/12 6/13 K720 Karcher *1* (OLD 6.661-298) код : 005225</v>
      </c>
      <c r="E200" s="28">
        <f>Общий!C200</f>
        <v>2</v>
      </c>
      <c r="F200" s="21"/>
      <c r="G200" s="44"/>
      <c r="H200" s="44"/>
      <c r="I200" s="44"/>
      <c r="J200" s="35"/>
      <c r="K200" s="16"/>
    </row>
    <row r="201" spans="1:11">
      <c r="A201" s="31">
        <f>IFERROR(VALUE(IF(LEN(IFERROR(VALUE(MID(TRIM(SUBSTITUTE(SUBSTITUTE(MID(Общий!B201,SEARCH("Karcher",Общий!B201,1),19),".",""),"-","")),SEARCH("Karcher",TRIM(SUBSTITUTE(SUBSTITUTE(MID(Общий!B201,SEARCH("Karcher",Общий!B201,1),19),".",""),"-","")),1)+8,8)),VALUE(LEFT(SUBSTITUTE(SUBSTITUTE(Общий!B201,".",""),"-",""),8))))=7,CONCATENATE(IFERROR(VALUE(MID(TRIM(SUBSTITUTE(SUBSTITUTE(MID(Общий!B201,SEARCH("Karcher",Общий!B201,1),19),".",""),"-","")),SEARCH("Karcher",TRIM(SUBSTITUTE(SUBSTITUTE(MID(Общий!B201,SEARCH("Karcher",Общий!B201,1),19),".",""),"-","")),1)+8,8)),VALUE(LEFT(SUBSTITUTE(SUBSTITUTE(Общий!B201,".",""),"-",""),8))),"0"),IFERROR(VALUE(MID(TRIM(SUBSTITUTE(SUBSTITUTE(MID(Общий!B201,SEARCH("Karcher",Общий!B201,1),19),".",""),"-","")),SEARCH("Karcher",TRIM(SUBSTITUTE(SUBSTITUTE(MID(Общий!B201,SEARCH("Karcher",Общий!B201,1),19),".",""),"-","")),1)+8,8)),VALUE(LEFT(SUBSTITUTE(SUBSTITUTE(Общий!B201,".",""),"-",""),8))))),0)</f>
        <v>69021270</v>
      </c>
      <c r="B201" s="25" t="str">
        <f>IFERROR(CONCATENATE(VALUE(IF(LEN(IFERROR(VALUE(MID(TRIM(SUBSTITUTE(SUBSTITUTE(MID(Общий!B201,SEARCH("Karcher",Общий!B201,1),19),".",""),"-","")),SEARCH("Karcher",TRIM(SUBSTITUTE(SUBSTITUTE(MID(Общий!B201,SEARCH("Karcher",Общий!B201,1),19),".",""),"-","")),1)+8,8)),VALUE(LEFT(SUBSTITUTE(SUBSTITUTE(Общий!B201,".",""),"-",""),8))))=7,CONCATENATE(IFERROR(VALUE(MID(TRIM(SUBSTITUTE(SUBSTITUTE(MID(Общий!B201,SEARCH("Karcher",Общий!B201,1),19),".",""),"-","")),SEARCH("Karcher",TRIM(SUBSTITUTE(SUBSTITUTE(MID(Общий!B201,SEARCH("Karcher",Общий!B201,1),19),".",""),"-","")),1)+8,8)),VALUE(LEFT(SUBSTITUTE(SUBSTITUTE(Общий!B201,".",""),"-",""),8))),"0"),IFERROR(VALUE(MID(TRIM(SUBSTITUTE(SUBSTITUTE(MID(Общий!B201,SEARCH("Karcher",Общий!B201,1),19),".",""),"-","")),SEARCH("Karcher",TRIM(SUBSTITUTE(SUBSTITUTE(MID(Общий!B201,SEARCH("Karcher",Общий!B201,1),19),".",""),"-","")),1)+8,8)),VALUE(LEFT(SUBSTITUTE(SUBSTITUTE(Общий!B201,".",""),"-",""),8)))))," ",Общий!C201),0)</f>
        <v>69021270 1</v>
      </c>
      <c r="C201" s="29" t="str">
        <f>Общий!A201</f>
        <v>193</v>
      </c>
      <c r="D201" s="27" t="str">
        <f>Общий!B201</f>
        <v>Телескопическая трубка Karcher 6.902-127 код : 030055</v>
      </c>
      <c r="E201" s="28">
        <f>Общий!C201</f>
        <v>1</v>
      </c>
      <c r="F201" s="21"/>
      <c r="G201" s="44"/>
      <c r="H201" s="44"/>
      <c r="I201" s="44"/>
      <c r="J201" s="35"/>
      <c r="K201" s="16"/>
    </row>
    <row r="202" spans="1:11">
      <c r="A202" s="31">
        <f>IFERROR(VALUE(IF(LEN(IFERROR(VALUE(MID(TRIM(SUBSTITUTE(SUBSTITUTE(MID(Общий!B202,SEARCH("Karcher",Общий!B202,1),19),".",""),"-","")),SEARCH("Karcher",TRIM(SUBSTITUTE(SUBSTITUTE(MID(Общий!B202,SEARCH("Karcher",Общий!B202,1),19),".",""),"-","")),1)+8,8)),VALUE(LEFT(SUBSTITUTE(SUBSTITUTE(Общий!B202,".",""),"-",""),8))))=7,CONCATENATE(IFERROR(VALUE(MID(TRIM(SUBSTITUTE(SUBSTITUTE(MID(Общий!B202,SEARCH("Karcher",Общий!B202,1),19),".",""),"-","")),SEARCH("Karcher",TRIM(SUBSTITUTE(SUBSTITUTE(MID(Общий!B202,SEARCH("Karcher",Общий!B202,1),19),".",""),"-","")),1)+8,8)),VALUE(LEFT(SUBSTITUTE(SUBSTITUTE(Общий!B202,".",""),"-",""),8))),"0"),IFERROR(VALUE(MID(TRIM(SUBSTITUTE(SUBSTITUTE(MID(Общий!B202,SEARCH("Karcher",Общий!B202,1),19),".",""),"-","")),SEARCH("Karcher",TRIM(SUBSTITUTE(SUBSTITUTE(MID(Общий!B202,SEARCH("Karcher",Общий!B202,1),19),".",""),"-","")),1)+8,8)),VALUE(LEFT(SUBSTITUTE(SUBSTITUTE(Общий!B202,".",""),"-",""),8))))),0)</f>
        <v>69042940</v>
      </c>
      <c r="B202" s="25" t="str">
        <f>IFERROR(CONCATENATE(VALUE(IF(LEN(IFERROR(VALUE(MID(TRIM(SUBSTITUTE(SUBSTITUTE(MID(Общий!B202,SEARCH("Karcher",Общий!B202,1),19),".",""),"-","")),SEARCH("Karcher",TRIM(SUBSTITUTE(SUBSTITUTE(MID(Общий!B202,SEARCH("Karcher",Общий!B202,1),19),".",""),"-","")),1)+8,8)),VALUE(LEFT(SUBSTITUTE(SUBSTITUTE(Общий!B202,".",""),"-",""),8))))=7,CONCATENATE(IFERROR(VALUE(MID(TRIM(SUBSTITUTE(SUBSTITUTE(MID(Общий!B202,SEARCH("Karcher",Общий!B202,1),19),".",""),"-","")),SEARCH("Karcher",TRIM(SUBSTITUTE(SUBSTITUTE(MID(Общий!B202,SEARCH("Karcher",Общий!B202,1),19),".",""),"-","")),1)+8,8)),VALUE(LEFT(SUBSTITUTE(SUBSTITUTE(Общий!B202,".",""),"-",""),8))),"0"),IFERROR(VALUE(MID(TRIM(SUBSTITUTE(SUBSTITUTE(MID(Общий!B202,SEARCH("Karcher",Общий!B202,1),19),".",""),"-","")),SEARCH("Karcher",TRIM(SUBSTITUTE(SUBSTITUTE(MID(Общий!B202,SEARCH("Karcher",Общий!B202,1),19),".",""),"-","")),1)+8,8)),VALUE(LEFT(SUBSTITUTE(SUBSTITUTE(Общий!B202,".",""),"-",""),8)))))," ",Общий!C202),0)</f>
        <v>69042940 2</v>
      </c>
      <c r="C202" s="29" t="str">
        <f>Общий!A202</f>
        <v>194</v>
      </c>
      <c r="D202" s="27" t="str">
        <f>Общий!B202</f>
        <v>Бумажные фильтр-мешки 10шт Karcher 6.904-294 код : 030056</v>
      </c>
      <c r="E202" s="28">
        <f>Общий!C202</f>
        <v>2</v>
      </c>
      <c r="F202" s="21"/>
      <c r="G202" s="44"/>
      <c r="H202" s="44"/>
      <c r="I202" s="44"/>
      <c r="J202" s="35"/>
      <c r="K202" s="16"/>
    </row>
    <row r="203" spans="1:11">
      <c r="A203" s="31">
        <f>IFERROR(VALUE(IF(LEN(IFERROR(VALUE(MID(TRIM(SUBSTITUTE(SUBSTITUTE(MID(Общий!B203,SEARCH("Karcher",Общий!B203,1),19),".",""),"-","")),SEARCH("Karcher",TRIM(SUBSTITUTE(SUBSTITUTE(MID(Общий!B203,SEARCH("Karcher",Общий!B203,1),19),".",""),"-","")),1)+8,8)),VALUE(LEFT(SUBSTITUTE(SUBSTITUTE(Общий!B203,".",""),"-",""),8))))=7,CONCATENATE(IFERROR(VALUE(MID(TRIM(SUBSTITUTE(SUBSTITUTE(MID(Общий!B203,SEARCH("Karcher",Общий!B203,1),19),".",""),"-","")),SEARCH("Karcher",TRIM(SUBSTITUTE(SUBSTITUTE(MID(Общий!B203,SEARCH("Karcher",Общий!B203,1),19),".",""),"-","")),1)+8,8)),VALUE(LEFT(SUBSTITUTE(SUBSTITUTE(Общий!B203,".",""),"-",""),8))),"0"),IFERROR(VALUE(MID(TRIM(SUBSTITUTE(SUBSTITUTE(MID(Общий!B203,SEARCH("Karcher",Общий!B203,1),19),".",""),"-","")),SEARCH("Karcher",TRIM(SUBSTITUTE(SUBSTITUTE(MID(Общий!B203,SEARCH("Karcher",Общий!B203,1),19),".",""),"-","")),1)+8,8)),VALUE(LEFT(SUBSTITUTE(SUBSTITUTE(Общий!B203,".",""),"-",""),8))))),0)</f>
        <v>69610793</v>
      </c>
      <c r="B203" s="25" t="str">
        <f>IFERROR(CONCATENATE(VALUE(IF(LEN(IFERROR(VALUE(MID(TRIM(SUBSTITUTE(SUBSTITUTE(MID(Общий!B203,SEARCH("Karcher",Общий!B203,1),19),".",""),"-","")),SEARCH("Karcher",TRIM(SUBSTITUTE(SUBSTITUTE(MID(Общий!B203,SEARCH("Karcher",Общий!B203,1),19),".",""),"-","")),1)+8,8)),VALUE(LEFT(SUBSTITUTE(SUBSTITUTE(Общий!B203,".",""),"-",""),8))))=7,CONCATENATE(IFERROR(VALUE(MID(TRIM(SUBSTITUTE(SUBSTITUTE(MID(Общий!B203,SEARCH("Karcher",Общий!B203,1),19),".",""),"-","")),SEARCH("Karcher",TRIM(SUBSTITUTE(SUBSTITUTE(MID(Общий!B203,SEARCH("Karcher",Общий!B203,1),19),".",""),"-","")),1)+8,8)),VALUE(LEFT(SUBSTITUTE(SUBSTITUTE(Общий!B203,".",""),"-",""),8))),"0"),IFERROR(VALUE(MID(TRIM(SUBSTITUTE(SUBSTITUTE(MID(Общий!B203,SEARCH("Karcher",Общий!B203,1),19),".",""),"-","")),SEARCH("Karcher",TRIM(SUBSTITUTE(SUBSTITUTE(MID(Общий!B203,SEARCH("Karcher",Общий!B203,1),19),".",""),"-","")),1)+8,8)),VALUE(LEFT(SUBSTITUTE(SUBSTITUTE(Общий!B203,".",""),"-",""),8)))))," ",Общий!C203),0)</f>
        <v>69610793 3</v>
      </c>
      <c r="C203" s="29" t="str">
        <f>Общий!A203</f>
        <v>195</v>
      </c>
      <c r="D203" s="27" t="str">
        <f>Общий!B203</f>
        <v>69610793 Минипереключатель К7.200 Karcher *1* код : 005342</v>
      </c>
      <c r="E203" s="28">
        <f>Общий!C203</f>
        <v>3</v>
      </c>
      <c r="F203" s="21"/>
      <c r="G203" s="44"/>
      <c r="H203" s="44"/>
      <c r="I203" s="44"/>
      <c r="J203" s="35"/>
      <c r="K203" s="16"/>
    </row>
    <row r="204" spans="1:11">
      <c r="A204" s="31">
        <f>IFERROR(VALUE(IF(LEN(IFERROR(VALUE(MID(TRIM(SUBSTITUTE(SUBSTITUTE(MID(Общий!B204,SEARCH("Karcher",Общий!B204,1),19),".",""),"-","")),SEARCH("Karcher",TRIM(SUBSTITUTE(SUBSTITUTE(MID(Общий!B204,SEARCH("Karcher",Общий!B204,1),19),".",""),"-","")),1)+8,8)),VALUE(LEFT(SUBSTITUTE(SUBSTITUTE(Общий!B204,".",""),"-",""),8))))=7,CONCATENATE(IFERROR(VALUE(MID(TRIM(SUBSTITUTE(SUBSTITUTE(MID(Общий!B204,SEARCH("Karcher",Общий!B204,1),19),".",""),"-","")),SEARCH("Karcher",TRIM(SUBSTITUTE(SUBSTITUTE(MID(Общий!B204,SEARCH("Karcher",Общий!B204,1),19),".",""),"-","")),1)+8,8)),VALUE(LEFT(SUBSTITUTE(SUBSTITUTE(Общий!B204,".",""),"-",""),8))),"0"),IFERROR(VALUE(MID(TRIM(SUBSTITUTE(SUBSTITUTE(MID(Общий!B204,SEARCH("Karcher",Общий!B204,1),19),".",""),"-","")),SEARCH("Karcher",TRIM(SUBSTITUTE(SUBSTITUTE(MID(Общий!B204,SEARCH("Karcher",Общий!B204,1),19),".",""),"-","")),1)+8,8)),VALUE(LEFT(SUBSTITUTE(SUBSTITUTE(Общий!B204,".",""),"-",""),8))))),0)</f>
        <v>69640260</v>
      </c>
      <c r="B204" s="25" t="str">
        <f>IFERROR(CONCATENATE(VALUE(IF(LEN(IFERROR(VALUE(MID(TRIM(SUBSTITUTE(SUBSTITUTE(MID(Общий!B204,SEARCH("Karcher",Общий!B204,1),19),".",""),"-","")),SEARCH("Karcher",TRIM(SUBSTITUTE(SUBSTITUTE(MID(Общий!B204,SEARCH("Karcher",Общий!B204,1),19),".",""),"-","")),1)+8,8)),VALUE(LEFT(SUBSTITUTE(SUBSTITUTE(Общий!B204,".",""),"-",""),8))))=7,CONCATENATE(IFERROR(VALUE(MID(TRIM(SUBSTITUTE(SUBSTITUTE(MID(Общий!B204,SEARCH("Karcher",Общий!B204,1),19),".",""),"-","")),SEARCH("Karcher",TRIM(SUBSTITUTE(SUBSTITUTE(MID(Общий!B204,SEARCH("Karcher",Общий!B204,1),19),".",""),"-","")),1)+8,8)),VALUE(LEFT(SUBSTITUTE(SUBSTITUTE(Общий!B204,".",""),"-",""),8))),"0"),IFERROR(VALUE(MID(TRIM(SUBSTITUTE(SUBSTITUTE(MID(Общий!B204,SEARCH("Karcher",Общий!B204,1),19),".",""),"-","")),SEARCH("Karcher",TRIM(SUBSTITUTE(SUBSTITUTE(MID(Общий!B204,SEARCH("Karcher",Общий!B204,1),19),".",""),"-","")),1)+8,8)),VALUE(LEFT(SUBSTITUTE(SUBSTITUTE(Общий!B204,".",""),"-",""),8)))))," ",Общий!C204),0)</f>
        <v>69640260 6</v>
      </c>
      <c r="C204" s="29" t="str">
        <f>Общий!A204</f>
        <v>196</v>
      </c>
      <c r="D204" s="27" t="str">
        <f>Общий!B204</f>
        <v>6964026  Сальник масло(замена 6.365-386) K3.9X M *30* код : 005071</v>
      </c>
      <c r="E204" s="28">
        <f>Общий!C204</f>
        <v>6</v>
      </c>
      <c r="F204" s="21"/>
      <c r="G204" s="44"/>
      <c r="H204" s="44"/>
      <c r="I204" s="44"/>
      <c r="J204" s="35"/>
      <c r="K204" s="16"/>
    </row>
    <row r="205" spans="1:11">
      <c r="A205" s="31">
        <f>IFERROR(VALUE(IF(LEN(IFERROR(VALUE(MID(TRIM(SUBSTITUTE(SUBSTITUTE(MID(Общий!B205,SEARCH("Karcher",Общий!B205,1),19),".",""),"-","")),SEARCH("Karcher",TRIM(SUBSTITUTE(SUBSTITUTE(MID(Общий!B205,SEARCH("Karcher",Общий!B205,1),19),".",""),"-","")),1)+8,8)),VALUE(LEFT(SUBSTITUTE(SUBSTITUTE(Общий!B205,".",""),"-",""),8))))=7,CONCATENATE(IFERROR(VALUE(MID(TRIM(SUBSTITUTE(SUBSTITUTE(MID(Общий!B205,SEARCH("Karcher",Общий!B205,1),19),".",""),"-","")),SEARCH("Karcher",TRIM(SUBSTITUTE(SUBSTITUTE(MID(Общий!B205,SEARCH("Karcher",Общий!B205,1),19),".",""),"-","")),1)+8,8)),VALUE(LEFT(SUBSTITUTE(SUBSTITUTE(Общий!B205,".",""),"-",""),8))),"0"),IFERROR(VALUE(MID(TRIM(SUBSTITUTE(SUBSTITUTE(MID(Общий!B205,SEARCH("Karcher",Общий!B205,1),19),".",""),"-","")),SEARCH("Karcher",TRIM(SUBSTITUTE(SUBSTITUTE(MID(Общий!B205,SEARCH("Karcher",Общий!B205,1),19),".",""),"-","")),1)+8,8)),VALUE(LEFT(SUBSTITUTE(SUBSTITUTE(Общий!B205,".",""),"-",""),8))))),0)</f>
        <v>73030860</v>
      </c>
      <c r="B205" s="25" t="str">
        <f>IFERROR(CONCATENATE(VALUE(IF(LEN(IFERROR(VALUE(MID(TRIM(SUBSTITUTE(SUBSTITUTE(MID(Общий!B205,SEARCH("Karcher",Общий!B205,1),19),".",""),"-","")),SEARCH("Karcher",TRIM(SUBSTITUTE(SUBSTITUTE(MID(Общий!B205,SEARCH("Karcher",Общий!B205,1),19),".",""),"-","")),1)+8,8)),VALUE(LEFT(SUBSTITUTE(SUBSTITUTE(Общий!B205,".",""),"-",""),8))))=7,CONCATENATE(IFERROR(VALUE(MID(TRIM(SUBSTITUTE(SUBSTITUTE(MID(Общий!B205,SEARCH("Karcher",Общий!B205,1),19),".",""),"-","")),SEARCH("Karcher",TRIM(SUBSTITUTE(SUBSTITUTE(MID(Общий!B205,SEARCH("Karcher",Общий!B205,1),19),".",""),"-","")),1)+8,8)),VALUE(LEFT(SUBSTITUTE(SUBSTITUTE(Общий!B205,".",""),"-",""),8))),"0"),IFERROR(VALUE(MID(TRIM(SUBSTITUTE(SUBSTITUTE(MID(Общий!B205,SEARCH("Karcher",Общий!B205,1),19),".",""),"-","")),SEARCH("Karcher",TRIM(SUBSTITUTE(SUBSTITUTE(MID(Общий!B205,SEARCH("Karcher",Общий!B205,1),19),".",""),"-","")),1)+8,8)),VALUE(LEFT(SUBSTITUTE(SUBSTITUTE(Общий!B205,".",""),"-",""),8)))))," ",Общий!C205),0)</f>
        <v>73030860 2</v>
      </c>
      <c r="C205" s="29" t="str">
        <f>Общий!A205</f>
        <v>197</v>
      </c>
      <c r="D205" s="27" t="str">
        <f>Общий!B205</f>
        <v>Винт 5 х 30 Karcher 7.303-086 код : 030196</v>
      </c>
      <c r="E205" s="28">
        <f>Общий!C205</f>
        <v>2</v>
      </c>
      <c r="F205" s="21"/>
      <c r="G205" s="44"/>
      <c r="H205" s="44"/>
      <c r="I205" s="44"/>
      <c r="J205" s="35"/>
      <c r="K205" s="16"/>
    </row>
    <row r="206" spans="1:11">
      <c r="A206" s="31">
        <f>IFERROR(VALUE(IF(LEN(IFERROR(VALUE(MID(TRIM(SUBSTITUTE(SUBSTITUTE(MID(Общий!B206,SEARCH("Karcher",Общий!B206,1),19),".",""),"-","")),SEARCH("Karcher",TRIM(SUBSTITUTE(SUBSTITUTE(MID(Общий!B206,SEARCH("Karcher",Общий!B206,1),19),".",""),"-","")),1)+8,8)),VALUE(LEFT(SUBSTITUTE(SUBSTITUTE(Общий!B206,".",""),"-",""),8))))=7,CONCATENATE(IFERROR(VALUE(MID(TRIM(SUBSTITUTE(SUBSTITUTE(MID(Общий!B206,SEARCH("Karcher",Общий!B206,1),19),".",""),"-","")),SEARCH("Karcher",TRIM(SUBSTITUTE(SUBSTITUTE(MID(Общий!B206,SEARCH("Karcher",Общий!B206,1),19),".",""),"-","")),1)+8,8)),VALUE(LEFT(SUBSTITUTE(SUBSTITUTE(Общий!B206,".",""),"-",""),8))),"0"),IFERROR(VALUE(MID(TRIM(SUBSTITUTE(SUBSTITUTE(MID(Общий!B206,SEARCH("Karcher",Общий!B206,1),19),".",""),"-","")),SEARCH("Karcher",TRIM(SUBSTITUTE(SUBSTITUTE(MID(Общий!B206,SEARCH("Karcher",Общий!B206,1),19),".",""),"-","")),1)+8,8)),VALUE(LEFT(SUBSTITUTE(SUBSTITUTE(Общий!B206,".",""),"-",""),8))))),0)</f>
        <v>74010100</v>
      </c>
      <c r="B206" s="25" t="str">
        <f>IFERROR(CONCATENATE(VALUE(IF(LEN(IFERROR(VALUE(MID(TRIM(SUBSTITUTE(SUBSTITUTE(MID(Общий!B206,SEARCH("Karcher",Общий!B206,1),19),".",""),"-","")),SEARCH("Karcher",TRIM(SUBSTITUTE(SUBSTITUTE(MID(Общий!B206,SEARCH("Karcher",Общий!B206,1),19),".",""),"-","")),1)+8,8)),VALUE(LEFT(SUBSTITUTE(SUBSTITUTE(Общий!B206,".",""),"-",""),8))))=7,CONCATENATE(IFERROR(VALUE(MID(TRIM(SUBSTITUTE(SUBSTITUTE(MID(Общий!B206,SEARCH("Karcher",Общий!B206,1),19),".",""),"-","")),SEARCH("Karcher",TRIM(SUBSTITUTE(SUBSTITUTE(MID(Общий!B206,SEARCH("Karcher",Общий!B206,1),19),".",""),"-","")),1)+8,8)),VALUE(LEFT(SUBSTITUTE(SUBSTITUTE(Общий!B206,".",""),"-",""),8))),"0"),IFERROR(VALUE(MID(TRIM(SUBSTITUTE(SUBSTITUTE(MID(Общий!B206,SEARCH("Karcher",Общий!B206,1),19),".",""),"-","")),SEARCH("Karcher",TRIM(SUBSTITUTE(SUBSTITUTE(MID(Общий!B206,SEARCH("Karcher",Общий!B206,1),19),".",""),"-","")),1)+8,8)),VALUE(LEFT(SUBSTITUTE(SUBSTITUTE(Общий!B206,".",""),"-",""),8)))))," ",Общий!C206),0)</f>
        <v>74010100 1</v>
      </c>
      <c r="C206" s="29" t="str">
        <f>Общий!A206</f>
        <v>198</v>
      </c>
      <c r="D206" s="27" t="str">
        <f>Общий!B206</f>
        <v>Подшипник  верхний К 5 Karcher 7.401-010 код : 005702</v>
      </c>
      <c r="E206" s="28">
        <f>Общий!C206</f>
        <v>1</v>
      </c>
      <c r="F206" s="21"/>
      <c r="G206" s="44"/>
      <c r="H206" s="44"/>
      <c r="I206" s="44"/>
      <c r="J206" s="35"/>
      <c r="K206" s="16"/>
    </row>
    <row r="207" spans="1:11">
      <c r="A207" s="31">
        <f>IFERROR(VALUE(IF(LEN(IFERROR(VALUE(MID(TRIM(SUBSTITUTE(SUBSTITUTE(MID(Общий!B207,SEARCH("Karcher",Общий!B207,1),19),".",""),"-","")),SEARCH("Karcher",TRIM(SUBSTITUTE(SUBSTITUTE(MID(Общий!B207,SEARCH("Karcher",Общий!B207,1),19),".",""),"-","")),1)+8,8)),VALUE(LEFT(SUBSTITUTE(SUBSTITUTE(Общий!B207,".",""),"-",""),8))))=7,CONCATENATE(IFERROR(VALUE(MID(TRIM(SUBSTITUTE(SUBSTITUTE(MID(Общий!B207,SEARCH("Karcher",Общий!B207,1),19),".",""),"-","")),SEARCH("Karcher",TRIM(SUBSTITUTE(SUBSTITUTE(MID(Общий!B207,SEARCH("Karcher",Общий!B207,1),19),".",""),"-","")),1)+8,8)),VALUE(LEFT(SUBSTITUTE(SUBSTITUTE(Общий!B207,".",""),"-",""),8))),"0"),IFERROR(VALUE(MID(TRIM(SUBSTITUTE(SUBSTITUTE(MID(Общий!B207,SEARCH("Karcher",Общий!B207,1),19),".",""),"-","")),SEARCH("Karcher",TRIM(SUBSTITUTE(SUBSTITUTE(MID(Общий!B207,SEARCH("Karcher",Общий!B207,1),19),".",""),"-","")),1)+8,8)),VALUE(LEFT(SUBSTITUTE(SUBSTITUTE(Общий!B207,".",""),"-",""),8))))),0)</f>
        <v>90017450</v>
      </c>
      <c r="B207" s="25" t="str">
        <f>IFERROR(CONCATENATE(VALUE(IF(LEN(IFERROR(VALUE(MID(TRIM(SUBSTITUTE(SUBSTITUTE(MID(Общий!B207,SEARCH("Karcher",Общий!B207,1),19),".",""),"-","")),SEARCH("Karcher",TRIM(SUBSTITUTE(SUBSTITUTE(MID(Общий!B207,SEARCH("Karcher",Общий!B207,1),19),".",""),"-","")),1)+8,8)),VALUE(LEFT(SUBSTITUTE(SUBSTITUTE(Общий!B207,".",""),"-",""),8))))=7,CONCATENATE(IFERROR(VALUE(MID(TRIM(SUBSTITUTE(SUBSTITUTE(MID(Общий!B207,SEARCH("Karcher",Общий!B207,1),19),".",""),"-","")),SEARCH("Karcher",TRIM(SUBSTITUTE(SUBSTITUTE(MID(Общий!B207,SEARCH("Karcher",Общий!B207,1),19),".",""),"-","")),1)+8,8)),VALUE(LEFT(SUBSTITUTE(SUBSTITUTE(Общий!B207,".",""),"-",""),8))),"0"),IFERROR(VALUE(MID(TRIM(SUBSTITUTE(SUBSTITUTE(MID(Общий!B207,SEARCH("Karcher",Общий!B207,1),19),".",""),"-","")),SEARCH("Karcher",TRIM(SUBSTITUTE(SUBSTITUTE(MID(Общий!B207,SEARCH("Karcher",Общий!B207,1),19),".",""),"-","")),1)+8,8)),VALUE(LEFT(SUBSTITUTE(SUBSTITUTE(Общий!B207,".",""),"-",""),8)))))," ",Общий!C207),0)</f>
        <v>90017450 1</v>
      </c>
      <c r="C207" s="29" t="str">
        <f>Общий!A207</f>
        <v>199</v>
      </c>
      <c r="D207" s="27" t="str">
        <f>Общий!B207</f>
        <v>9001745 Соединитель в сборе Karcher *1* код : 005306</v>
      </c>
      <c r="E207" s="28">
        <f>Общий!C207</f>
        <v>1</v>
      </c>
      <c r="F207" s="21"/>
      <c r="G207" s="44"/>
      <c r="H207" s="44"/>
      <c r="I207" s="44"/>
      <c r="J207" s="35"/>
      <c r="K207" s="16"/>
    </row>
    <row r="208" spans="1:11">
      <c r="A208" s="31">
        <f>IFERROR(VALUE(IF(LEN(IFERROR(VALUE(MID(TRIM(SUBSTITUTE(SUBSTITUTE(MID(Общий!B208,SEARCH("Karcher",Общий!B208,1),19),".",""),"-","")),SEARCH("Karcher",TRIM(SUBSTITUTE(SUBSTITUTE(MID(Общий!B208,SEARCH("Karcher",Общий!B208,1),19),".",""),"-","")),1)+8,8)),VALUE(LEFT(SUBSTITUTE(SUBSTITUTE(Общий!B208,".",""),"-",""),8))))=7,CONCATENATE(IFERROR(VALUE(MID(TRIM(SUBSTITUTE(SUBSTITUTE(MID(Общий!B208,SEARCH("Karcher",Общий!B208,1),19),".",""),"-","")),SEARCH("Karcher",TRIM(SUBSTITUTE(SUBSTITUTE(MID(Общий!B208,SEARCH("Karcher",Общий!B208,1),19),".",""),"-","")),1)+8,8)),VALUE(LEFT(SUBSTITUTE(SUBSTITUTE(Общий!B208,".",""),"-",""),8))),"0"),IFERROR(VALUE(MID(TRIM(SUBSTITUTE(SUBSTITUTE(MID(Общий!B208,SEARCH("Karcher",Общий!B208,1),19),".",""),"-","")),SEARCH("Karcher",TRIM(SUBSTITUTE(SUBSTITUTE(MID(Общий!B208,SEARCH("Karcher",Общий!B208,1),19),".",""),"-","")),1)+8,8)),VALUE(LEFT(SUBSTITUTE(SUBSTITUTE(Общий!B208,".",""),"-",""),8))))),0)</f>
        <v>90017450</v>
      </c>
      <c r="B208" s="25" t="str">
        <f>IFERROR(CONCATENATE(VALUE(IF(LEN(IFERROR(VALUE(MID(TRIM(SUBSTITUTE(SUBSTITUTE(MID(Общий!B208,SEARCH("Karcher",Общий!B208,1),19),".",""),"-","")),SEARCH("Karcher",TRIM(SUBSTITUTE(SUBSTITUTE(MID(Общий!B208,SEARCH("Karcher",Общий!B208,1),19),".",""),"-","")),1)+8,8)),VALUE(LEFT(SUBSTITUTE(SUBSTITUTE(Общий!B208,".",""),"-",""),8))))=7,CONCATENATE(IFERROR(VALUE(MID(TRIM(SUBSTITUTE(SUBSTITUTE(MID(Общий!B208,SEARCH("Karcher",Общий!B208,1),19),".",""),"-","")),SEARCH("Karcher",TRIM(SUBSTITUTE(SUBSTITUTE(MID(Общий!B208,SEARCH("Karcher",Общий!B208,1),19),".",""),"-","")),1)+8,8)),VALUE(LEFT(SUBSTITUTE(SUBSTITUTE(Общий!B208,".",""),"-",""),8))),"0"),IFERROR(VALUE(MID(TRIM(SUBSTITUTE(SUBSTITUTE(MID(Общий!B208,SEARCH("Karcher",Общий!B208,1),19),".",""),"-","")),SEARCH("Karcher",TRIM(SUBSTITUTE(SUBSTITUTE(MID(Общий!B208,SEARCH("Karcher",Общий!B208,1),19),".",""),"-","")),1)+8,8)),VALUE(LEFT(SUBSTITUTE(SUBSTITUTE(Общий!B208,".",""),"-",""),8)))))," ",Общий!C208),0)</f>
        <v>90017450 1</v>
      </c>
      <c r="C208" s="29" t="str">
        <f>Общий!A208</f>
        <v>200</v>
      </c>
      <c r="D208" s="27" t="str">
        <f>Общий!B208</f>
        <v>9001745 Соединитель в сборе Karcher *1* код : 005306</v>
      </c>
      <c r="E208" s="28">
        <f>Общий!C208</f>
        <v>1</v>
      </c>
      <c r="F208" s="21"/>
      <c r="G208" s="44"/>
      <c r="H208" s="44"/>
      <c r="I208" s="44"/>
      <c r="J208" s="35"/>
      <c r="K208" s="16"/>
    </row>
    <row r="209" spans="1:11">
      <c r="A209" s="31">
        <f>IFERROR(VALUE(IF(LEN(IFERROR(VALUE(MID(TRIM(SUBSTITUTE(SUBSTITUTE(MID(Общий!B209,SEARCH("Karcher",Общий!B209,1),19),".",""),"-","")),SEARCH("Karcher",TRIM(SUBSTITUTE(SUBSTITUTE(MID(Общий!B209,SEARCH("Karcher",Общий!B209,1),19),".",""),"-","")),1)+8,8)),VALUE(LEFT(SUBSTITUTE(SUBSTITUTE(Общий!B209,".",""),"-",""),8))))=7,CONCATENATE(IFERROR(VALUE(MID(TRIM(SUBSTITUTE(SUBSTITUTE(MID(Общий!B209,SEARCH("Karcher",Общий!B209,1),19),".",""),"-","")),SEARCH("Karcher",TRIM(SUBSTITUTE(SUBSTITUTE(MID(Общий!B209,SEARCH("Karcher",Общий!B209,1),19),".",""),"-","")),1)+8,8)),VALUE(LEFT(SUBSTITUTE(SUBSTITUTE(Общий!B209,".",""),"-",""),8))),"0"),IFERROR(VALUE(MID(TRIM(SUBSTITUTE(SUBSTITUTE(MID(Общий!B209,SEARCH("Karcher",Общий!B209,1),19),".",""),"-","")),SEARCH("Karcher",TRIM(SUBSTITUTE(SUBSTITUTE(MID(Общий!B209,SEARCH("Karcher",Общий!B209,1),19),".",""),"-","")),1)+8,8)),VALUE(LEFT(SUBSTITUTE(SUBSTITUTE(Общий!B209,".",""),"-",""),8))))),0)</f>
        <v>90024560</v>
      </c>
      <c r="B209" s="25" t="str">
        <f>IFERROR(CONCATENATE(VALUE(IF(LEN(IFERROR(VALUE(MID(TRIM(SUBSTITUTE(SUBSTITUTE(MID(Общий!B209,SEARCH("Karcher",Общий!B209,1),19),".",""),"-","")),SEARCH("Karcher",TRIM(SUBSTITUTE(SUBSTITUTE(MID(Общий!B209,SEARCH("Karcher",Общий!B209,1),19),".",""),"-","")),1)+8,8)),VALUE(LEFT(SUBSTITUTE(SUBSTITUTE(Общий!B209,".",""),"-",""),8))))=7,CONCATENATE(IFERROR(VALUE(MID(TRIM(SUBSTITUTE(SUBSTITUTE(MID(Общий!B209,SEARCH("Karcher",Общий!B209,1),19),".",""),"-","")),SEARCH("Karcher",TRIM(SUBSTITUTE(SUBSTITUTE(MID(Общий!B209,SEARCH("Karcher",Общий!B209,1),19),".",""),"-","")),1)+8,8)),VALUE(LEFT(SUBSTITUTE(SUBSTITUTE(Общий!B209,".",""),"-",""),8))),"0"),IFERROR(VALUE(MID(TRIM(SUBSTITUTE(SUBSTITUTE(MID(Общий!B209,SEARCH("Karcher",Общий!B209,1),19),".",""),"-","")),SEARCH("Karcher",TRIM(SUBSTITUTE(SUBSTITUTE(MID(Общий!B209,SEARCH("Karcher",Общий!B209,1),19),".",""),"-","")),1)+8,8)),VALUE(LEFT(SUBSTITUTE(SUBSTITUTE(Общий!B209,".",""),"-",""),8)))))," ",Общий!C209),0)</f>
        <v>90024560 1</v>
      </c>
      <c r="C209" s="29" t="str">
        <f>Общий!A209</f>
        <v>201</v>
      </c>
      <c r="D209" s="27" t="str">
        <f>Общий!B209</f>
        <v>9002456 Головка насоса Karcher *1* код : 005024</v>
      </c>
      <c r="E209" s="28">
        <f>Общий!C209</f>
        <v>1</v>
      </c>
      <c r="F209" s="21"/>
      <c r="G209" s="44"/>
      <c r="H209" s="44"/>
      <c r="I209" s="44"/>
      <c r="J209" s="35"/>
      <c r="K209" s="16"/>
    </row>
    <row r="210" spans="1:11">
      <c r="A210" s="31">
        <f>IFERROR(VALUE(IF(LEN(IFERROR(VALUE(MID(TRIM(SUBSTITUTE(SUBSTITUTE(MID(Общий!B210,SEARCH("Karcher",Общий!B210,1),19),".",""),"-","")),SEARCH("Karcher",TRIM(SUBSTITUTE(SUBSTITUTE(MID(Общий!B210,SEARCH("Karcher",Общий!B210,1),19),".",""),"-","")),1)+8,8)),VALUE(LEFT(SUBSTITUTE(SUBSTITUTE(Общий!B210,".",""),"-",""),8))))=7,CONCATENATE(IFERROR(VALUE(MID(TRIM(SUBSTITUTE(SUBSTITUTE(MID(Общий!B210,SEARCH("Karcher",Общий!B210,1),19),".",""),"-","")),SEARCH("Karcher",TRIM(SUBSTITUTE(SUBSTITUTE(MID(Общий!B210,SEARCH("Karcher",Общий!B210,1),19),".",""),"-","")),1)+8,8)),VALUE(LEFT(SUBSTITUTE(SUBSTITUTE(Общий!B210,".",""),"-",""),8))),"0"),IFERROR(VALUE(MID(TRIM(SUBSTITUTE(SUBSTITUTE(MID(Общий!B210,SEARCH("Karcher",Общий!B210,1),19),".",""),"-","")),SEARCH("Karcher",TRIM(SUBSTITUTE(SUBSTITUTE(MID(Общий!B210,SEARCH("Karcher",Общий!B210,1),19),".",""),"-","")),1)+8,8)),VALUE(LEFT(SUBSTITUTE(SUBSTITUTE(Общий!B210,".",""),"-",""),8))))),0)</f>
        <v>90024560</v>
      </c>
      <c r="B210" s="25" t="str">
        <f>IFERROR(CONCATENATE(VALUE(IF(LEN(IFERROR(VALUE(MID(TRIM(SUBSTITUTE(SUBSTITUTE(MID(Общий!B210,SEARCH("Karcher",Общий!B210,1),19),".",""),"-","")),SEARCH("Karcher",TRIM(SUBSTITUTE(SUBSTITUTE(MID(Общий!B210,SEARCH("Karcher",Общий!B210,1),19),".",""),"-","")),1)+8,8)),VALUE(LEFT(SUBSTITUTE(SUBSTITUTE(Общий!B210,".",""),"-",""),8))))=7,CONCATENATE(IFERROR(VALUE(MID(TRIM(SUBSTITUTE(SUBSTITUTE(MID(Общий!B210,SEARCH("Karcher",Общий!B210,1),19),".",""),"-","")),SEARCH("Karcher",TRIM(SUBSTITUTE(SUBSTITUTE(MID(Общий!B210,SEARCH("Karcher",Общий!B210,1),19),".",""),"-","")),1)+8,8)),VALUE(LEFT(SUBSTITUTE(SUBSTITUTE(Общий!B210,".",""),"-",""),8))),"0"),IFERROR(VALUE(MID(TRIM(SUBSTITUTE(SUBSTITUTE(MID(Общий!B210,SEARCH("Karcher",Общий!B210,1),19),".",""),"-","")),SEARCH("Karcher",TRIM(SUBSTITUTE(SUBSTITUTE(MID(Общий!B210,SEARCH("Karcher",Общий!B210,1),19),".",""),"-","")),1)+8,8)),VALUE(LEFT(SUBSTITUTE(SUBSTITUTE(Общий!B210,".",""),"-",""),8)))))," ",Общий!C210),0)</f>
        <v>90024560 1</v>
      </c>
      <c r="C210" s="29" t="str">
        <f>Общий!A210</f>
        <v>202</v>
      </c>
      <c r="D210" s="27" t="str">
        <f>Общий!B210</f>
        <v>9002456 Головка насоса Karcher *1* код : 005024</v>
      </c>
      <c r="E210" s="28">
        <f>Общий!C210</f>
        <v>1</v>
      </c>
      <c r="F210" s="21"/>
      <c r="G210" s="44"/>
      <c r="H210" s="44"/>
      <c r="I210" s="44"/>
      <c r="J210" s="35"/>
      <c r="K210" s="16"/>
    </row>
    <row r="211" spans="1:11">
      <c r="A211" s="31">
        <f>IFERROR(VALUE(IF(LEN(IFERROR(VALUE(MID(TRIM(SUBSTITUTE(SUBSTITUTE(MID(Общий!B211,SEARCH("Karcher",Общий!B211,1),19),".",""),"-","")),SEARCH("Karcher",TRIM(SUBSTITUTE(SUBSTITUTE(MID(Общий!B211,SEARCH("Karcher",Общий!B211,1),19),".",""),"-","")),1)+8,8)),VALUE(LEFT(SUBSTITUTE(SUBSTITUTE(Общий!B211,".",""),"-",""),8))))=7,CONCATENATE(IFERROR(VALUE(MID(TRIM(SUBSTITUTE(SUBSTITUTE(MID(Общий!B211,SEARCH("Karcher",Общий!B211,1),19),".",""),"-","")),SEARCH("Karcher",TRIM(SUBSTITUTE(SUBSTITUTE(MID(Общий!B211,SEARCH("Karcher",Общий!B211,1),19),".",""),"-","")),1)+8,8)),VALUE(LEFT(SUBSTITUTE(SUBSTITUTE(Общий!B211,".",""),"-",""),8))),"0"),IFERROR(VALUE(MID(TRIM(SUBSTITUTE(SUBSTITUTE(MID(Общий!B211,SEARCH("Karcher",Общий!B211,1),19),".",""),"-","")),SEARCH("Karcher",TRIM(SUBSTITUTE(SUBSTITUTE(MID(Общий!B211,SEARCH("Karcher",Общий!B211,1),19),".",""),"-","")),1)+8,8)),VALUE(LEFT(SUBSTITUTE(SUBSTITUTE(Общий!B211,".",""),"-",""),8))))),0)</f>
        <v>90024560</v>
      </c>
      <c r="B211" s="25" t="str">
        <f>IFERROR(CONCATENATE(VALUE(IF(LEN(IFERROR(VALUE(MID(TRIM(SUBSTITUTE(SUBSTITUTE(MID(Общий!B211,SEARCH("Karcher",Общий!B211,1),19),".",""),"-","")),SEARCH("Karcher",TRIM(SUBSTITUTE(SUBSTITUTE(MID(Общий!B211,SEARCH("Karcher",Общий!B211,1),19),".",""),"-","")),1)+8,8)),VALUE(LEFT(SUBSTITUTE(SUBSTITUTE(Общий!B211,".",""),"-",""),8))))=7,CONCATENATE(IFERROR(VALUE(MID(TRIM(SUBSTITUTE(SUBSTITUTE(MID(Общий!B211,SEARCH("Karcher",Общий!B211,1),19),".",""),"-","")),SEARCH("Karcher",TRIM(SUBSTITUTE(SUBSTITUTE(MID(Общий!B211,SEARCH("Karcher",Общий!B211,1),19),".",""),"-","")),1)+8,8)),VALUE(LEFT(SUBSTITUTE(SUBSTITUTE(Общий!B211,".",""),"-",""),8))),"0"),IFERROR(VALUE(MID(TRIM(SUBSTITUTE(SUBSTITUTE(MID(Общий!B211,SEARCH("Karcher",Общий!B211,1),19),".",""),"-","")),SEARCH("Karcher",TRIM(SUBSTITUTE(SUBSTITUTE(MID(Общий!B211,SEARCH("Karcher",Общий!B211,1),19),".",""),"-","")),1)+8,8)),VALUE(LEFT(SUBSTITUTE(SUBSTITUTE(Общий!B211,".",""),"-",""),8)))))," ",Общий!C211),0)</f>
        <v>90024560 2</v>
      </c>
      <c r="C211" s="29" t="str">
        <f>Общий!A211</f>
        <v>203</v>
      </c>
      <c r="D211" s="27" t="str">
        <f>Общий!B211</f>
        <v>9002456 Головка насоса Karcher *1* код : 005024</v>
      </c>
      <c r="E211" s="28">
        <f>Общий!C211</f>
        <v>2</v>
      </c>
      <c r="F211" s="21"/>
      <c r="G211" s="44"/>
      <c r="H211" s="44"/>
      <c r="I211" s="44"/>
      <c r="J211" s="35"/>
      <c r="K211" s="16"/>
    </row>
    <row r="212" spans="1:11">
      <c r="A212" s="31">
        <f>IFERROR(VALUE(IF(LEN(IFERROR(VALUE(MID(TRIM(SUBSTITUTE(SUBSTITUTE(MID(Общий!B212,SEARCH("Karcher",Общий!B212,1),19),".",""),"-","")),SEARCH("Karcher",TRIM(SUBSTITUTE(SUBSTITUTE(MID(Общий!B212,SEARCH("Karcher",Общий!B212,1),19),".",""),"-","")),1)+8,8)),VALUE(LEFT(SUBSTITUTE(SUBSTITUTE(Общий!B212,".",""),"-",""),8))))=7,CONCATENATE(IFERROR(VALUE(MID(TRIM(SUBSTITUTE(SUBSTITUTE(MID(Общий!B212,SEARCH("Karcher",Общий!B212,1),19),".",""),"-","")),SEARCH("Karcher",TRIM(SUBSTITUTE(SUBSTITUTE(MID(Общий!B212,SEARCH("Karcher",Общий!B212,1),19),".",""),"-","")),1)+8,8)),VALUE(LEFT(SUBSTITUTE(SUBSTITUTE(Общий!B212,".",""),"-",""),8))),"0"),IFERROR(VALUE(MID(TRIM(SUBSTITUTE(SUBSTITUTE(MID(Общий!B212,SEARCH("Karcher",Общий!B212,1),19),".",""),"-","")),SEARCH("Karcher",TRIM(SUBSTITUTE(SUBSTITUTE(MID(Общий!B212,SEARCH("Karcher",Общий!B212,1),19),".",""),"-","")),1)+8,8)),VALUE(LEFT(SUBSTITUTE(SUBSTITUTE(Общий!B212,".",""),"-",""),8))))),0)</f>
        <v>90122780</v>
      </c>
      <c r="B212" s="25" t="str">
        <f>IFERROR(CONCATENATE(VALUE(IF(LEN(IFERROR(VALUE(MID(TRIM(SUBSTITUTE(SUBSTITUTE(MID(Общий!B212,SEARCH("Karcher",Общий!B212,1),19),".",""),"-","")),SEARCH("Karcher",TRIM(SUBSTITUTE(SUBSTITUTE(MID(Общий!B212,SEARCH("Karcher",Общий!B212,1),19),".",""),"-","")),1)+8,8)),VALUE(LEFT(SUBSTITUTE(SUBSTITUTE(Общий!B212,".",""),"-",""),8))))=7,CONCATENATE(IFERROR(VALUE(MID(TRIM(SUBSTITUTE(SUBSTITUTE(MID(Общий!B212,SEARCH("Karcher",Общий!B212,1),19),".",""),"-","")),SEARCH("Karcher",TRIM(SUBSTITUTE(SUBSTITUTE(MID(Общий!B212,SEARCH("Karcher",Общий!B212,1),19),".",""),"-","")),1)+8,8)),VALUE(LEFT(SUBSTITUTE(SUBSTITUTE(Общий!B212,".",""),"-",""),8))),"0"),IFERROR(VALUE(MID(TRIM(SUBSTITUTE(SUBSTITUTE(MID(Общий!B212,SEARCH("Karcher",Общий!B212,1),19),".",""),"-","")),SEARCH("Karcher",TRIM(SUBSTITUTE(SUBSTITUTE(MID(Общий!B212,SEARCH("Karcher",Общий!B212,1),19),".",""),"-","")),1)+8,8)),VALUE(LEFT(SUBSTITUTE(SUBSTITUTE(Общий!B212,".",""),"-",""),8)))))," ",Общий!C212),0)</f>
        <v>90122780 1</v>
      </c>
      <c r="C212" s="29" t="str">
        <f>Общий!A212</f>
        <v>204</v>
      </c>
      <c r="D212" s="27" t="str">
        <f>Общий!B212</f>
        <v>Насадка Karcher 9.012-278 код : 030194</v>
      </c>
      <c r="E212" s="28">
        <f>Общий!C212</f>
        <v>1</v>
      </c>
      <c r="F212" s="21"/>
      <c r="G212" s="44"/>
      <c r="H212" s="44"/>
      <c r="I212" s="44"/>
      <c r="J212" s="35"/>
      <c r="K212" s="16"/>
    </row>
    <row r="213" spans="1:11">
      <c r="A213" s="31">
        <f>IFERROR(VALUE(IF(LEN(IFERROR(VALUE(MID(TRIM(SUBSTITUTE(SUBSTITUTE(MID(Общий!B213,SEARCH("Karcher",Общий!B213,1),19),".",""),"-","")),SEARCH("Karcher",TRIM(SUBSTITUTE(SUBSTITUTE(MID(Общий!B213,SEARCH("Karcher",Общий!B213,1),19),".",""),"-","")),1)+8,8)),VALUE(LEFT(SUBSTITUTE(SUBSTITUTE(Общий!B213,".",""),"-",""),8))))=7,CONCATENATE(IFERROR(VALUE(MID(TRIM(SUBSTITUTE(SUBSTITUTE(MID(Общий!B213,SEARCH("Karcher",Общий!B213,1),19),".",""),"-","")),SEARCH("Karcher",TRIM(SUBSTITUTE(SUBSTITUTE(MID(Общий!B213,SEARCH("Karcher",Общий!B213,1),19),".",""),"-","")),1)+8,8)),VALUE(LEFT(SUBSTITUTE(SUBSTITUTE(Общий!B213,".",""),"-",""),8))),"0"),IFERROR(VALUE(MID(TRIM(SUBSTITUTE(SUBSTITUTE(MID(Общий!B213,SEARCH("Karcher",Общий!B213,1),19),".",""),"-","")),SEARCH("Karcher",TRIM(SUBSTITUTE(SUBSTITUTE(MID(Общий!B213,SEARCH("Karcher",Общий!B213,1),19),".",""),"-","")),1)+8,8)),VALUE(LEFT(SUBSTITUTE(SUBSTITUTE(Общий!B213,".",""),"-",""),8))))),0)</f>
        <v>96052860</v>
      </c>
      <c r="B213" s="25" t="str">
        <f>IFERROR(CONCATENATE(VALUE(IF(LEN(IFERROR(VALUE(MID(TRIM(SUBSTITUTE(SUBSTITUTE(MID(Общий!B213,SEARCH("Karcher",Общий!B213,1),19),".",""),"-","")),SEARCH("Karcher",TRIM(SUBSTITUTE(SUBSTITUTE(MID(Общий!B213,SEARCH("Karcher",Общий!B213,1),19),".",""),"-","")),1)+8,8)),VALUE(LEFT(SUBSTITUTE(SUBSTITUTE(Общий!B213,".",""),"-",""),8))))=7,CONCATENATE(IFERROR(VALUE(MID(TRIM(SUBSTITUTE(SUBSTITUTE(MID(Общий!B213,SEARCH("Karcher",Общий!B213,1),19),".",""),"-","")),SEARCH("Karcher",TRIM(SUBSTITUTE(SUBSTITUTE(MID(Общий!B213,SEARCH("Karcher",Общий!B213,1),19),".",""),"-","")),1)+8,8)),VALUE(LEFT(SUBSTITUTE(SUBSTITUTE(Общий!B213,".",""),"-",""),8))),"0"),IFERROR(VALUE(MID(TRIM(SUBSTITUTE(SUBSTITUTE(MID(Общий!B213,SEARCH("Karcher",Общий!B213,1),19),".",""),"-","")),SEARCH("Karcher",TRIM(SUBSTITUTE(SUBSTITUTE(MID(Общий!B213,SEARCH("Karcher",Общий!B213,1),19),".",""),"-","")),1)+8,8)),VALUE(LEFT(SUBSTITUTE(SUBSTITUTE(Общий!B213,".",""),"-",""),8)))))," ",Общий!C213),0)</f>
        <v>96052860 2</v>
      </c>
      <c r="C213" s="29" t="str">
        <f>Общий!A213</f>
        <v>205</v>
      </c>
      <c r="D213" s="27" t="str">
        <f>Общий!B213</f>
        <v>K PARTS Средство для чистки полов 10л Karcher 9.605-286 код : 000883</v>
      </c>
      <c r="E213" s="28">
        <f>Общий!C213</f>
        <v>2</v>
      </c>
      <c r="F213" s="21"/>
      <c r="G213" s="44"/>
      <c r="H213" s="44"/>
      <c r="I213" s="44"/>
      <c r="J213" s="35"/>
      <c r="K213" s="16"/>
    </row>
    <row r="214" spans="1:11">
      <c r="A214" s="31">
        <f>IFERROR(VALUE(IF(LEN(IFERROR(VALUE(MID(TRIM(SUBSTITUTE(SUBSTITUTE(MID(Общий!B214,SEARCH("Karcher",Общий!B214,1),19),".",""),"-","")),SEARCH("Karcher",TRIM(SUBSTITUTE(SUBSTITUTE(MID(Общий!B214,SEARCH("Karcher",Общий!B214,1),19),".",""),"-","")),1)+8,8)),VALUE(LEFT(SUBSTITUTE(SUBSTITUTE(Общий!B214,".",""),"-",""),8))))=7,CONCATENATE(IFERROR(VALUE(MID(TRIM(SUBSTITUTE(SUBSTITUTE(MID(Общий!B214,SEARCH("Karcher",Общий!B214,1),19),".",""),"-","")),SEARCH("Karcher",TRIM(SUBSTITUTE(SUBSTITUTE(MID(Общий!B214,SEARCH("Karcher",Общий!B214,1),19),".",""),"-","")),1)+8,8)),VALUE(LEFT(SUBSTITUTE(SUBSTITUTE(Общий!B214,".",""),"-",""),8))),"0"),IFERROR(VALUE(MID(TRIM(SUBSTITUTE(SUBSTITUTE(MID(Общий!B214,SEARCH("Karcher",Общий!B214,1),19),".",""),"-","")),SEARCH("Karcher",TRIM(SUBSTITUTE(SUBSTITUTE(MID(Общий!B214,SEARCH("Karcher",Общий!B214,1),19),".",""),"-","")),1)+8,8)),VALUE(LEFT(SUBSTITUTE(SUBSTITUTE(Общий!B214,".",""),"-",""),8))))),0)</f>
        <v>97510040</v>
      </c>
      <c r="B214" s="25" t="str">
        <f>IFERROR(CONCATENATE(VALUE(IF(LEN(IFERROR(VALUE(MID(TRIM(SUBSTITUTE(SUBSTITUTE(MID(Общий!B214,SEARCH("Karcher",Общий!B214,1),19),".",""),"-","")),SEARCH("Karcher",TRIM(SUBSTITUTE(SUBSTITUTE(MID(Общий!B214,SEARCH("Karcher",Общий!B214,1),19),".",""),"-","")),1)+8,8)),VALUE(LEFT(SUBSTITUTE(SUBSTITUTE(Общий!B214,".",""),"-",""),8))))=7,CONCATENATE(IFERROR(VALUE(MID(TRIM(SUBSTITUTE(SUBSTITUTE(MID(Общий!B214,SEARCH("Karcher",Общий!B214,1),19),".",""),"-","")),SEARCH("Karcher",TRIM(SUBSTITUTE(SUBSTITUTE(MID(Общий!B214,SEARCH("Karcher",Общий!B214,1),19),".",""),"-","")),1)+8,8)),VALUE(LEFT(SUBSTITUTE(SUBSTITUTE(Общий!B214,".",""),"-",""),8))),"0"),IFERROR(VALUE(MID(TRIM(SUBSTITUTE(SUBSTITUTE(MID(Общий!B214,SEARCH("Karcher",Общий!B214,1),19),".",""),"-","")),SEARCH("Karcher",TRIM(SUBSTITUTE(SUBSTITUTE(MID(Общий!B214,SEARCH("Karcher",Общий!B214,1),19),".",""),"-","")),1)+8,8)),VALUE(LEFT(SUBSTITUTE(SUBSTITUTE(Общий!B214,".",""),"-",""),8)))))," ",Общий!C214),0)</f>
        <v>97510040 1</v>
      </c>
      <c r="C214" s="29" t="str">
        <f>Общий!A214</f>
        <v>206</v>
      </c>
      <c r="D214" s="27" t="str">
        <f>Общий!B214</f>
        <v>9751004 *Клапан ВД Karcher код : 005247</v>
      </c>
      <c r="E214" s="28">
        <f>Общий!C214</f>
        <v>1</v>
      </c>
      <c r="F214" s="21"/>
      <c r="G214" s="44"/>
      <c r="H214" s="44"/>
      <c r="I214" s="44"/>
      <c r="J214" s="35"/>
      <c r="K214" s="16"/>
    </row>
    <row r="215" spans="1:11">
      <c r="A215" s="31">
        <f>IFERROR(VALUE(IF(LEN(IFERROR(VALUE(MID(TRIM(SUBSTITUTE(SUBSTITUTE(MID(Общий!B215,SEARCH("Karcher",Общий!B215,1),19),".",""),"-","")),SEARCH("Karcher",TRIM(SUBSTITUTE(SUBSTITUTE(MID(Общий!B215,SEARCH("Karcher",Общий!B215,1),19),".",""),"-","")),1)+8,8)),VALUE(LEFT(SUBSTITUTE(SUBSTITUTE(Общий!B215,".",""),"-",""),8))))=7,CONCATENATE(IFERROR(VALUE(MID(TRIM(SUBSTITUTE(SUBSTITUTE(MID(Общий!B215,SEARCH("Karcher",Общий!B215,1),19),".",""),"-","")),SEARCH("Karcher",TRIM(SUBSTITUTE(SUBSTITUTE(MID(Общий!B215,SEARCH("Karcher",Общий!B215,1),19),".",""),"-","")),1)+8,8)),VALUE(LEFT(SUBSTITUTE(SUBSTITUTE(Общий!B215,".",""),"-",""),8))),"0"),IFERROR(VALUE(MID(TRIM(SUBSTITUTE(SUBSTITUTE(MID(Общий!B215,SEARCH("Karcher",Общий!B215,1),19),".",""),"-","")),SEARCH("Karcher",TRIM(SUBSTITUTE(SUBSTITUTE(MID(Общий!B215,SEARCH("Karcher",Общий!B215,1),19),".",""),"-","")),1)+8,8)),VALUE(LEFT(SUBSTITUTE(SUBSTITUTE(Общий!B215,".",""),"-",""),8))))),0)</f>
        <v>97510040</v>
      </c>
      <c r="B215" s="25" t="str">
        <f>IFERROR(CONCATENATE(VALUE(IF(LEN(IFERROR(VALUE(MID(TRIM(SUBSTITUTE(SUBSTITUTE(MID(Общий!B215,SEARCH("Karcher",Общий!B215,1),19),".",""),"-","")),SEARCH("Karcher",TRIM(SUBSTITUTE(SUBSTITUTE(MID(Общий!B215,SEARCH("Karcher",Общий!B215,1),19),".",""),"-","")),1)+8,8)),VALUE(LEFT(SUBSTITUTE(SUBSTITUTE(Общий!B215,".",""),"-",""),8))))=7,CONCATENATE(IFERROR(VALUE(MID(TRIM(SUBSTITUTE(SUBSTITUTE(MID(Общий!B215,SEARCH("Karcher",Общий!B215,1),19),".",""),"-","")),SEARCH("Karcher",TRIM(SUBSTITUTE(SUBSTITUTE(MID(Общий!B215,SEARCH("Karcher",Общий!B215,1),19),".",""),"-","")),1)+8,8)),VALUE(LEFT(SUBSTITUTE(SUBSTITUTE(Общий!B215,".",""),"-",""),8))),"0"),IFERROR(VALUE(MID(TRIM(SUBSTITUTE(SUBSTITUTE(MID(Общий!B215,SEARCH("Karcher",Общий!B215,1),19),".",""),"-","")),SEARCH("Karcher",TRIM(SUBSTITUTE(SUBSTITUTE(MID(Общий!B215,SEARCH("Karcher",Общий!B215,1),19),".",""),"-","")),1)+8,8)),VALUE(LEFT(SUBSTITUTE(SUBSTITUTE(Общий!B215,".",""),"-",""),8)))))," ",Общий!C215),0)</f>
        <v>97510040 6</v>
      </c>
      <c r="C215" s="29" t="str">
        <f>Общий!A215</f>
        <v>207</v>
      </c>
      <c r="D215" s="27" t="str">
        <f>Общий!B215</f>
        <v>9751004 *Клапан ВД Karcher код : 005247</v>
      </c>
      <c r="E215" s="28">
        <f>Общий!C215</f>
        <v>6</v>
      </c>
      <c r="F215" s="21"/>
      <c r="G215" s="44"/>
      <c r="H215" s="44"/>
      <c r="I215" s="44"/>
      <c r="J215" s="35"/>
      <c r="K215" s="16"/>
    </row>
    <row r="216" spans="1:11">
      <c r="A216" s="31">
        <f>IFERROR(VALUE(IF(LEN(IFERROR(VALUE(MID(TRIM(SUBSTITUTE(SUBSTITUTE(MID(Общий!B216,SEARCH("Karcher",Общий!B216,1),19),".",""),"-","")),SEARCH("Karcher",TRIM(SUBSTITUTE(SUBSTITUTE(MID(Общий!B216,SEARCH("Karcher",Общий!B216,1),19),".",""),"-","")),1)+8,8)),VALUE(LEFT(SUBSTITUTE(SUBSTITUTE(Общий!B216,".",""),"-",""),8))))=7,CONCATENATE(IFERROR(VALUE(MID(TRIM(SUBSTITUTE(SUBSTITUTE(MID(Общий!B216,SEARCH("Karcher",Общий!B216,1),19),".",""),"-","")),SEARCH("Karcher",TRIM(SUBSTITUTE(SUBSTITUTE(MID(Общий!B216,SEARCH("Karcher",Общий!B216,1),19),".",""),"-","")),1)+8,8)),VALUE(LEFT(SUBSTITUTE(SUBSTITUTE(Общий!B216,".",""),"-",""),8))),"0"),IFERROR(VALUE(MID(TRIM(SUBSTITUTE(SUBSTITUTE(MID(Общий!B216,SEARCH("Karcher",Общий!B216,1),19),".",""),"-","")),SEARCH("Karcher",TRIM(SUBSTITUTE(SUBSTITUTE(MID(Общий!B216,SEARCH("Karcher",Общий!B216,1),19),".",""),"-","")),1)+8,8)),VALUE(LEFT(SUBSTITUTE(SUBSTITUTE(Общий!B216,".",""),"-",""),8))))),0)</f>
        <v>97510270</v>
      </c>
      <c r="B216" s="25" t="str">
        <f>IFERROR(CONCATENATE(VALUE(IF(LEN(IFERROR(VALUE(MID(TRIM(SUBSTITUTE(SUBSTITUTE(MID(Общий!B216,SEARCH("Karcher",Общий!B216,1),19),".",""),"-","")),SEARCH("Karcher",TRIM(SUBSTITUTE(SUBSTITUTE(MID(Общий!B216,SEARCH("Karcher",Общий!B216,1),19),".",""),"-","")),1)+8,8)),VALUE(LEFT(SUBSTITUTE(SUBSTITUTE(Общий!B216,".",""),"-",""),8))))=7,CONCATENATE(IFERROR(VALUE(MID(TRIM(SUBSTITUTE(SUBSTITUTE(MID(Общий!B216,SEARCH("Karcher",Общий!B216,1),19),".",""),"-","")),SEARCH("Karcher",TRIM(SUBSTITUTE(SUBSTITUTE(MID(Общий!B216,SEARCH("Karcher",Общий!B216,1),19),".",""),"-","")),1)+8,8)),VALUE(LEFT(SUBSTITUTE(SUBSTITUTE(Общий!B216,".",""),"-",""),8))),"0"),IFERROR(VALUE(MID(TRIM(SUBSTITUTE(SUBSTITUTE(MID(Общий!B216,SEARCH("Karcher",Общий!B216,1),19),".",""),"-","")),SEARCH("Karcher",TRIM(SUBSTITUTE(SUBSTITUTE(MID(Общий!B216,SEARCH("Karcher",Общий!B216,1),19),".",""),"-","")),1)+8,8)),VALUE(LEFT(SUBSTITUTE(SUBSTITUTE(Общий!B216,".",""),"-",""),8)))))," ",Общий!C216),0)</f>
        <v>97510270 1</v>
      </c>
      <c r="C216" s="29" t="str">
        <f>Общий!A216</f>
        <v>208</v>
      </c>
      <c r="D216" s="27" t="str">
        <f>Общий!B216</f>
        <v>9751027 Поршень с сборе Karcher код : 005015</v>
      </c>
      <c r="E216" s="28">
        <f>Общий!C216</f>
        <v>1</v>
      </c>
      <c r="F216" s="16"/>
      <c r="G216" s="44"/>
      <c r="H216" s="44"/>
      <c r="I216" s="44"/>
      <c r="J216" s="35"/>
      <c r="K216" s="16"/>
    </row>
    <row r="217" spans="1:11">
      <c r="A217" s="31">
        <f>IFERROR(VALUE(IF(LEN(IFERROR(VALUE(MID(TRIM(SUBSTITUTE(SUBSTITUTE(MID(Общий!B217,SEARCH("Karcher",Общий!B217,1),19),".",""),"-","")),SEARCH("Karcher",TRIM(SUBSTITUTE(SUBSTITUTE(MID(Общий!B217,SEARCH("Karcher",Общий!B217,1),19),".",""),"-","")),1)+8,8)),VALUE(LEFT(SUBSTITUTE(SUBSTITUTE(Общий!B217,".",""),"-",""),8))))=7,CONCATENATE(IFERROR(VALUE(MID(TRIM(SUBSTITUTE(SUBSTITUTE(MID(Общий!B217,SEARCH("Karcher",Общий!B217,1),19),".",""),"-","")),SEARCH("Karcher",TRIM(SUBSTITUTE(SUBSTITUTE(MID(Общий!B217,SEARCH("Karcher",Общий!B217,1),19),".",""),"-","")),1)+8,8)),VALUE(LEFT(SUBSTITUTE(SUBSTITUTE(Общий!B217,".",""),"-",""),8))),"0"),IFERROR(VALUE(MID(TRIM(SUBSTITUTE(SUBSTITUTE(MID(Общий!B217,SEARCH("Karcher",Общий!B217,1),19),".",""),"-","")),SEARCH("Karcher",TRIM(SUBSTITUTE(SUBSTITUTE(MID(Общий!B217,SEARCH("Karcher",Общий!B217,1),19),".",""),"-","")),1)+8,8)),VALUE(LEFT(SUBSTITUTE(SUBSTITUTE(Общий!B217,".",""),"-",""),8))))),0)</f>
        <v>97510270</v>
      </c>
      <c r="B217" s="25" t="str">
        <f>IFERROR(CONCATENATE(VALUE(IF(LEN(IFERROR(VALUE(MID(TRIM(SUBSTITUTE(SUBSTITUTE(MID(Общий!B217,SEARCH("Karcher",Общий!B217,1),19),".",""),"-","")),SEARCH("Karcher",TRIM(SUBSTITUTE(SUBSTITUTE(MID(Общий!B217,SEARCH("Karcher",Общий!B217,1),19),".",""),"-","")),1)+8,8)),VALUE(LEFT(SUBSTITUTE(SUBSTITUTE(Общий!B217,".",""),"-",""),8))))=7,CONCATENATE(IFERROR(VALUE(MID(TRIM(SUBSTITUTE(SUBSTITUTE(MID(Общий!B217,SEARCH("Karcher",Общий!B217,1),19),".",""),"-","")),SEARCH("Karcher",TRIM(SUBSTITUTE(SUBSTITUTE(MID(Общий!B217,SEARCH("Karcher",Общий!B217,1),19),".",""),"-","")),1)+8,8)),VALUE(LEFT(SUBSTITUTE(SUBSTITUTE(Общий!B217,".",""),"-",""),8))),"0"),IFERROR(VALUE(MID(TRIM(SUBSTITUTE(SUBSTITUTE(MID(Общий!B217,SEARCH("Karcher",Общий!B217,1),19),".",""),"-","")),SEARCH("Karcher",TRIM(SUBSTITUTE(SUBSTITUTE(MID(Общий!B217,SEARCH("Karcher",Общий!B217,1),19),".",""),"-","")),1)+8,8)),VALUE(LEFT(SUBSTITUTE(SUBSTITUTE(Общий!B217,".",""),"-",""),8)))))," ",Общий!C217),0)</f>
        <v>97510270 3</v>
      </c>
      <c r="C217" s="29" t="str">
        <f>Общий!A217</f>
        <v>209</v>
      </c>
      <c r="D217" s="27" t="str">
        <f>Общий!B217</f>
        <v>9751027 Поршень с сборе Karcher код : 005015</v>
      </c>
      <c r="E217" s="28">
        <f>Общий!C217</f>
        <v>3</v>
      </c>
      <c r="F217" s="16"/>
      <c r="G217" s="44"/>
      <c r="H217" s="44"/>
      <c r="I217" s="44"/>
      <c r="J217" s="35"/>
      <c r="K217" s="16"/>
    </row>
    <row r="218" spans="1:11">
      <c r="A218" s="31">
        <f>IFERROR(VALUE(IF(LEN(IFERROR(VALUE(MID(TRIM(SUBSTITUTE(SUBSTITUTE(MID(Общий!B218,SEARCH("Karcher",Общий!B218,1),19),".",""),"-","")),SEARCH("Karcher",TRIM(SUBSTITUTE(SUBSTITUTE(MID(Общий!B218,SEARCH("Karcher",Общий!B218,1),19),".",""),"-","")),1)+8,8)),VALUE(LEFT(SUBSTITUTE(SUBSTITUTE(Общий!B218,".",""),"-",""),8))))=7,CONCATENATE(IFERROR(VALUE(MID(TRIM(SUBSTITUTE(SUBSTITUTE(MID(Общий!B218,SEARCH("Karcher",Общий!B218,1),19),".",""),"-","")),SEARCH("Karcher",TRIM(SUBSTITUTE(SUBSTITUTE(MID(Общий!B218,SEARCH("Karcher",Общий!B218,1),19),".",""),"-","")),1)+8,8)),VALUE(LEFT(SUBSTITUTE(SUBSTITUTE(Общий!B218,".",""),"-",""),8))),"0"),IFERROR(VALUE(MID(TRIM(SUBSTITUTE(SUBSTITUTE(MID(Общий!B218,SEARCH("Karcher",Общий!B218,1),19),".",""),"-","")),SEARCH("Karcher",TRIM(SUBSTITUTE(SUBSTITUTE(MID(Общий!B218,SEARCH("Karcher",Общий!B218,1),19),".",""),"-","")),1)+8,8)),VALUE(LEFT(SUBSTITUTE(SUBSTITUTE(Общий!B218,".",""),"-",""),8))))),0)</f>
        <v>97630070</v>
      </c>
      <c r="B218" s="25" t="str">
        <f>IFERROR(CONCATENATE(VALUE(IF(LEN(IFERROR(VALUE(MID(TRIM(SUBSTITUTE(SUBSTITUTE(MID(Общий!B218,SEARCH("Karcher",Общий!B218,1),19),".",""),"-","")),SEARCH("Karcher",TRIM(SUBSTITUTE(SUBSTITUTE(MID(Общий!B218,SEARCH("Karcher",Общий!B218,1),19),".",""),"-","")),1)+8,8)),VALUE(LEFT(SUBSTITUTE(SUBSTITUTE(Общий!B218,".",""),"-",""),8))))=7,CONCATENATE(IFERROR(VALUE(MID(TRIM(SUBSTITUTE(SUBSTITUTE(MID(Общий!B218,SEARCH("Karcher",Общий!B218,1),19),".",""),"-","")),SEARCH("Karcher",TRIM(SUBSTITUTE(SUBSTITUTE(MID(Общий!B218,SEARCH("Karcher",Общий!B218,1),19),".",""),"-","")),1)+8,8)),VALUE(LEFT(SUBSTITUTE(SUBSTITUTE(Общий!B218,".",""),"-",""),8))),"0"),IFERROR(VALUE(MID(TRIM(SUBSTITUTE(SUBSTITUTE(MID(Общий!B218,SEARCH("Karcher",Общий!B218,1),19),".",""),"-","")),SEARCH("Karcher",TRIM(SUBSTITUTE(SUBSTITUTE(MID(Общий!B218,SEARCH("Karcher",Общий!B218,1),19),".",""),"-","")),1)+8,8)),VALUE(LEFT(SUBSTITUTE(SUBSTITUTE(Общий!B218,".",""),"-",""),8)))))," ",Общий!C218),0)</f>
        <v>97630070 1</v>
      </c>
      <c r="C218" s="29" t="str">
        <f>Общий!A218</f>
        <v>210</v>
      </c>
      <c r="D218" s="27" t="str">
        <f>Общий!B218</f>
        <v>Крышка для бака чистой воды Karcher 9.763-007 код : 030058</v>
      </c>
      <c r="E218" s="28">
        <f>Общий!C218</f>
        <v>1</v>
      </c>
      <c r="F218" s="16"/>
      <c r="G218" s="44"/>
      <c r="H218" s="44"/>
      <c r="I218" s="44"/>
      <c r="J218" s="35"/>
      <c r="K218" s="16"/>
    </row>
    <row r="219" spans="1:11">
      <c r="A219" s="31">
        <f>IFERROR(VALUE(IF(LEN(IFERROR(VALUE(MID(TRIM(SUBSTITUTE(SUBSTITUTE(MID(Общий!B219,SEARCH("Karcher",Общий!B219,1),19),".",""),"-","")),SEARCH("Karcher",TRIM(SUBSTITUTE(SUBSTITUTE(MID(Общий!B219,SEARCH("Karcher",Общий!B219,1),19),".",""),"-","")),1)+8,8)),VALUE(LEFT(SUBSTITUTE(SUBSTITUTE(Общий!B219,".",""),"-",""),8))))=7,CONCATENATE(IFERROR(VALUE(MID(TRIM(SUBSTITUTE(SUBSTITUTE(MID(Общий!B219,SEARCH("Karcher",Общий!B219,1),19),".",""),"-","")),SEARCH("Karcher",TRIM(SUBSTITUTE(SUBSTITUTE(MID(Общий!B219,SEARCH("Karcher",Общий!B219,1),19),".",""),"-","")),1)+8,8)),VALUE(LEFT(SUBSTITUTE(SUBSTITUTE(Общий!B219,".",""),"-",""),8))),"0"),IFERROR(VALUE(MID(TRIM(SUBSTITUTE(SUBSTITUTE(MID(Общий!B219,SEARCH("Karcher",Общий!B219,1),19),".",""),"-","")),SEARCH("Karcher",TRIM(SUBSTITUTE(SUBSTITUTE(MID(Общий!B219,SEARCH("Karcher",Общий!B219,1),19),".",""),"-","")),1)+8,8)),VALUE(LEFT(SUBSTITUTE(SUBSTITUTE(Общий!B219,".",""),"-",""),8))))),0)</f>
        <v>97630080</v>
      </c>
      <c r="B219" s="25" t="str">
        <f>IFERROR(CONCATENATE(VALUE(IF(LEN(IFERROR(VALUE(MID(TRIM(SUBSTITUTE(SUBSTITUTE(MID(Общий!B219,SEARCH("Karcher",Общий!B219,1),19),".",""),"-","")),SEARCH("Karcher",TRIM(SUBSTITUTE(SUBSTITUTE(MID(Общий!B219,SEARCH("Karcher",Общий!B219,1),19),".",""),"-","")),1)+8,8)),VALUE(LEFT(SUBSTITUTE(SUBSTITUTE(Общий!B219,".",""),"-",""),8))))=7,CONCATENATE(IFERROR(VALUE(MID(TRIM(SUBSTITUTE(SUBSTITUTE(MID(Общий!B219,SEARCH("Karcher",Общий!B219,1),19),".",""),"-","")),SEARCH("Karcher",TRIM(SUBSTITUTE(SUBSTITUTE(MID(Общий!B219,SEARCH("Karcher",Общий!B219,1),19),".",""),"-","")),1)+8,8)),VALUE(LEFT(SUBSTITUTE(SUBSTITUTE(Общий!B219,".",""),"-",""),8))),"0"),IFERROR(VALUE(MID(TRIM(SUBSTITUTE(SUBSTITUTE(MID(Общий!B219,SEARCH("Karcher",Общий!B219,1),19),".",""),"-","")),SEARCH("Karcher",TRIM(SUBSTITUTE(SUBSTITUTE(MID(Общий!B219,SEARCH("Karcher",Общий!B219,1),19),".",""),"-","")),1)+8,8)),VALUE(LEFT(SUBSTITUTE(SUBSTITUTE(Общий!B219,".",""),"-",""),8)))))," ",Общий!C219),0)</f>
        <v>97630080 1</v>
      </c>
      <c r="C219" s="29" t="str">
        <f>Общий!A219</f>
        <v>211</v>
      </c>
      <c r="D219" s="27" t="str">
        <f>Общий!B219</f>
        <v>9763008 Уплотнение под крышку слива Karcher код : 030799</v>
      </c>
      <c r="E219" s="28">
        <f>Общий!C219</f>
        <v>1</v>
      </c>
      <c r="F219" s="16"/>
      <c r="G219" s="44"/>
      <c r="H219" s="44"/>
      <c r="I219" s="44"/>
      <c r="J219" s="35"/>
      <c r="K219" s="16"/>
    </row>
    <row r="220" spans="1:11">
      <c r="A220" s="31">
        <f>IFERROR(VALUE(IF(LEN(IFERROR(VALUE(MID(TRIM(SUBSTITUTE(SUBSTITUTE(MID(Общий!B220,SEARCH("Karcher",Общий!B220,1),19),".",""),"-","")),SEARCH("Karcher",TRIM(SUBSTITUTE(SUBSTITUTE(MID(Общий!B220,SEARCH("Karcher",Общий!B220,1),19),".",""),"-","")),1)+8,8)),VALUE(LEFT(SUBSTITUTE(SUBSTITUTE(Общий!B220,".",""),"-",""),8))))=7,CONCATENATE(IFERROR(VALUE(MID(TRIM(SUBSTITUTE(SUBSTITUTE(MID(Общий!B220,SEARCH("Karcher",Общий!B220,1),19),".",""),"-","")),SEARCH("Karcher",TRIM(SUBSTITUTE(SUBSTITUTE(MID(Общий!B220,SEARCH("Karcher",Общий!B220,1),19),".",""),"-","")),1)+8,8)),VALUE(LEFT(SUBSTITUTE(SUBSTITUTE(Общий!B220,".",""),"-",""),8))),"0"),IFERROR(VALUE(MID(TRIM(SUBSTITUTE(SUBSTITUTE(MID(Общий!B220,SEARCH("Karcher",Общий!B220,1),19),".",""),"-","")),SEARCH("Karcher",TRIM(SUBSTITUTE(SUBSTITUTE(MID(Общий!B220,SEARCH("Karcher",Общий!B220,1),19),".",""),"-","")),1)+8,8)),VALUE(LEFT(SUBSTITUTE(SUBSTITUTE(Общий!B220,".",""),"-",""),8))))),0)</f>
        <v>97555490</v>
      </c>
      <c r="B220" s="25" t="str">
        <f>IFERROR(CONCATENATE(VALUE(IF(LEN(IFERROR(VALUE(MID(TRIM(SUBSTITUTE(SUBSTITUTE(MID(Общий!B220,SEARCH("Karcher",Общий!B220,1),19),".",""),"-","")),SEARCH("Karcher",TRIM(SUBSTITUTE(SUBSTITUTE(MID(Общий!B220,SEARCH("Karcher",Общий!B220,1),19),".",""),"-","")),1)+8,8)),VALUE(LEFT(SUBSTITUTE(SUBSTITUTE(Общий!B220,".",""),"-",""),8))))=7,CONCATENATE(IFERROR(VALUE(MID(TRIM(SUBSTITUTE(SUBSTITUTE(MID(Общий!B220,SEARCH("Karcher",Общий!B220,1),19),".",""),"-","")),SEARCH("Karcher",TRIM(SUBSTITUTE(SUBSTITUTE(MID(Общий!B220,SEARCH("Karcher",Общий!B220,1),19),".",""),"-","")),1)+8,8)),VALUE(LEFT(SUBSTITUTE(SUBSTITUTE(Общий!B220,".",""),"-",""),8))),"0"),IFERROR(VALUE(MID(TRIM(SUBSTITUTE(SUBSTITUTE(MID(Общий!B220,SEARCH("Karcher",Общий!B220,1),19),".",""),"-","")),SEARCH("Karcher",TRIM(SUBSTITUTE(SUBSTITUTE(MID(Общий!B220,SEARCH("Karcher",Общий!B220,1),19),".",""),"-","")),1)+8,8)),VALUE(LEFT(SUBSTITUTE(SUBSTITUTE(Общий!B220,".",""),"-",""),8)))))," ",Общий!C220),0)</f>
        <v>97555490 5</v>
      </c>
      <c r="C220" s="29" t="str">
        <f>Общий!A220</f>
        <v>212</v>
      </c>
      <c r="D220" s="27" t="str">
        <f>Общий!B220</f>
        <v>Форсунка для пола Karcher 9.755-549 код : 000688</v>
      </c>
      <c r="E220" s="28">
        <f>Общий!C220</f>
        <v>5</v>
      </c>
      <c r="F220" s="16"/>
      <c r="G220" s="44"/>
      <c r="H220" s="44"/>
      <c r="I220" s="44"/>
      <c r="J220" s="35"/>
      <c r="K220" s="16"/>
    </row>
    <row r="221" spans="1:11">
      <c r="A221" s="31">
        <f>IFERROR(VALUE(IF(LEN(IFERROR(VALUE(MID(TRIM(SUBSTITUTE(SUBSTITUTE(MID(Общий!B221,SEARCH("Karcher",Общий!B221,1),19),".",""),"-","")),SEARCH("Karcher",TRIM(SUBSTITUTE(SUBSTITUTE(MID(Общий!B221,SEARCH("Karcher",Общий!B221,1),19),".",""),"-","")),1)+8,8)),VALUE(LEFT(SUBSTITUTE(SUBSTITUTE(Общий!B221,".",""),"-",""),8))))=7,CONCATENATE(IFERROR(VALUE(MID(TRIM(SUBSTITUTE(SUBSTITUTE(MID(Общий!B221,SEARCH("Karcher",Общий!B221,1),19),".",""),"-","")),SEARCH("Karcher",TRIM(SUBSTITUTE(SUBSTITUTE(MID(Общий!B221,SEARCH("Karcher",Общий!B221,1),19),".",""),"-","")),1)+8,8)),VALUE(LEFT(SUBSTITUTE(SUBSTITUTE(Общий!B221,".",""),"-",""),8))),"0"),IFERROR(VALUE(MID(TRIM(SUBSTITUTE(SUBSTITUTE(MID(Общий!B221,SEARCH("Karcher",Общий!B221,1),19),".",""),"-","")),SEARCH("Karcher",TRIM(SUBSTITUTE(SUBSTITUTE(MID(Общий!B221,SEARCH("Karcher",Общий!B221,1),19),".",""),"-","")),1)+8,8)),VALUE(LEFT(SUBSTITUTE(SUBSTITUTE(Общий!B221,".",""),"-",""),8))))),0)</f>
        <v>0</v>
      </c>
      <c r="B221" s="25">
        <f>IFERROR(CONCATENATE(VALUE(IF(LEN(IFERROR(VALUE(MID(TRIM(SUBSTITUTE(SUBSTITUTE(MID(Общий!B221,SEARCH("Karcher",Общий!B221,1),19),".",""),"-","")),SEARCH("Karcher",TRIM(SUBSTITUTE(SUBSTITUTE(MID(Общий!B221,SEARCH("Karcher",Общий!B221,1),19),".",""),"-","")),1)+8,8)),VALUE(LEFT(SUBSTITUTE(SUBSTITUTE(Общий!B221,".",""),"-",""),8))))=7,CONCATENATE(IFERROR(VALUE(MID(TRIM(SUBSTITUTE(SUBSTITUTE(MID(Общий!B221,SEARCH("Karcher",Общий!B221,1),19),".",""),"-","")),SEARCH("Karcher",TRIM(SUBSTITUTE(SUBSTITUTE(MID(Общий!B221,SEARCH("Karcher",Общий!B221,1),19),".",""),"-","")),1)+8,8)),VALUE(LEFT(SUBSTITUTE(SUBSTITUTE(Общий!B221,".",""),"-",""),8))),"0"),IFERROR(VALUE(MID(TRIM(SUBSTITUTE(SUBSTITUTE(MID(Общий!B221,SEARCH("Karcher",Общий!B221,1),19),".",""),"-","")),SEARCH("Karcher",TRIM(SUBSTITUTE(SUBSTITUTE(MID(Общий!B221,SEARCH("Karcher",Общий!B221,1),19),".",""),"-","")),1)+8,8)),VALUE(LEFT(SUBSTITUTE(SUBSTITUTE(Общий!B221,".",""),"-",""),8)))))," ",Общий!C221),0)</f>
        <v>0</v>
      </c>
      <c r="C221" s="29" t="str">
        <f>Общий!A221</f>
        <v>213</v>
      </c>
      <c r="D221" s="27" t="str">
        <f>Общий!B221</f>
        <v xml:space="preserve"> код :</v>
      </c>
      <c r="E221" s="28">
        <f>Общий!C221</f>
        <v>0</v>
      </c>
      <c r="F221" s="16"/>
      <c r="G221" s="44"/>
      <c r="H221" s="44"/>
      <c r="I221" s="44"/>
      <c r="J221" s="35"/>
      <c r="K221" s="16"/>
    </row>
    <row r="222" spans="1:11">
      <c r="A222" s="31">
        <f>IFERROR(VALUE(IF(LEN(IFERROR(VALUE(MID(TRIM(SUBSTITUTE(SUBSTITUTE(MID(Общий!B222,SEARCH("Karcher",Общий!B222,1),19),".",""),"-","")),SEARCH("Karcher",TRIM(SUBSTITUTE(SUBSTITUTE(MID(Общий!B222,SEARCH("Karcher",Общий!B222,1),19),".",""),"-","")),1)+8,8)),VALUE(LEFT(SUBSTITUTE(SUBSTITUTE(Общий!B222,".",""),"-",""),8))))=7,CONCATENATE(IFERROR(VALUE(MID(TRIM(SUBSTITUTE(SUBSTITUTE(MID(Общий!B222,SEARCH("Karcher",Общий!B222,1),19),".",""),"-","")),SEARCH("Karcher",TRIM(SUBSTITUTE(SUBSTITUTE(MID(Общий!B222,SEARCH("Karcher",Общий!B222,1),19),".",""),"-","")),1)+8,8)),VALUE(LEFT(SUBSTITUTE(SUBSTITUTE(Общий!B222,".",""),"-",""),8))),"0"),IFERROR(VALUE(MID(TRIM(SUBSTITUTE(SUBSTITUTE(MID(Общий!B222,SEARCH("Karcher",Общий!B222,1),19),".",""),"-","")),SEARCH("Karcher",TRIM(SUBSTITUTE(SUBSTITUTE(MID(Общий!B222,SEARCH("Karcher",Общий!B222,1),19),".",""),"-","")),1)+8,8)),VALUE(LEFT(SUBSTITUTE(SUBSTITUTE(Общий!B222,".",""),"-",""),8))))),0)</f>
        <v>50371400</v>
      </c>
      <c r="B222" s="25" t="str">
        <f>IFERROR(CONCATENATE(VALUE(IF(LEN(IFERROR(VALUE(MID(TRIM(SUBSTITUTE(SUBSTITUTE(MID(Общий!B222,SEARCH("Karcher",Общий!B222,1),19),".",""),"-","")),SEARCH("Karcher",TRIM(SUBSTITUTE(SUBSTITUTE(MID(Общий!B222,SEARCH("Karcher",Общий!B222,1),19),".",""),"-","")),1)+8,8)),VALUE(LEFT(SUBSTITUTE(SUBSTITUTE(Общий!B222,".",""),"-",""),8))))=7,CONCATENATE(IFERROR(VALUE(MID(TRIM(SUBSTITUTE(SUBSTITUTE(MID(Общий!B222,SEARCH("Karcher",Общий!B222,1),19),".",""),"-","")),SEARCH("Karcher",TRIM(SUBSTITUTE(SUBSTITUTE(MID(Общий!B222,SEARCH("Karcher",Общий!B222,1),19),".",""),"-","")),1)+8,8)),VALUE(LEFT(SUBSTITUTE(SUBSTITUTE(Общий!B222,".",""),"-",""),8))),"0"),IFERROR(VALUE(MID(TRIM(SUBSTITUTE(SUBSTITUTE(MID(Общий!B222,SEARCH("Karcher",Общий!B222,1),19),".",""),"-","")),SEARCH("Karcher",TRIM(SUBSTITUTE(SUBSTITUTE(MID(Общий!B222,SEARCH("Karcher",Общий!B222,1),19),".",""),"-","")),1)+8,8)),VALUE(LEFT(SUBSTITUTE(SUBSTITUTE(Общий!B222,".",""),"-",""),8)))))," ",Общий!C222),0)</f>
        <v>50371400 3</v>
      </c>
      <c r="C222" s="29" t="str">
        <f>Общий!A222</f>
        <v>214</v>
      </c>
      <c r="D222" s="27" t="str">
        <f>Общий!B222</f>
        <v>5037140 Фиксатор быт. шланг/пистолет  *2* код : 005105</v>
      </c>
      <c r="E222" s="28">
        <f>Общий!C222</f>
        <v>3</v>
      </c>
      <c r="F222" s="22"/>
      <c r="G222" s="44"/>
      <c r="H222" s="44"/>
      <c r="I222" s="44"/>
      <c r="J222" s="35"/>
      <c r="K222" s="16"/>
    </row>
    <row r="223" spans="1:11">
      <c r="A223" s="31">
        <f>IFERROR(VALUE(IF(LEN(IFERROR(VALUE(MID(TRIM(SUBSTITUTE(SUBSTITUTE(MID(Общий!B223,SEARCH("Karcher",Общий!B223,1),19),".",""),"-","")),SEARCH("Karcher",TRIM(SUBSTITUTE(SUBSTITUTE(MID(Общий!B223,SEARCH("Karcher",Общий!B223,1),19),".",""),"-","")),1)+8,8)),VALUE(LEFT(SUBSTITUTE(SUBSTITUTE(Общий!B223,".",""),"-",""),8))))=7,CONCATENATE(IFERROR(VALUE(MID(TRIM(SUBSTITUTE(SUBSTITUTE(MID(Общий!B223,SEARCH("Karcher",Общий!B223,1),19),".",""),"-","")),SEARCH("Karcher",TRIM(SUBSTITUTE(SUBSTITUTE(MID(Общий!B223,SEARCH("Karcher",Общий!B223,1),19),".",""),"-","")),1)+8,8)),VALUE(LEFT(SUBSTITUTE(SUBSTITUTE(Общий!B223,".",""),"-",""),8))),"0"),IFERROR(VALUE(MID(TRIM(SUBSTITUTE(SUBSTITUTE(MID(Общий!B223,SEARCH("Karcher",Общий!B223,1),19),".",""),"-","")),SEARCH("Karcher",TRIM(SUBSTITUTE(SUBSTITUTE(MID(Общий!B223,SEARCH("Karcher",Общий!B223,1),19),".",""),"-","")),1)+8,8)),VALUE(LEFT(SUBSTITUTE(SUBSTITUTE(Общий!B223,".",""),"-",""),8))))),0)</f>
        <v>0</v>
      </c>
      <c r="B223" s="25">
        <f>IFERROR(CONCATENATE(VALUE(IF(LEN(IFERROR(VALUE(MID(TRIM(SUBSTITUTE(SUBSTITUTE(MID(Общий!B223,SEARCH("Karcher",Общий!B223,1),19),".",""),"-","")),SEARCH("Karcher",TRIM(SUBSTITUTE(SUBSTITUTE(MID(Общий!B223,SEARCH("Karcher",Общий!B223,1),19),".",""),"-","")),1)+8,8)),VALUE(LEFT(SUBSTITUTE(SUBSTITUTE(Общий!B223,".",""),"-",""),8))))=7,CONCATENATE(IFERROR(VALUE(MID(TRIM(SUBSTITUTE(SUBSTITUTE(MID(Общий!B223,SEARCH("Karcher",Общий!B223,1),19),".",""),"-","")),SEARCH("Karcher",TRIM(SUBSTITUTE(SUBSTITUTE(MID(Общий!B223,SEARCH("Karcher",Общий!B223,1),19),".",""),"-","")),1)+8,8)),VALUE(LEFT(SUBSTITUTE(SUBSTITUTE(Общий!B223,".",""),"-",""),8))),"0"),IFERROR(VALUE(MID(TRIM(SUBSTITUTE(SUBSTITUTE(MID(Общий!B223,SEARCH("Karcher",Общий!B223,1),19),".",""),"-","")),SEARCH("Karcher",TRIM(SUBSTITUTE(SUBSTITUTE(MID(Общий!B223,SEARCH("Karcher",Общий!B223,1),19),".",""),"-","")),1)+8,8)),VALUE(LEFT(SUBSTITUTE(SUBSTITUTE(Общий!B223,".",""),"-",""),8)))))," ",Общий!C223),0)</f>
        <v>0</v>
      </c>
      <c r="C223" s="29" t="str">
        <f>Общий!A223</f>
        <v>215</v>
      </c>
      <c r="D223" s="27">
        <f>Общий!B223</f>
        <v>0</v>
      </c>
      <c r="E223" s="28">
        <f>Общий!C223</f>
        <v>0</v>
      </c>
      <c r="F223" s="23"/>
      <c r="G223" s="44"/>
      <c r="H223" s="44"/>
      <c r="I223" s="44"/>
      <c r="J223" s="35"/>
      <c r="K223" s="16"/>
    </row>
    <row r="224" spans="1:11" ht="11.25" customHeight="1">
      <c r="A224" s="31">
        <f>IFERROR(VALUE(IF(LEN(IFERROR(VALUE(MID(TRIM(SUBSTITUTE(SUBSTITUTE(MID(Общий!B224,SEARCH("Karcher",Общий!B224,1),19),".",""),"-","")),SEARCH("Karcher",TRIM(SUBSTITUTE(SUBSTITUTE(MID(Общий!B224,SEARCH("Karcher",Общий!B224,1),19),".",""),"-","")),1)+8,8)),VALUE(LEFT(SUBSTITUTE(SUBSTITUTE(Общий!B224,".",""),"-",""),8))))=7,CONCATENATE(IFERROR(VALUE(MID(TRIM(SUBSTITUTE(SUBSTITUTE(MID(Общий!B224,SEARCH("Karcher",Общий!B224,1),19),".",""),"-","")),SEARCH("Karcher",TRIM(SUBSTITUTE(SUBSTITUTE(MID(Общий!B224,SEARCH("Karcher",Общий!B224,1),19),".",""),"-","")),1)+8,8)),VALUE(LEFT(SUBSTITUTE(SUBSTITUTE(Общий!B224,".",""),"-",""),8))),"0"),IFERROR(VALUE(MID(TRIM(SUBSTITUTE(SUBSTITUTE(MID(Общий!B224,SEARCH("Karcher",Общий!B224,1),19),".",""),"-","")),SEARCH("Karcher",TRIM(SUBSTITUTE(SUBSTITUTE(MID(Общий!B224,SEARCH("Karcher",Общий!B224,1),19),".",""),"-","")),1)+8,8)),VALUE(LEFT(SUBSTITUTE(SUBSTITUTE(Общий!B224,".",""),"-",""),8))))),0)</f>
        <v>0</v>
      </c>
      <c r="B224" s="25">
        <f>IFERROR(CONCATENATE(VALUE(IF(LEN(IFERROR(VALUE(MID(TRIM(SUBSTITUTE(SUBSTITUTE(MID(Общий!B224,SEARCH("Karcher",Общий!B224,1),19),".",""),"-","")),SEARCH("Karcher",TRIM(SUBSTITUTE(SUBSTITUTE(MID(Общий!B224,SEARCH("Karcher",Общий!B224,1),19),".",""),"-","")),1)+8,8)),VALUE(LEFT(SUBSTITUTE(SUBSTITUTE(Общий!B224,".",""),"-",""),8))))=7,CONCATENATE(IFERROR(VALUE(MID(TRIM(SUBSTITUTE(SUBSTITUTE(MID(Общий!B224,SEARCH("Karcher",Общий!B224,1),19),".",""),"-","")),SEARCH("Karcher",TRIM(SUBSTITUTE(SUBSTITUTE(MID(Общий!B224,SEARCH("Karcher",Общий!B224,1),19),".",""),"-","")),1)+8,8)),VALUE(LEFT(SUBSTITUTE(SUBSTITUTE(Общий!B224,".",""),"-",""),8))),"0"),IFERROR(VALUE(MID(TRIM(SUBSTITUTE(SUBSTITUTE(MID(Общий!B224,SEARCH("Karcher",Общий!B224,1),19),".",""),"-","")),SEARCH("Karcher",TRIM(SUBSTITUTE(SUBSTITUTE(MID(Общий!B224,SEARCH("Karcher",Общий!B224,1),19),".",""),"-","")),1)+8,8)),VALUE(LEFT(SUBSTITUTE(SUBSTITUTE(Общий!B224,".",""),"-",""),8)))))," ",Общий!C224),0)</f>
        <v>0</v>
      </c>
      <c r="C224" s="29" t="str">
        <f>Общий!A224</f>
        <v>216</v>
      </c>
      <c r="D224" s="27">
        <f>Общий!B224</f>
        <v>0</v>
      </c>
      <c r="E224" s="28">
        <f>Общий!C224</f>
        <v>0</v>
      </c>
      <c r="F224" s="16"/>
      <c r="G224" s="44"/>
      <c r="H224" s="44"/>
      <c r="I224" s="44"/>
      <c r="J224" s="35"/>
      <c r="K224" s="16"/>
    </row>
    <row r="225" spans="1:11">
      <c r="A225" s="31">
        <f>IFERROR(VALUE(IF(LEN(IFERROR(VALUE(MID(TRIM(SUBSTITUTE(SUBSTITUTE(MID(Общий!B225,SEARCH("Karcher",Общий!B225,1),19),".",""),"-","")),SEARCH("Karcher",TRIM(SUBSTITUTE(SUBSTITUTE(MID(Общий!B225,SEARCH("Karcher",Общий!B225,1),19),".",""),"-","")),1)+8,8)),VALUE(LEFT(SUBSTITUTE(SUBSTITUTE(Общий!B225,".",""),"-",""),8))))=7,CONCATENATE(IFERROR(VALUE(MID(TRIM(SUBSTITUTE(SUBSTITUTE(MID(Общий!B225,SEARCH("Karcher",Общий!B225,1),19),".",""),"-","")),SEARCH("Karcher",TRIM(SUBSTITUTE(SUBSTITUTE(MID(Общий!B225,SEARCH("Karcher",Общий!B225,1),19),".",""),"-","")),1)+8,8)),VALUE(LEFT(SUBSTITUTE(SUBSTITUTE(Общий!B225,".",""),"-",""),8))),"0"),IFERROR(VALUE(MID(TRIM(SUBSTITUTE(SUBSTITUTE(MID(Общий!B225,SEARCH("Karcher",Общий!B225,1),19),".",""),"-","")),SEARCH("Karcher",TRIM(SUBSTITUTE(SUBSTITUTE(MID(Общий!B225,SEARCH("Karcher",Общий!B225,1),19),".",""),"-","")),1)+8,8)),VALUE(LEFT(SUBSTITUTE(SUBSTITUTE(Общий!B225,".",""),"-",""),8))))),0)</f>
        <v>0</v>
      </c>
      <c r="B225" s="25">
        <f>IFERROR(CONCATENATE(VALUE(IF(LEN(IFERROR(VALUE(MID(TRIM(SUBSTITUTE(SUBSTITUTE(MID(Общий!B225,SEARCH("Karcher",Общий!B225,1),19),".",""),"-","")),SEARCH("Karcher",TRIM(SUBSTITUTE(SUBSTITUTE(MID(Общий!B225,SEARCH("Karcher",Общий!B225,1),19),".",""),"-","")),1)+8,8)),VALUE(LEFT(SUBSTITUTE(SUBSTITUTE(Общий!B225,".",""),"-",""),8))))=7,CONCATENATE(IFERROR(VALUE(MID(TRIM(SUBSTITUTE(SUBSTITUTE(MID(Общий!B225,SEARCH("Karcher",Общий!B225,1),19),".",""),"-","")),SEARCH("Karcher",TRIM(SUBSTITUTE(SUBSTITUTE(MID(Общий!B225,SEARCH("Karcher",Общий!B225,1),19),".",""),"-","")),1)+8,8)),VALUE(LEFT(SUBSTITUTE(SUBSTITUTE(Общий!B225,".",""),"-",""),8))),"0"),IFERROR(VALUE(MID(TRIM(SUBSTITUTE(SUBSTITUTE(MID(Общий!B225,SEARCH("Karcher",Общий!B225,1),19),".",""),"-","")),SEARCH("Karcher",TRIM(SUBSTITUTE(SUBSTITUTE(MID(Общий!B225,SEARCH("Karcher",Общий!B225,1),19),".",""),"-","")),1)+8,8)),VALUE(LEFT(SUBSTITUTE(SUBSTITUTE(Общий!B225,".",""),"-",""),8)))))," ",Общий!C225),0)</f>
        <v>0</v>
      </c>
      <c r="C225" s="29" t="str">
        <f>Общий!A225</f>
        <v>217</v>
      </c>
      <c r="D225" s="27">
        <f>Общий!B225</f>
        <v>0</v>
      </c>
      <c r="E225" s="28">
        <f>Общий!C225</f>
        <v>0</v>
      </c>
      <c r="F225" s="16"/>
      <c r="G225" s="44"/>
      <c r="H225" s="44"/>
      <c r="I225" s="44"/>
      <c r="J225" s="35"/>
      <c r="K225" s="16"/>
    </row>
    <row r="226" spans="1:11">
      <c r="A226" s="31">
        <f>IFERROR(VALUE(IF(LEN(IFERROR(VALUE(MID(TRIM(SUBSTITUTE(SUBSTITUTE(MID(Общий!B226,SEARCH("Karcher",Общий!B226,1),19),".",""),"-","")),SEARCH("Karcher",TRIM(SUBSTITUTE(SUBSTITUTE(MID(Общий!B226,SEARCH("Karcher",Общий!B226,1),19),".",""),"-","")),1)+8,8)),VALUE(LEFT(SUBSTITUTE(SUBSTITUTE(Общий!B226,".",""),"-",""),8))))=7,CONCATENATE(IFERROR(VALUE(MID(TRIM(SUBSTITUTE(SUBSTITUTE(MID(Общий!B226,SEARCH("Karcher",Общий!B226,1),19),".",""),"-","")),SEARCH("Karcher",TRIM(SUBSTITUTE(SUBSTITUTE(MID(Общий!B226,SEARCH("Karcher",Общий!B226,1),19),".",""),"-","")),1)+8,8)),VALUE(LEFT(SUBSTITUTE(SUBSTITUTE(Общий!B226,".",""),"-",""),8))),"0"),IFERROR(VALUE(MID(TRIM(SUBSTITUTE(SUBSTITUTE(MID(Общий!B226,SEARCH("Karcher",Общий!B226,1),19),".",""),"-","")),SEARCH("Karcher",TRIM(SUBSTITUTE(SUBSTITUTE(MID(Общий!B226,SEARCH("Karcher",Общий!B226,1),19),".",""),"-","")),1)+8,8)),VALUE(LEFT(SUBSTITUTE(SUBSTITUTE(Общий!B226,".",""),"-",""),8))))),0)</f>
        <v>0</v>
      </c>
      <c r="B226" s="25">
        <f>IFERROR(CONCATENATE(VALUE(IF(LEN(IFERROR(VALUE(MID(TRIM(SUBSTITUTE(SUBSTITUTE(MID(Общий!B226,SEARCH("Karcher",Общий!B226,1),19),".",""),"-","")),SEARCH("Karcher",TRIM(SUBSTITUTE(SUBSTITUTE(MID(Общий!B226,SEARCH("Karcher",Общий!B226,1),19),".",""),"-","")),1)+8,8)),VALUE(LEFT(SUBSTITUTE(SUBSTITUTE(Общий!B226,".",""),"-",""),8))))=7,CONCATENATE(IFERROR(VALUE(MID(TRIM(SUBSTITUTE(SUBSTITUTE(MID(Общий!B226,SEARCH("Karcher",Общий!B226,1),19),".",""),"-","")),SEARCH("Karcher",TRIM(SUBSTITUTE(SUBSTITUTE(MID(Общий!B226,SEARCH("Karcher",Общий!B226,1),19),".",""),"-","")),1)+8,8)),VALUE(LEFT(SUBSTITUTE(SUBSTITUTE(Общий!B226,".",""),"-",""),8))),"0"),IFERROR(VALUE(MID(TRIM(SUBSTITUTE(SUBSTITUTE(MID(Общий!B226,SEARCH("Karcher",Общий!B226,1),19),".",""),"-","")),SEARCH("Karcher",TRIM(SUBSTITUTE(SUBSTITUTE(MID(Общий!B226,SEARCH("Karcher",Общий!B226,1),19),".",""),"-","")),1)+8,8)),VALUE(LEFT(SUBSTITUTE(SUBSTITUTE(Общий!B226,".",""),"-",""),8)))))," ",Общий!C226),0)</f>
        <v>0</v>
      </c>
      <c r="C226" s="29" t="str">
        <f>Общий!A226</f>
        <v>218</v>
      </c>
      <c r="D226" s="27">
        <f>Общий!B226</f>
        <v>0</v>
      </c>
      <c r="E226" s="28">
        <f>Общий!C226</f>
        <v>0</v>
      </c>
      <c r="F226" s="16"/>
      <c r="G226" s="44"/>
      <c r="H226" s="44"/>
      <c r="I226" s="44"/>
      <c r="J226" s="35"/>
      <c r="K226" s="16"/>
    </row>
    <row r="227" spans="1:11">
      <c r="A227" s="31">
        <f>IFERROR(VALUE(IF(LEN(IFERROR(VALUE(MID(TRIM(SUBSTITUTE(SUBSTITUTE(MID(Общий!B227,SEARCH("Karcher",Общий!B227,1),19),".",""),"-","")),SEARCH("Karcher",TRIM(SUBSTITUTE(SUBSTITUTE(MID(Общий!B227,SEARCH("Karcher",Общий!B227,1),19),".",""),"-","")),1)+8,8)),VALUE(LEFT(SUBSTITUTE(SUBSTITUTE(Общий!B227,".",""),"-",""),8))))=7,CONCATENATE(IFERROR(VALUE(MID(TRIM(SUBSTITUTE(SUBSTITUTE(MID(Общий!B227,SEARCH("Karcher",Общий!B227,1),19),".",""),"-","")),SEARCH("Karcher",TRIM(SUBSTITUTE(SUBSTITUTE(MID(Общий!B227,SEARCH("Karcher",Общий!B227,1),19),".",""),"-","")),1)+8,8)),VALUE(LEFT(SUBSTITUTE(SUBSTITUTE(Общий!B227,".",""),"-",""),8))),"0"),IFERROR(VALUE(MID(TRIM(SUBSTITUTE(SUBSTITUTE(MID(Общий!B227,SEARCH("Karcher",Общий!B227,1),19),".",""),"-","")),SEARCH("Karcher",TRIM(SUBSTITUTE(SUBSTITUTE(MID(Общий!B227,SEARCH("Karcher",Общий!B227,1),19),".",""),"-","")),1)+8,8)),VALUE(LEFT(SUBSTITUTE(SUBSTITUTE(Общий!B227,".",""),"-",""),8))))),0)</f>
        <v>0</v>
      </c>
      <c r="B227" s="25">
        <f>IFERROR(CONCATENATE(VALUE(IF(LEN(IFERROR(VALUE(MID(TRIM(SUBSTITUTE(SUBSTITUTE(MID(Общий!B227,SEARCH("Karcher",Общий!B227,1),19),".",""),"-","")),SEARCH("Karcher",TRIM(SUBSTITUTE(SUBSTITUTE(MID(Общий!B227,SEARCH("Karcher",Общий!B227,1),19),".",""),"-","")),1)+8,8)),VALUE(LEFT(SUBSTITUTE(SUBSTITUTE(Общий!B227,".",""),"-",""),8))))=7,CONCATENATE(IFERROR(VALUE(MID(TRIM(SUBSTITUTE(SUBSTITUTE(MID(Общий!B227,SEARCH("Karcher",Общий!B227,1),19),".",""),"-","")),SEARCH("Karcher",TRIM(SUBSTITUTE(SUBSTITUTE(MID(Общий!B227,SEARCH("Karcher",Общий!B227,1),19),".",""),"-","")),1)+8,8)),VALUE(LEFT(SUBSTITUTE(SUBSTITUTE(Общий!B227,".",""),"-",""),8))),"0"),IFERROR(VALUE(MID(TRIM(SUBSTITUTE(SUBSTITUTE(MID(Общий!B227,SEARCH("Karcher",Общий!B227,1),19),".",""),"-","")),SEARCH("Karcher",TRIM(SUBSTITUTE(SUBSTITUTE(MID(Общий!B227,SEARCH("Karcher",Общий!B227,1),19),".",""),"-","")),1)+8,8)),VALUE(LEFT(SUBSTITUTE(SUBSTITUTE(Общий!B227,".",""),"-",""),8)))))," ",Общий!C227),0)</f>
        <v>0</v>
      </c>
      <c r="C227" s="29" t="str">
        <f>Общий!A227</f>
        <v>219</v>
      </c>
      <c r="D227" s="27">
        <f>Общий!B227</f>
        <v>0</v>
      </c>
      <c r="E227" s="28">
        <f>Общий!C227</f>
        <v>0</v>
      </c>
      <c r="F227" s="16"/>
      <c r="G227" s="44"/>
      <c r="H227" s="44"/>
      <c r="I227" s="44"/>
      <c r="J227" s="35"/>
      <c r="K227" s="16"/>
    </row>
    <row r="228" spans="1:11">
      <c r="A228" s="31">
        <f>IFERROR(VALUE(IF(LEN(IFERROR(VALUE(MID(TRIM(SUBSTITUTE(SUBSTITUTE(MID(Общий!B228,SEARCH("Karcher",Общий!B228,1),19),".",""),"-","")),SEARCH("Karcher",TRIM(SUBSTITUTE(SUBSTITUTE(MID(Общий!B228,SEARCH("Karcher",Общий!B228,1),19),".",""),"-","")),1)+8,8)),VALUE(LEFT(SUBSTITUTE(SUBSTITUTE(Общий!B228,".",""),"-",""),8))))=7,CONCATENATE(IFERROR(VALUE(MID(TRIM(SUBSTITUTE(SUBSTITUTE(MID(Общий!B228,SEARCH("Karcher",Общий!B228,1),19),".",""),"-","")),SEARCH("Karcher",TRIM(SUBSTITUTE(SUBSTITUTE(MID(Общий!B228,SEARCH("Karcher",Общий!B228,1),19),".",""),"-","")),1)+8,8)),VALUE(LEFT(SUBSTITUTE(SUBSTITUTE(Общий!B228,".",""),"-",""),8))),"0"),IFERROR(VALUE(MID(TRIM(SUBSTITUTE(SUBSTITUTE(MID(Общий!B228,SEARCH("Karcher",Общий!B228,1),19),".",""),"-","")),SEARCH("Karcher",TRIM(SUBSTITUTE(SUBSTITUTE(MID(Общий!B228,SEARCH("Karcher",Общий!B228,1),19),".",""),"-","")),1)+8,8)),VALUE(LEFT(SUBSTITUTE(SUBSTITUTE(Общий!B228,".",""),"-",""),8))))),0)</f>
        <v>0</v>
      </c>
      <c r="B228" s="25">
        <f>IFERROR(CONCATENATE(VALUE(IF(LEN(IFERROR(VALUE(MID(TRIM(SUBSTITUTE(SUBSTITUTE(MID(Общий!B228,SEARCH("Karcher",Общий!B228,1),19),".",""),"-","")),SEARCH("Karcher",TRIM(SUBSTITUTE(SUBSTITUTE(MID(Общий!B228,SEARCH("Karcher",Общий!B228,1),19),".",""),"-","")),1)+8,8)),VALUE(LEFT(SUBSTITUTE(SUBSTITUTE(Общий!B228,".",""),"-",""),8))))=7,CONCATENATE(IFERROR(VALUE(MID(TRIM(SUBSTITUTE(SUBSTITUTE(MID(Общий!B228,SEARCH("Karcher",Общий!B228,1),19),".",""),"-","")),SEARCH("Karcher",TRIM(SUBSTITUTE(SUBSTITUTE(MID(Общий!B228,SEARCH("Karcher",Общий!B228,1),19),".",""),"-","")),1)+8,8)),VALUE(LEFT(SUBSTITUTE(SUBSTITUTE(Общий!B228,".",""),"-",""),8))),"0"),IFERROR(VALUE(MID(TRIM(SUBSTITUTE(SUBSTITUTE(MID(Общий!B228,SEARCH("Karcher",Общий!B228,1),19),".",""),"-","")),SEARCH("Karcher",TRIM(SUBSTITUTE(SUBSTITUTE(MID(Общий!B228,SEARCH("Karcher",Общий!B228,1),19),".",""),"-","")),1)+8,8)),VALUE(LEFT(SUBSTITUTE(SUBSTITUTE(Общий!B228,".",""),"-",""),8)))))," ",Общий!C228),0)</f>
        <v>0</v>
      </c>
      <c r="C228" s="29" t="str">
        <f>Общий!A228</f>
        <v>220</v>
      </c>
      <c r="D228" s="27">
        <f>Общий!B228</f>
        <v>0</v>
      </c>
      <c r="E228" s="28">
        <f>Общий!C228</f>
        <v>0</v>
      </c>
      <c r="F228" s="16"/>
      <c r="G228" s="44"/>
      <c r="H228" s="44"/>
      <c r="I228" s="44"/>
      <c r="J228" s="35"/>
      <c r="K228" s="16"/>
    </row>
    <row r="229" spans="1:11">
      <c r="A229" s="31">
        <f>IFERROR(VALUE(IF(LEN(IFERROR(VALUE(MID(TRIM(SUBSTITUTE(SUBSTITUTE(MID(Общий!B229,SEARCH("Karcher",Общий!B229,1),19),".",""),"-","")),SEARCH("Karcher",TRIM(SUBSTITUTE(SUBSTITUTE(MID(Общий!B229,SEARCH("Karcher",Общий!B229,1),19),".",""),"-","")),1)+8,8)),VALUE(LEFT(SUBSTITUTE(SUBSTITUTE(Общий!B229,".",""),"-",""),8))))=7,CONCATENATE(IFERROR(VALUE(MID(TRIM(SUBSTITUTE(SUBSTITUTE(MID(Общий!B229,SEARCH("Karcher",Общий!B229,1),19),".",""),"-","")),SEARCH("Karcher",TRIM(SUBSTITUTE(SUBSTITUTE(MID(Общий!B229,SEARCH("Karcher",Общий!B229,1),19),".",""),"-","")),1)+8,8)),VALUE(LEFT(SUBSTITUTE(SUBSTITUTE(Общий!B229,".",""),"-",""),8))),"0"),IFERROR(VALUE(MID(TRIM(SUBSTITUTE(SUBSTITUTE(MID(Общий!B229,SEARCH("Karcher",Общий!B229,1),19),".",""),"-","")),SEARCH("Karcher",TRIM(SUBSTITUTE(SUBSTITUTE(MID(Общий!B229,SEARCH("Karcher",Общий!B229,1),19),".",""),"-","")),1)+8,8)),VALUE(LEFT(SUBSTITUTE(SUBSTITUTE(Общий!B229,".",""),"-",""),8))))),0)</f>
        <v>0</v>
      </c>
      <c r="B229" s="25">
        <f>IFERROR(CONCATENATE(VALUE(IF(LEN(IFERROR(VALUE(MID(TRIM(SUBSTITUTE(SUBSTITUTE(MID(Общий!B229,SEARCH("Karcher",Общий!B229,1),19),".",""),"-","")),SEARCH("Karcher",TRIM(SUBSTITUTE(SUBSTITUTE(MID(Общий!B229,SEARCH("Karcher",Общий!B229,1),19),".",""),"-","")),1)+8,8)),VALUE(LEFT(SUBSTITUTE(SUBSTITUTE(Общий!B229,".",""),"-",""),8))))=7,CONCATENATE(IFERROR(VALUE(MID(TRIM(SUBSTITUTE(SUBSTITUTE(MID(Общий!B229,SEARCH("Karcher",Общий!B229,1),19),".",""),"-","")),SEARCH("Karcher",TRIM(SUBSTITUTE(SUBSTITUTE(MID(Общий!B229,SEARCH("Karcher",Общий!B229,1),19),".",""),"-","")),1)+8,8)),VALUE(LEFT(SUBSTITUTE(SUBSTITUTE(Общий!B229,".",""),"-",""),8))),"0"),IFERROR(VALUE(MID(TRIM(SUBSTITUTE(SUBSTITUTE(MID(Общий!B229,SEARCH("Karcher",Общий!B229,1),19),".",""),"-","")),SEARCH("Karcher",TRIM(SUBSTITUTE(SUBSTITUTE(MID(Общий!B229,SEARCH("Karcher",Общий!B229,1),19),".",""),"-","")),1)+8,8)),VALUE(LEFT(SUBSTITUTE(SUBSTITUTE(Общий!B229,".",""),"-",""),8)))))," ",Общий!C229),0)</f>
        <v>0</v>
      </c>
      <c r="C229" s="29" t="str">
        <f>Общий!A229</f>
        <v>221</v>
      </c>
      <c r="D229" s="27">
        <f>Общий!B229</f>
        <v>0</v>
      </c>
      <c r="E229" s="28">
        <f>Общий!C229</f>
        <v>0</v>
      </c>
      <c r="F229" s="16"/>
      <c r="G229" s="44"/>
      <c r="H229" s="44"/>
      <c r="I229" s="44"/>
      <c r="J229" s="35"/>
      <c r="K229" s="16"/>
    </row>
    <row r="230" spans="1:11">
      <c r="A230" s="31">
        <f>IFERROR(VALUE(IF(LEN(IFERROR(VALUE(MID(TRIM(SUBSTITUTE(SUBSTITUTE(MID(Общий!B230,SEARCH("Karcher",Общий!B230,1),19),".",""),"-","")),SEARCH("Karcher",TRIM(SUBSTITUTE(SUBSTITUTE(MID(Общий!B230,SEARCH("Karcher",Общий!B230,1),19),".",""),"-","")),1)+8,8)),VALUE(LEFT(SUBSTITUTE(SUBSTITUTE(Общий!B230,".",""),"-",""),8))))=7,CONCATENATE(IFERROR(VALUE(MID(TRIM(SUBSTITUTE(SUBSTITUTE(MID(Общий!B230,SEARCH("Karcher",Общий!B230,1),19),".",""),"-","")),SEARCH("Karcher",TRIM(SUBSTITUTE(SUBSTITUTE(MID(Общий!B230,SEARCH("Karcher",Общий!B230,1),19),".",""),"-","")),1)+8,8)),VALUE(LEFT(SUBSTITUTE(SUBSTITUTE(Общий!B230,".",""),"-",""),8))),"0"),IFERROR(VALUE(MID(TRIM(SUBSTITUTE(SUBSTITUTE(MID(Общий!B230,SEARCH("Karcher",Общий!B230,1),19),".",""),"-","")),SEARCH("Karcher",TRIM(SUBSTITUTE(SUBSTITUTE(MID(Общий!B230,SEARCH("Karcher",Общий!B230,1),19),".",""),"-","")),1)+8,8)),VALUE(LEFT(SUBSTITUTE(SUBSTITUTE(Общий!B230,".",""),"-",""),8))))),0)</f>
        <v>0</v>
      </c>
      <c r="B230" s="25">
        <f>IFERROR(CONCATENATE(VALUE(IF(LEN(IFERROR(VALUE(MID(TRIM(SUBSTITUTE(SUBSTITUTE(MID(Общий!B230,SEARCH("Karcher",Общий!B230,1),19),".",""),"-","")),SEARCH("Karcher",TRIM(SUBSTITUTE(SUBSTITUTE(MID(Общий!B230,SEARCH("Karcher",Общий!B230,1),19),".",""),"-","")),1)+8,8)),VALUE(LEFT(SUBSTITUTE(SUBSTITUTE(Общий!B230,".",""),"-",""),8))))=7,CONCATENATE(IFERROR(VALUE(MID(TRIM(SUBSTITUTE(SUBSTITUTE(MID(Общий!B230,SEARCH("Karcher",Общий!B230,1),19),".",""),"-","")),SEARCH("Karcher",TRIM(SUBSTITUTE(SUBSTITUTE(MID(Общий!B230,SEARCH("Karcher",Общий!B230,1),19),".",""),"-","")),1)+8,8)),VALUE(LEFT(SUBSTITUTE(SUBSTITUTE(Общий!B230,".",""),"-",""),8))),"0"),IFERROR(VALUE(MID(TRIM(SUBSTITUTE(SUBSTITUTE(MID(Общий!B230,SEARCH("Karcher",Общий!B230,1),19),".",""),"-","")),SEARCH("Karcher",TRIM(SUBSTITUTE(SUBSTITUTE(MID(Общий!B230,SEARCH("Karcher",Общий!B230,1),19),".",""),"-","")),1)+8,8)),VALUE(LEFT(SUBSTITUTE(SUBSTITUTE(Общий!B230,".",""),"-",""),8)))))," ",Общий!C230),0)</f>
        <v>0</v>
      </c>
      <c r="C230" s="29" t="str">
        <f>Общий!A230</f>
        <v>222</v>
      </c>
      <c r="D230" s="27">
        <f>Общий!B230</f>
        <v>0</v>
      </c>
      <c r="E230" s="28">
        <f>Общий!C230</f>
        <v>0</v>
      </c>
      <c r="F230" s="16"/>
      <c r="G230" s="44"/>
      <c r="H230" s="44"/>
      <c r="I230" s="44"/>
      <c r="J230" s="35"/>
      <c r="K230" s="16"/>
    </row>
    <row r="231" spans="1:11">
      <c r="A231" s="31">
        <f>IFERROR(VALUE(IF(LEN(IFERROR(VALUE(MID(TRIM(SUBSTITUTE(SUBSTITUTE(MID(Общий!B231,SEARCH("Karcher",Общий!B231,1),19),".",""),"-","")),SEARCH("Karcher",TRIM(SUBSTITUTE(SUBSTITUTE(MID(Общий!B231,SEARCH("Karcher",Общий!B231,1),19),".",""),"-","")),1)+8,8)),VALUE(LEFT(SUBSTITUTE(SUBSTITUTE(Общий!B231,".",""),"-",""),8))))=7,CONCATENATE(IFERROR(VALUE(MID(TRIM(SUBSTITUTE(SUBSTITUTE(MID(Общий!B231,SEARCH("Karcher",Общий!B231,1),19),".",""),"-","")),SEARCH("Karcher",TRIM(SUBSTITUTE(SUBSTITUTE(MID(Общий!B231,SEARCH("Karcher",Общий!B231,1),19),".",""),"-","")),1)+8,8)),VALUE(LEFT(SUBSTITUTE(SUBSTITUTE(Общий!B231,".",""),"-",""),8))),"0"),IFERROR(VALUE(MID(TRIM(SUBSTITUTE(SUBSTITUTE(MID(Общий!B231,SEARCH("Karcher",Общий!B231,1),19),".",""),"-","")),SEARCH("Karcher",TRIM(SUBSTITUTE(SUBSTITUTE(MID(Общий!B231,SEARCH("Karcher",Общий!B231,1),19),".",""),"-","")),1)+8,8)),VALUE(LEFT(SUBSTITUTE(SUBSTITUTE(Общий!B231,".",""),"-",""),8))))),0)</f>
        <v>0</v>
      </c>
      <c r="B231" s="25">
        <f>IFERROR(CONCATENATE(VALUE(IF(LEN(IFERROR(VALUE(MID(TRIM(SUBSTITUTE(SUBSTITUTE(MID(Общий!B231,SEARCH("Karcher",Общий!B231,1),19),".",""),"-","")),SEARCH("Karcher",TRIM(SUBSTITUTE(SUBSTITUTE(MID(Общий!B231,SEARCH("Karcher",Общий!B231,1),19),".",""),"-","")),1)+8,8)),VALUE(LEFT(SUBSTITUTE(SUBSTITUTE(Общий!B231,".",""),"-",""),8))))=7,CONCATENATE(IFERROR(VALUE(MID(TRIM(SUBSTITUTE(SUBSTITUTE(MID(Общий!B231,SEARCH("Karcher",Общий!B231,1),19),".",""),"-","")),SEARCH("Karcher",TRIM(SUBSTITUTE(SUBSTITUTE(MID(Общий!B231,SEARCH("Karcher",Общий!B231,1),19),".",""),"-","")),1)+8,8)),VALUE(LEFT(SUBSTITUTE(SUBSTITUTE(Общий!B231,".",""),"-",""),8))),"0"),IFERROR(VALUE(MID(TRIM(SUBSTITUTE(SUBSTITUTE(MID(Общий!B231,SEARCH("Karcher",Общий!B231,1),19),".",""),"-","")),SEARCH("Karcher",TRIM(SUBSTITUTE(SUBSTITUTE(MID(Общий!B231,SEARCH("Karcher",Общий!B231,1),19),".",""),"-","")),1)+8,8)),VALUE(LEFT(SUBSTITUTE(SUBSTITUTE(Общий!B231,".",""),"-",""),8)))))," ",Общий!C231),0)</f>
        <v>0</v>
      </c>
      <c r="C231" s="29" t="str">
        <f>Общий!A231</f>
        <v>223</v>
      </c>
      <c r="D231" s="27">
        <f>Общий!B231</f>
        <v>0</v>
      </c>
      <c r="E231" s="28">
        <f>Общий!C231</f>
        <v>0</v>
      </c>
      <c r="F231" s="16"/>
      <c r="G231" s="44"/>
      <c r="H231" s="44"/>
      <c r="I231" s="44"/>
      <c r="J231" s="35"/>
      <c r="K231" s="16"/>
    </row>
    <row r="232" spans="1:11">
      <c r="A232" s="31">
        <f>IFERROR(VALUE(IF(LEN(IFERROR(VALUE(MID(TRIM(SUBSTITUTE(SUBSTITUTE(MID(Общий!B232,SEARCH("Karcher",Общий!B232,1),19),".",""),"-","")),SEARCH("Karcher",TRIM(SUBSTITUTE(SUBSTITUTE(MID(Общий!B232,SEARCH("Karcher",Общий!B232,1),19),".",""),"-","")),1)+8,8)),VALUE(LEFT(SUBSTITUTE(SUBSTITUTE(Общий!B232,".",""),"-",""),8))))=7,CONCATENATE(IFERROR(VALUE(MID(TRIM(SUBSTITUTE(SUBSTITUTE(MID(Общий!B232,SEARCH("Karcher",Общий!B232,1),19),".",""),"-","")),SEARCH("Karcher",TRIM(SUBSTITUTE(SUBSTITUTE(MID(Общий!B232,SEARCH("Karcher",Общий!B232,1),19),".",""),"-","")),1)+8,8)),VALUE(LEFT(SUBSTITUTE(SUBSTITUTE(Общий!B232,".",""),"-",""),8))),"0"),IFERROR(VALUE(MID(TRIM(SUBSTITUTE(SUBSTITUTE(MID(Общий!B232,SEARCH("Karcher",Общий!B232,1),19),".",""),"-","")),SEARCH("Karcher",TRIM(SUBSTITUTE(SUBSTITUTE(MID(Общий!B232,SEARCH("Karcher",Общий!B232,1),19),".",""),"-","")),1)+8,8)),VALUE(LEFT(SUBSTITUTE(SUBSTITUTE(Общий!B232,".",""),"-",""),8))))),0)</f>
        <v>0</v>
      </c>
      <c r="B232" s="25">
        <f>IFERROR(CONCATENATE(VALUE(IF(LEN(IFERROR(VALUE(MID(TRIM(SUBSTITUTE(SUBSTITUTE(MID(Общий!B232,SEARCH("Karcher",Общий!B232,1),19),".",""),"-","")),SEARCH("Karcher",TRIM(SUBSTITUTE(SUBSTITUTE(MID(Общий!B232,SEARCH("Karcher",Общий!B232,1),19),".",""),"-","")),1)+8,8)),VALUE(LEFT(SUBSTITUTE(SUBSTITUTE(Общий!B232,".",""),"-",""),8))))=7,CONCATENATE(IFERROR(VALUE(MID(TRIM(SUBSTITUTE(SUBSTITUTE(MID(Общий!B232,SEARCH("Karcher",Общий!B232,1),19),".",""),"-","")),SEARCH("Karcher",TRIM(SUBSTITUTE(SUBSTITUTE(MID(Общий!B232,SEARCH("Karcher",Общий!B232,1),19),".",""),"-","")),1)+8,8)),VALUE(LEFT(SUBSTITUTE(SUBSTITUTE(Общий!B232,".",""),"-",""),8))),"0"),IFERROR(VALUE(MID(TRIM(SUBSTITUTE(SUBSTITUTE(MID(Общий!B232,SEARCH("Karcher",Общий!B232,1),19),".",""),"-","")),SEARCH("Karcher",TRIM(SUBSTITUTE(SUBSTITUTE(MID(Общий!B232,SEARCH("Karcher",Общий!B232,1),19),".",""),"-","")),1)+8,8)),VALUE(LEFT(SUBSTITUTE(SUBSTITUTE(Общий!B232,".",""),"-",""),8)))))," ",Общий!C232),0)</f>
        <v>0</v>
      </c>
      <c r="C232" s="29" t="str">
        <f>Общий!A232</f>
        <v>224</v>
      </c>
      <c r="D232" s="27">
        <f>Общий!B232</f>
        <v>0</v>
      </c>
      <c r="E232" s="28">
        <f>Общий!C232</f>
        <v>0</v>
      </c>
      <c r="F232" s="16"/>
      <c r="G232" s="44"/>
      <c r="H232" s="44"/>
      <c r="I232" s="44"/>
      <c r="J232" s="35"/>
      <c r="K232" s="16"/>
    </row>
    <row r="233" spans="1:11">
      <c r="A233" s="31">
        <f>IFERROR(VALUE(IF(LEN(IFERROR(VALUE(MID(TRIM(SUBSTITUTE(SUBSTITUTE(MID(Общий!B233,SEARCH("Karcher",Общий!B233,1),19),".",""),"-","")),SEARCH("Karcher",TRIM(SUBSTITUTE(SUBSTITUTE(MID(Общий!B233,SEARCH("Karcher",Общий!B233,1),19),".",""),"-","")),1)+8,8)),VALUE(LEFT(SUBSTITUTE(SUBSTITUTE(Общий!B233,".",""),"-",""),8))))=7,CONCATENATE(IFERROR(VALUE(MID(TRIM(SUBSTITUTE(SUBSTITUTE(MID(Общий!B233,SEARCH("Karcher",Общий!B233,1),19),".",""),"-","")),SEARCH("Karcher",TRIM(SUBSTITUTE(SUBSTITUTE(MID(Общий!B233,SEARCH("Karcher",Общий!B233,1),19),".",""),"-","")),1)+8,8)),VALUE(LEFT(SUBSTITUTE(SUBSTITUTE(Общий!B233,".",""),"-",""),8))),"0"),IFERROR(VALUE(MID(TRIM(SUBSTITUTE(SUBSTITUTE(MID(Общий!B233,SEARCH("Karcher",Общий!B233,1),19),".",""),"-","")),SEARCH("Karcher",TRIM(SUBSTITUTE(SUBSTITUTE(MID(Общий!B233,SEARCH("Karcher",Общий!B233,1),19),".",""),"-","")),1)+8,8)),VALUE(LEFT(SUBSTITUTE(SUBSTITUTE(Общий!B233,".",""),"-",""),8))))),0)</f>
        <v>0</v>
      </c>
      <c r="B233" s="25">
        <f>IFERROR(CONCATENATE(VALUE(IF(LEN(IFERROR(VALUE(MID(TRIM(SUBSTITUTE(SUBSTITUTE(MID(Общий!B233,SEARCH("Karcher",Общий!B233,1),19),".",""),"-","")),SEARCH("Karcher",TRIM(SUBSTITUTE(SUBSTITUTE(MID(Общий!B233,SEARCH("Karcher",Общий!B233,1),19),".",""),"-","")),1)+8,8)),VALUE(LEFT(SUBSTITUTE(SUBSTITUTE(Общий!B233,".",""),"-",""),8))))=7,CONCATENATE(IFERROR(VALUE(MID(TRIM(SUBSTITUTE(SUBSTITUTE(MID(Общий!B233,SEARCH("Karcher",Общий!B233,1),19),".",""),"-","")),SEARCH("Karcher",TRIM(SUBSTITUTE(SUBSTITUTE(MID(Общий!B233,SEARCH("Karcher",Общий!B233,1),19),".",""),"-","")),1)+8,8)),VALUE(LEFT(SUBSTITUTE(SUBSTITUTE(Общий!B233,".",""),"-",""),8))),"0"),IFERROR(VALUE(MID(TRIM(SUBSTITUTE(SUBSTITUTE(MID(Общий!B233,SEARCH("Karcher",Общий!B233,1),19),".",""),"-","")),SEARCH("Karcher",TRIM(SUBSTITUTE(SUBSTITUTE(MID(Общий!B233,SEARCH("Karcher",Общий!B233,1),19),".",""),"-","")),1)+8,8)),VALUE(LEFT(SUBSTITUTE(SUBSTITUTE(Общий!B233,".",""),"-",""),8)))))," ",Общий!C233),0)</f>
        <v>0</v>
      </c>
      <c r="C233" s="29" t="str">
        <f>Общий!A233</f>
        <v>225</v>
      </c>
      <c r="D233" s="27">
        <f>Общий!B233</f>
        <v>0</v>
      </c>
      <c r="E233" s="28">
        <f>Общий!C233</f>
        <v>0</v>
      </c>
      <c r="F233" s="16"/>
      <c r="G233" s="44"/>
      <c r="H233" s="44"/>
      <c r="I233" s="44"/>
      <c r="J233" s="35"/>
      <c r="K233" s="16"/>
    </row>
    <row r="234" spans="1:11">
      <c r="A234" s="31">
        <f>IFERROR(VALUE(IF(LEN(IFERROR(VALUE(MID(TRIM(SUBSTITUTE(SUBSTITUTE(MID(Общий!B234,SEARCH("Karcher",Общий!B234,1),19),".",""),"-","")),SEARCH("Karcher",TRIM(SUBSTITUTE(SUBSTITUTE(MID(Общий!B234,SEARCH("Karcher",Общий!B234,1),19),".",""),"-","")),1)+8,8)),VALUE(LEFT(SUBSTITUTE(SUBSTITUTE(Общий!B234,".",""),"-",""),8))))=7,CONCATENATE(IFERROR(VALUE(MID(TRIM(SUBSTITUTE(SUBSTITUTE(MID(Общий!B234,SEARCH("Karcher",Общий!B234,1),19),".",""),"-","")),SEARCH("Karcher",TRIM(SUBSTITUTE(SUBSTITUTE(MID(Общий!B234,SEARCH("Karcher",Общий!B234,1),19),".",""),"-","")),1)+8,8)),VALUE(LEFT(SUBSTITUTE(SUBSTITUTE(Общий!B234,".",""),"-",""),8))),"0"),IFERROR(VALUE(MID(TRIM(SUBSTITUTE(SUBSTITUTE(MID(Общий!B234,SEARCH("Karcher",Общий!B234,1),19),".",""),"-","")),SEARCH("Karcher",TRIM(SUBSTITUTE(SUBSTITUTE(MID(Общий!B234,SEARCH("Karcher",Общий!B234,1),19),".",""),"-","")),1)+8,8)),VALUE(LEFT(SUBSTITUTE(SUBSTITUTE(Общий!B234,".",""),"-",""),8))))),0)</f>
        <v>0</v>
      </c>
      <c r="B234" s="25">
        <f>IFERROR(CONCATENATE(VALUE(IF(LEN(IFERROR(VALUE(MID(TRIM(SUBSTITUTE(SUBSTITUTE(MID(Общий!B234,SEARCH("Karcher",Общий!B234,1),19),".",""),"-","")),SEARCH("Karcher",TRIM(SUBSTITUTE(SUBSTITUTE(MID(Общий!B234,SEARCH("Karcher",Общий!B234,1),19),".",""),"-","")),1)+8,8)),VALUE(LEFT(SUBSTITUTE(SUBSTITUTE(Общий!B234,".",""),"-",""),8))))=7,CONCATENATE(IFERROR(VALUE(MID(TRIM(SUBSTITUTE(SUBSTITUTE(MID(Общий!B234,SEARCH("Karcher",Общий!B234,1),19),".",""),"-","")),SEARCH("Karcher",TRIM(SUBSTITUTE(SUBSTITUTE(MID(Общий!B234,SEARCH("Karcher",Общий!B234,1),19),".",""),"-","")),1)+8,8)),VALUE(LEFT(SUBSTITUTE(SUBSTITUTE(Общий!B234,".",""),"-",""),8))),"0"),IFERROR(VALUE(MID(TRIM(SUBSTITUTE(SUBSTITUTE(MID(Общий!B234,SEARCH("Karcher",Общий!B234,1),19),".",""),"-","")),SEARCH("Karcher",TRIM(SUBSTITUTE(SUBSTITUTE(MID(Общий!B234,SEARCH("Karcher",Общий!B234,1),19),".",""),"-","")),1)+8,8)),VALUE(LEFT(SUBSTITUTE(SUBSTITUTE(Общий!B234,".",""),"-",""),8)))))," ",Общий!C234),0)</f>
        <v>0</v>
      </c>
      <c r="C234" s="29" t="str">
        <f>Общий!A234</f>
        <v>226</v>
      </c>
      <c r="D234" s="27">
        <f>Общий!B234</f>
        <v>0</v>
      </c>
      <c r="E234" s="28">
        <f>Общий!C234</f>
        <v>0</v>
      </c>
      <c r="F234" s="16"/>
      <c r="G234" s="44"/>
      <c r="H234" s="44"/>
      <c r="I234" s="44"/>
      <c r="J234" s="35"/>
      <c r="K234" s="16"/>
    </row>
    <row r="235" spans="1:11">
      <c r="A235" s="31">
        <f>IFERROR(VALUE(IF(LEN(IFERROR(VALUE(MID(TRIM(SUBSTITUTE(SUBSTITUTE(MID(Общий!B235,SEARCH("Karcher",Общий!B235,1),19),".",""),"-","")),SEARCH("Karcher",TRIM(SUBSTITUTE(SUBSTITUTE(MID(Общий!B235,SEARCH("Karcher",Общий!B235,1),19),".",""),"-","")),1)+8,8)),VALUE(LEFT(SUBSTITUTE(SUBSTITUTE(Общий!B235,".",""),"-",""),8))))=7,CONCATENATE(IFERROR(VALUE(MID(TRIM(SUBSTITUTE(SUBSTITUTE(MID(Общий!B235,SEARCH("Karcher",Общий!B235,1),19),".",""),"-","")),SEARCH("Karcher",TRIM(SUBSTITUTE(SUBSTITUTE(MID(Общий!B235,SEARCH("Karcher",Общий!B235,1),19),".",""),"-","")),1)+8,8)),VALUE(LEFT(SUBSTITUTE(SUBSTITUTE(Общий!B235,".",""),"-",""),8))),"0"),IFERROR(VALUE(MID(TRIM(SUBSTITUTE(SUBSTITUTE(MID(Общий!B235,SEARCH("Karcher",Общий!B235,1),19),".",""),"-","")),SEARCH("Karcher",TRIM(SUBSTITUTE(SUBSTITUTE(MID(Общий!B235,SEARCH("Karcher",Общий!B235,1),19),".",""),"-","")),1)+8,8)),VALUE(LEFT(SUBSTITUTE(SUBSTITUTE(Общий!B235,".",""),"-",""),8))))),0)</f>
        <v>0</v>
      </c>
      <c r="B235" s="25">
        <f>IFERROR(CONCATENATE(VALUE(IF(LEN(IFERROR(VALUE(MID(TRIM(SUBSTITUTE(SUBSTITUTE(MID(Общий!B235,SEARCH("Karcher",Общий!B235,1),19),".",""),"-","")),SEARCH("Karcher",TRIM(SUBSTITUTE(SUBSTITUTE(MID(Общий!B235,SEARCH("Karcher",Общий!B235,1),19),".",""),"-","")),1)+8,8)),VALUE(LEFT(SUBSTITUTE(SUBSTITUTE(Общий!B235,".",""),"-",""),8))))=7,CONCATENATE(IFERROR(VALUE(MID(TRIM(SUBSTITUTE(SUBSTITUTE(MID(Общий!B235,SEARCH("Karcher",Общий!B235,1),19),".",""),"-","")),SEARCH("Karcher",TRIM(SUBSTITUTE(SUBSTITUTE(MID(Общий!B235,SEARCH("Karcher",Общий!B235,1),19),".",""),"-","")),1)+8,8)),VALUE(LEFT(SUBSTITUTE(SUBSTITUTE(Общий!B235,".",""),"-",""),8))),"0"),IFERROR(VALUE(MID(TRIM(SUBSTITUTE(SUBSTITUTE(MID(Общий!B235,SEARCH("Karcher",Общий!B235,1),19),".",""),"-","")),SEARCH("Karcher",TRIM(SUBSTITUTE(SUBSTITUTE(MID(Общий!B235,SEARCH("Karcher",Общий!B235,1),19),".",""),"-","")),1)+8,8)),VALUE(LEFT(SUBSTITUTE(SUBSTITUTE(Общий!B235,".",""),"-",""),8)))))," ",Общий!C235),0)</f>
        <v>0</v>
      </c>
      <c r="C235" s="29" t="str">
        <f>Общий!A235</f>
        <v>227</v>
      </c>
      <c r="D235" s="27">
        <f>Общий!B235</f>
        <v>0</v>
      </c>
      <c r="E235" s="28">
        <f>Общий!C235</f>
        <v>0</v>
      </c>
      <c r="F235" s="16"/>
      <c r="G235" s="44"/>
      <c r="H235" s="44"/>
      <c r="I235" s="44"/>
      <c r="J235" s="35"/>
      <c r="K235" s="16"/>
    </row>
    <row r="236" spans="1:11">
      <c r="A236" s="31">
        <f>IFERROR(VALUE(IF(LEN(IFERROR(VALUE(MID(TRIM(SUBSTITUTE(SUBSTITUTE(MID(Общий!B236,SEARCH("Karcher",Общий!B236,1),19),".",""),"-","")),SEARCH("Karcher",TRIM(SUBSTITUTE(SUBSTITUTE(MID(Общий!B236,SEARCH("Karcher",Общий!B236,1),19),".",""),"-","")),1)+8,8)),VALUE(LEFT(SUBSTITUTE(SUBSTITUTE(Общий!B236,".",""),"-",""),8))))=7,CONCATENATE(IFERROR(VALUE(MID(TRIM(SUBSTITUTE(SUBSTITUTE(MID(Общий!B236,SEARCH("Karcher",Общий!B236,1),19),".",""),"-","")),SEARCH("Karcher",TRIM(SUBSTITUTE(SUBSTITUTE(MID(Общий!B236,SEARCH("Karcher",Общий!B236,1),19),".",""),"-","")),1)+8,8)),VALUE(LEFT(SUBSTITUTE(SUBSTITUTE(Общий!B236,".",""),"-",""),8))),"0"),IFERROR(VALUE(MID(TRIM(SUBSTITUTE(SUBSTITUTE(MID(Общий!B236,SEARCH("Karcher",Общий!B236,1),19),".",""),"-","")),SEARCH("Karcher",TRIM(SUBSTITUTE(SUBSTITUTE(MID(Общий!B236,SEARCH("Karcher",Общий!B236,1),19),".",""),"-","")),1)+8,8)),VALUE(LEFT(SUBSTITUTE(SUBSTITUTE(Общий!B236,".",""),"-",""),8))))),0)</f>
        <v>0</v>
      </c>
      <c r="B236" s="25">
        <f>IFERROR(CONCATENATE(VALUE(IF(LEN(IFERROR(VALUE(MID(TRIM(SUBSTITUTE(SUBSTITUTE(MID(Общий!B236,SEARCH("Karcher",Общий!B236,1),19),".",""),"-","")),SEARCH("Karcher",TRIM(SUBSTITUTE(SUBSTITUTE(MID(Общий!B236,SEARCH("Karcher",Общий!B236,1),19),".",""),"-","")),1)+8,8)),VALUE(LEFT(SUBSTITUTE(SUBSTITUTE(Общий!B236,".",""),"-",""),8))))=7,CONCATENATE(IFERROR(VALUE(MID(TRIM(SUBSTITUTE(SUBSTITUTE(MID(Общий!B236,SEARCH("Karcher",Общий!B236,1),19),".",""),"-","")),SEARCH("Karcher",TRIM(SUBSTITUTE(SUBSTITUTE(MID(Общий!B236,SEARCH("Karcher",Общий!B236,1),19),".",""),"-","")),1)+8,8)),VALUE(LEFT(SUBSTITUTE(SUBSTITUTE(Общий!B236,".",""),"-",""),8))),"0"),IFERROR(VALUE(MID(TRIM(SUBSTITUTE(SUBSTITUTE(MID(Общий!B236,SEARCH("Karcher",Общий!B236,1),19),".",""),"-","")),SEARCH("Karcher",TRIM(SUBSTITUTE(SUBSTITUTE(MID(Общий!B236,SEARCH("Karcher",Общий!B236,1),19),".",""),"-","")),1)+8,8)),VALUE(LEFT(SUBSTITUTE(SUBSTITUTE(Общий!B236,".",""),"-",""),8)))))," ",Общий!C236),0)</f>
        <v>0</v>
      </c>
      <c r="C236" s="29" t="str">
        <f>Общий!A236</f>
        <v>228</v>
      </c>
      <c r="D236" s="27">
        <f>Общий!B236</f>
        <v>0</v>
      </c>
      <c r="E236" s="28">
        <f>Общий!C236</f>
        <v>0</v>
      </c>
      <c r="F236" s="16"/>
      <c r="G236" s="44"/>
      <c r="H236" s="44"/>
      <c r="I236" s="44"/>
      <c r="J236" s="35"/>
      <c r="K236" s="16"/>
    </row>
    <row r="237" spans="1:11">
      <c r="A237" s="31">
        <f>IFERROR(VALUE(IF(LEN(IFERROR(VALUE(MID(TRIM(SUBSTITUTE(SUBSTITUTE(MID(Общий!B237,SEARCH("Karcher",Общий!B237,1),19),".",""),"-","")),SEARCH("Karcher",TRIM(SUBSTITUTE(SUBSTITUTE(MID(Общий!B237,SEARCH("Karcher",Общий!B237,1),19),".",""),"-","")),1)+8,8)),VALUE(LEFT(SUBSTITUTE(SUBSTITUTE(Общий!B237,".",""),"-",""),8))))=7,CONCATENATE(IFERROR(VALUE(MID(TRIM(SUBSTITUTE(SUBSTITUTE(MID(Общий!B237,SEARCH("Karcher",Общий!B237,1),19),".",""),"-","")),SEARCH("Karcher",TRIM(SUBSTITUTE(SUBSTITUTE(MID(Общий!B237,SEARCH("Karcher",Общий!B237,1),19),".",""),"-","")),1)+8,8)),VALUE(LEFT(SUBSTITUTE(SUBSTITUTE(Общий!B237,".",""),"-",""),8))),"0"),IFERROR(VALUE(MID(TRIM(SUBSTITUTE(SUBSTITUTE(MID(Общий!B237,SEARCH("Karcher",Общий!B237,1),19),".",""),"-","")),SEARCH("Karcher",TRIM(SUBSTITUTE(SUBSTITUTE(MID(Общий!B237,SEARCH("Karcher",Общий!B237,1),19),".",""),"-","")),1)+8,8)),VALUE(LEFT(SUBSTITUTE(SUBSTITUTE(Общий!B237,".",""),"-",""),8))))),0)</f>
        <v>0</v>
      </c>
      <c r="B237" s="25">
        <f>IFERROR(CONCATENATE(VALUE(IF(LEN(IFERROR(VALUE(MID(TRIM(SUBSTITUTE(SUBSTITUTE(MID(Общий!B237,SEARCH("Karcher",Общий!B237,1),19),".",""),"-","")),SEARCH("Karcher",TRIM(SUBSTITUTE(SUBSTITUTE(MID(Общий!B237,SEARCH("Karcher",Общий!B237,1),19),".",""),"-","")),1)+8,8)),VALUE(LEFT(SUBSTITUTE(SUBSTITUTE(Общий!B237,".",""),"-",""),8))))=7,CONCATENATE(IFERROR(VALUE(MID(TRIM(SUBSTITUTE(SUBSTITUTE(MID(Общий!B237,SEARCH("Karcher",Общий!B237,1),19),".",""),"-","")),SEARCH("Karcher",TRIM(SUBSTITUTE(SUBSTITUTE(MID(Общий!B237,SEARCH("Karcher",Общий!B237,1),19),".",""),"-","")),1)+8,8)),VALUE(LEFT(SUBSTITUTE(SUBSTITUTE(Общий!B237,".",""),"-",""),8))),"0"),IFERROR(VALUE(MID(TRIM(SUBSTITUTE(SUBSTITUTE(MID(Общий!B237,SEARCH("Karcher",Общий!B237,1),19),".",""),"-","")),SEARCH("Karcher",TRIM(SUBSTITUTE(SUBSTITUTE(MID(Общий!B237,SEARCH("Karcher",Общий!B237,1),19),".",""),"-","")),1)+8,8)),VALUE(LEFT(SUBSTITUTE(SUBSTITUTE(Общий!B237,".",""),"-",""),8)))))," ",Общий!C237),0)</f>
        <v>0</v>
      </c>
      <c r="C237" s="29" t="str">
        <f>Общий!A237</f>
        <v>229</v>
      </c>
      <c r="D237" s="27">
        <f>Общий!B237</f>
        <v>0</v>
      </c>
      <c r="E237" s="28">
        <f>Общий!C237</f>
        <v>0</v>
      </c>
      <c r="F237" s="16"/>
      <c r="G237" s="44"/>
      <c r="H237" s="44"/>
      <c r="I237" s="44"/>
      <c r="J237" s="35"/>
      <c r="K237" s="16"/>
    </row>
    <row r="238" spans="1:11">
      <c r="A238" s="31">
        <f>IFERROR(VALUE(IF(LEN(IFERROR(VALUE(MID(TRIM(SUBSTITUTE(SUBSTITUTE(MID(Общий!B238,SEARCH("Karcher",Общий!B238,1),19),".",""),"-","")),SEARCH("Karcher",TRIM(SUBSTITUTE(SUBSTITUTE(MID(Общий!B238,SEARCH("Karcher",Общий!B238,1),19),".",""),"-","")),1)+8,8)),VALUE(LEFT(SUBSTITUTE(SUBSTITUTE(Общий!B238,".",""),"-",""),8))))=7,CONCATENATE(IFERROR(VALUE(MID(TRIM(SUBSTITUTE(SUBSTITUTE(MID(Общий!B238,SEARCH("Karcher",Общий!B238,1),19),".",""),"-","")),SEARCH("Karcher",TRIM(SUBSTITUTE(SUBSTITUTE(MID(Общий!B238,SEARCH("Karcher",Общий!B238,1),19),".",""),"-","")),1)+8,8)),VALUE(LEFT(SUBSTITUTE(SUBSTITUTE(Общий!B238,".",""),"-",""),8))),"0"),IFERROR(VALUE(MID(TRIM(SUBSTITUTE(SUBSTITUTE(MID(Общий!B238,SEARCH("Karcher",Общий!B238,1),19),".",""),"-","")),SEARCH("Karcher",TRIM(SUBSTITUTE(SUBSTITUTE(MID(Общий!B238,SEARCH("Karcher",Общий!B238,1),19),".",""),"-","")),1)+8,8)),VALUE(LEFT(SUBSTITUTE(SUBSTITUTE(Общий!B238,".",""),"-",""),8))))),0)</f>
        <v>0</v>
      </c>
      <c r="B238" s="25">
        <f>IFERROR(CONCATENATE(VALUE(IF(LEN(IFERROR(VALUE(MID(TRIM(SUBSTITUTE(SUBSTITUTE(MID(Общий!B238,SEARCH("Karcher",Общий!B238,1),19),".",""),"-","")),SEARCH("Karcher",TRIM(SUBSTITUTE(SUBSTITUTE(MID(Общий!B238,SEARCH("Karcher",Общий!B238,1),19),".",""),"-","")),1)+8,8)),VALUE(LEFT(SUBSTITUTE(SUBSTITUTE(Общий!B238,".",""),"-",""),8))))=7,CONCATENATE(IFERROR(VALUE(MID(TRIM(SUBSTITUTE(SUBSTITUTE(MID(Общий!B238,SEARCH("Karcher",Общий!B238,1),19),".",""),"-","")),SEARCH("Karcher",TRIM(SUBSTITUTE(SUBSTITUTE(MID(Общий!B238,SEARCH("Karcher",Общий!B238,1),19),".",""),"-","")),1)+8,8)),VALUE(LEFT(SUBSTITUTE(SUBSTITUTE(Общий!B238,".",""),"-",""),8))),"0"),IFERROR(VALUE(MID(TRIM(SUBSTITUTE(SUBSTITUTE(MID(Общий!B238,SEARCH("Karcher",Общий!B238,1),19),".",""),"-","")),SEARCH("Karcher",TRIM(SUBSTITUTE(SUBSTITUTE(MID(Общий!B238,SEARCH("Karcher",Общий!B238,1),19),".",""),"-","")),1)+8,8)),VALUE(LEFT(SUBSTITUTE(SUBSTITUTE(Общий!B238,".",""),"-",""),8)))))," ",Общий!C238),0)</f>
        <v>0</v>
      </c>
      <c r="C238" s="29" t="str">
        <f>Общий!A238</f>
        <v>230</v>
      </c>
      <c r="D238" s="27">
        <f>Общий!B238</f>
        <v>0</v>
      </c>
      <c r="E238" s="28">
        <f>Общий!C238</f>
        <v>0</v>
      </c>
      <c r="F238" s="16"/>
      <c r="G238" s="44"/>
      <c r="H238" s="44"/>
      <c r="I238" s="44"/>
      <c r="J238" s="35"/>
      <c r="K238" s="16"/>
    </row>
    <row r="239" spans="1:11">
      <c r="A239" s="31">
        <f>IFERROR(VALUE(IF(LEN(IFERROR(VALUE(MID(TRIM(SUBSTITUTE(SUBSTITUTE(MID(Общий!B239,SEARCH("Karcher",Общий!B239,1),19),".",""),"-","")),SEARCH("Karcher",TRIM(SUBSTITUTE(SUBSTITUTE(MID(Общий!B239,SEARCH("Karcher",Общий!B239,1),19),".",""),"-","")),1)+8,8)),VALUE(LEFT(SUBSTITUTE(SUBSTITUTE(Общий!B239,".",""),"-",""),8))))=7,CONCATENATE(IFERROR(VALUE(MID(TRIM(SUBSTITUTE(SUBSTITUTE(MID(Общий!B239,SEARCH("Karcher",Общий!B239,1),19),".",""),"-","")),SEARCH("Karcher",TRIM(SUBSTITUTE(SUBSTITUTE(MID(Общий!B239,SEARCH("Karcher",Общий!B239,1),19),".",""),"-","")),1)+8,8)),VALUE(LEFT(SUBSTITUTE(SUBSTITUTE(Общий!B239,".",""),"-",""),8))),"0"),IFERROR(VALUE(MID(TRIM(SUBSTITUTE(SUBSTITUTE(MID(Общий!B239,SEARCH("Karcher",Общий!B239,1),19),".",""),"-","")),SEARCH("Karcher",TRIM(SUBSTITUTE(SUBSTITUTE(MID(Общий!B239,SEARCH("Karcher",Общий!B239,1),19),".",""),"-","")),1)+8,8)),VALUE(LEFT(SUBSTITUTE(SUBSTITUTE(Общий!B239,".",""),"-",""),8))))),0)</f>
        <v>0</v>
      </c>
      <c r="B239" s="25">
        <f>IFERROR(CONCATENATE(VALUE(IF(LEN(IFERROR(VALUE(MID(TRIM(SUBSTITUTE(SUBSTITUTE(MID(Общий!B239,SEARCH("Karcher",Общий!B239,1),19),".",""),"-","")),SEARCH("Karcher",TRIM(SUBSTITUTE(SUBSTITUTE(MID(Общий!B239,SEARCH("Karcher",Общий!B239,1),19),".",""),"-","")),1)+8,8)),VALUE(LEFT(SUBSTITUTE(SUBSTITUTE(Общий!B239,".",""),"-",""),8))))=7,CONCATENATE(IFERROR(VALUE(MID(TRIM(SUBSTITUTE(SUBSTITUTE(MID(Общий!B239,SEARCH("Karcher",Общий!B239,1),19),".",""),"-","")),SEARCH("Karcher",TRIM(SUBSTITUTE(SUBSTITUTE(MID(Общий!B239,SEARCH("Karcher",Общий!B239,1),19),".",""),"-","")),1)+8,8)),VALUE(LEFT(SUBSTITUTE(SUBSTITUTE(Общий!B239,".",""),"-",""),8))),"0"),IFERROR(VALUE(MID(TRIM(SUBSTITUTE(SUBSTITUTE(MID(Общий!B239,SEARCH("Karcher",Общий!B239,1),19),".",""),"-","")),SEARCH("Karcher",TRIM(SUBSTITUTE(SUBSTITUTE(MID(Общий!B239,SEARCH("Karcher",Общий!B239,1),19),".",""),"-","")),1)+8,8)),VALUE(LEFT(SUBSTITUTE(SUBSTITUTE(Общий!B239,".",""),"-",""),8)))))," ",Общий!C239),0)</f>
        <v>0</v>
      </c>
      <c r="C239" s="29" t="str">
        <f>Общий!A239</f>
        <v>231</v>
      </c>
      <c r="D239" s="27">
        <f>Общий!B239</f>
        <v>0</v>
      </c>
      <c r="E239" s="28">
        <f>Общий!C239</f>
        <v>0</v>
      </c>
      <c r="F239" s="16"/>
      <c r="G239" s="44"/>
      <c r="H239" s="44"/>
      <c r="I239" s="44"/>
      <c r="J239" s="35"/>
      <c r="K239" s="16"/>
    </row>
    <row r="240" spans="1:11">
      <c r="A240" s="31">
        <f>IFERROR(VALUE(IF(LEN(IFERROR(VALUE(MID(TRIM(SUBSTITUTE(SUBSTITUTE(MID(Общий!B240,SEARCH("Karcher",Общий!B240,1),19),".",""),"-","")),SEARCH("Karcher",TRIM(SUBSTITUTE(SUBSTITUTE(MID(Общий!B240,SEARCH("Karcher",Общий!B240,1),19),".",""),"-","")),1)+8,8)),VALUE(LEFT(SUBSTITUTE(SUBSTITUTE(Общий!B240,".",""),"-",""),8))))=7,CONCATENATE(IFERROR(VALUE(MID(TRIM(SUBSTITUTE(SUBSTITUTE(MID(Общий!B240,SEARCH("Karcher",Общий!B240,1),19),".",""),"-","")),SEARCH("Karcher",TRIM(SUBSTITUTE(SUBSTITUTE(MID(Общий!B240,SEARCH("Karcher",Общий!B240,1),19),".",""),"-","")),1)+8,8)),VALUE(LEFT(SUBSTITUTE(SUBSTITUTE(Общий!B240,".",""),"-",""),8))),"0"),IFERROR(VALUE(MID(TRIM(SUBSTITUTE(SUBSTITUTE(MID(Общий!B240,SEARCH("Karcher",Общий!B240,1),19),".",""),"-","")),SEARCH("Karcher",TRIM(SUBSTITUTE(SUBSTITUTE(MID(Общий!B240,SEARCH("Karcher",Общий!B240,1),19),".",""),"-","")),1)+8,8)),VALUE(LEFT(SUBSTITUTE(SUBSTITUTE(Общий!B240,".",""),"-",""),8))))),0)</f>
        <v>0</v>
      </c>
      <c r="B240" s="25">
        <f>IFERROR(CONCATENATE(VALUE(IF(LEN(IFERROR(VALUE(MID(TRIM(SUBSTITUTE(SUBSTITUTE(MID(Общий!B240,SEARCH("Karcher",Общий!B240,1),19),".",""),"-","")),SEARCH("Karcher",TRIM(SUBSTITUTE(SUBSTITUTE(MID(Общий!B240,SEARCH("Karcher",Общий!B240,1),19),".",""),"-","")),1)+8,8)),VALUE(LEFT(SUBSTITUTE(SUBSTITUTE(Общий!B240,".",""),"-",""),8))))=7,CONCATENATE(IFERROR(VALUE(MID(TRIM(SUBSTITUTE(SUBSTITUTE(MID(Общий!B240,SEARCH("Karcher",Общий!B240,1),19),".",""),"-","")),SEARCH("Karcher",TRIM(SUBSTITUTE(SUBSTITUTE(MID(Общий!B240,SEARCH("Karcher",Общий!B240,1),19),".",""),"-","")),1)+8,8)),VALUE(LEFT(SUBSTITUTE(SUBSTITUTE(Общий!B240,".",""),"-",""),8))),"0"),IFERROR(VALUE(MID(TRIM(SUBSTITUTE(SUBSTITUTE(MID(Общий!B240,SEARCH("Karcher",Общий!B240,1),19),".",""),"-","")),SEARCH("Karcher",TRIM(SUBSTITUTE(SUBSTITUTE(MID(Общий!B240,SEARCH("Karcher",Общий!B240,1),19),".",""),"-","")),1)+8,8)),VALUE(LEFT(SUBSTITUTE(SUBSTITUTE(Общий!B240,".",""),"-",""),8)))))," ",Общий!C240),0)</f>
        <v>0</v>
      </c>
      <c r="C240" s="29" t="str">
        <f>Общий!A240</f>
        <v>232</v>
      </c>
      <c r="D240" s="27">
        <f>Общий!B240</f>
        <v>0</v>
      </c>
      <c r="E240" s="28">
        <f>Общий!C240</f>
        <v>0</v>
      </c>
      <c r="F240" s="16"/>
      <c r="G240" s="44"/>
      <c r="H240" s="44"/>
      <c r="I240" s="44"/>
      <c r="J240" s="35"/>
      <c r="K240" s="16"/>
    </row>
    <row r="241" spans="1:11">
      <c r="A241" s="31">
        <f>IFERROR(VALUE(IF(LEN(IFERROR(VALUE(MID(TRIM(SUBSTITUTE(SUBSTITUTE(MID(Общий!B241,SEARCH("Karcher",Общий!B241,1),19),".",""),"-","")),SEARCH("Karcher",TRIM(SUBSTITUTE(SUBSTITUTE(MID(Общий!B241,SEARCH("Karcher",Общий!B241,1),19),".",""),"-","")),1)+8,8)),VALUE(LEFT(SUBSTITUTE(SUBSTITUTE(Общий!B241,".",""),"-",""),8))))=7,CONCATENATE(IFERROR(VALUE(MID(TRIM(SUBSTITUTE(SUBSTITUTE(MID(Общий!B241,SEARCH("Karcher",Общий!B241,1),19),".",""),"-","")),SEARCH("Karcher",TRIM(SUBSTITUTE(SUBSTITUTE(MID(Общий!B241,SEARCH("Karcher",Общий!B241,1),19),".",""),"-","")),1)+8,8)),VALUE(LEFT(SUBSTITUTE(SUBSTITUTE(Общий!B241,".",""),"-",""),8))),"0"),IFERROR(VALUE(MID(TRIM(SUBSTITUTE(SUBSTITUTE(MID(Общий!B241,SEARCH("Karcher",Общий!B241,1),19),".",""),"-","")),SEARCH("Karcher",TRIM(SUBSTITUTE(SUBSTITUTE(MID(Общий!B241,SEARCH("Karcher",Общий!B241,1),19),".",""),"-","")),1)+8,8)),VALUE(LEFT(SUBSTITUTE(SUBSTITUTE(Общий!B241,".",""),"-",""),8))))),0)</f>
        <v>0</v>
      </c>
      <c r="B241" s="25">
        <f>IFERROR(CONCATENATE(VALUE(IF(LEN(IFERROR(VALUE(MID(TRIM(SUBSTITUTE(SUBSTITUTE(MID(Общий!B241,SEARCH("Karcher",Общий!B241,1),19),".",""),"-","")),SEARCH("Karcher",TRIM(SUBSTITUTE(SUBSTITUTE(MID(Общий!B241,SEARCH("Karcher",Общий!B241,1),19),".",""),"-","")),1)+8,8)),VALUE(LEFT(SUBSTITUTE(SUBSTITUTE(Общий!B241,".",""),"-",""),8))))=7,CONCATENATE(IFERROR(VALUE(MID(TRIM(SUBSTITUTE(SUBSTITUTE(MID(Общий!B241,SEARCH("Karcher",Общий!B241,1),19),".",""),"-","")),SEARCH("Karcher",TRIM(SUBSTITUTE(SUBSTITUTE(MID(Общий!B241,SEARCH("Karcher",Общий!B241,1),19),".",""),"-","")),1)+8,8)),VALUE(LEFT(SUBSTITUTE(SUBSTITUTE(Общий!B241,".",""),"-",""),8))),"0"),IFERROR(VALUE(MID(TRIM(SUBSTITUTE(SUBSTITUTE(MID(Общий!B241,SEARCH("Karcher",Общий!B241,1),19),".",""),"-","")),SEARCH("Karcher",TRIM(SUBSTITUTE(SUBSTITUTE(MID(Общий!B241,SEARCH("Karcher",Общий!B241,1),19),".",""),"-","")),1)+8,8)),VALUE(LEFT(SUBSTITUTE(SUBSTITUTE(Общий!B241,".",""),"-",""),8)))))," ",Общий!C241),0)</f>
        <v>0</v>
      </c>
      <c r="C241" s="29" t="str">
        <f>Общий!A241</f>
        <v>233</v>
      </c>
      <c r="D241" s="27">
        <f>Общий!B241</f>
        <v>0</v>
      </c>
      <c r="E241" s="28">
        <f>Общий!C241</f>
        <v>0</v>
      </c>
      <c r="F241" s="16"/>
      <c r="G241" s="44"/>
      <c r="H241" s="44"/>
      <c r="I241" s="44"/>
      <c r="J241" s="35"/>
      <c r="K241" s="16"/>
    </row>
    <row r="242" spans="1:11">
      <c r="A242" s="31">
        <f>IFERROR(VALUE(IF(LEN(IFERROR(VALUE(MID(TRIM(SUBSTITUTE(SUBSTITUTE(MID(Общий!B242,SEARCH("Karcher",Общий!B242,1),19),".",""),"-","")),SEARCH("Karcher",TRIM(SUBSTITUTE(SUBSTITUTE(MID(Общий!B242,SEARCH("Karcher",Общий!B242,1),19),".",""),"-","")),1)+8,8)),VALUE(LEFT(SUBSTITUTE(SUBSTITUTE(Общий!B242,".",""),"-",""),8))))=7,CONCATENATE(IFERROR(VALUE(MID(TRIM(SUBSTITUTE(SUBSTITUTE(MID(Общий!B242,SEARCH("Karcher",Общий!B242,1),19),".",""),"-","")),SEARCH("Karcher",TRIM(SUBSTITUTE(SUBSTITUTE(MID(Общий!B242,SEARCH("Karcher",Общий!B242,1),19),".",""),"-","")),1)+8,8)),VALUE(LEFT(SUBSTITUTE(SUBSTITUTE(Общий!B242,".",""),"-",""),8))),"0"),IFERROR(VALUE(MID(TRIM(SUBSTITUTE(SUBSTITUTE(MID(Общий!B242,SEARCH("Karcher",Общий!B242,1),19),".",""),"-","")),SEARCH("Karcher",TRIM(SUBSTITUTE(SUBSTITUTE(MID(Общий!B242,SEARCH("Karcher",Общий!B242,1),19),".",""),"-","")),1)+8,8)),VALUE(LEFT(SUBSTITUTE(SUBSTITUTE(Общий!B242,".",""),"-",""),8))))),0)</f>
        <v>0</v>
      </c>
      <c r="B242" s="25">
        <f>IFERROR(CONCATENATE(VALUE(IF(LEN(IFERROR(VALUE(MID(TRIM(SUBSTITUTE(SUBSTITUTE(MID(Общий!B242,SEARCH("Karcher",Общий!B242,1),19),".",""),"-","")),SEARCH("Karcher",TRIM(SUBSTITUTE(SUBSTITUTE(MID(Общий!B242,SEARCH("Karcher",Общий!B242,1),19),".",""),"-","")),1)+8,8)),VALUE(LEFT(SUBSTITUTE(SUBSTITUTE(Общий!B242,".",""),"-",""),8))))=7,CONCATENATE(IFERROR(VALUE(MID(TRIM(SUBSTITUTE(SUBSTITUTE(MID(Общий!B242,SEARCH("Karcher",Общий!B242,1),19),".",""),"-","")),SEARCH("Karcher",TRIM(SUBSTITUTE(SUBSTITUTE(MID(Общий!B242,SEARCH("Karcher",Общий!B242,1),19),".",""),"-","")),1)+8,8)),VALUE(LEFT(SUBSTITUTE(SUBSTITUTE(Общий!B242,".",""),"-",""),8))),"0"),IFERROR(VALUE(MID(TRIM(SUBSTITUTE(SUBSTITUTE(MID(Общий!B242,SEARCH("Karcher",Общий!B242,1),19),".",""),"-","")),SEARCH("Karcher",TRIM(SUBSTITUTE(SUBSTITUTE(MID(Общий!B242,SEARCH("Karcher",Общий!B242,1),19),".",""),"-","")),1)+8,8)),VALUE(LEFT(SUBSTITUTE(SUBSTITUTE(Общий!B242,".",""),"-",""),8)))))," ",Общий!C242),0)</f>
        <v>0</v>
      </c>
      <c r="C242" s="29" t="str">
        <f>Общий!A242</f>
        <v>234</v>
      </c>
      <c r="D242" s="27">
        <f>Общий!B242</f>
        <v>0</v>
      </c>
      <c r="E242" s="28">
        <f>Общий!C242</f>
        <v>0</v>
      </c>
      <c r="F242" s="16"/>
      <c r="G242" s="44"/>
      <c r="H242" s="44"/>
      <c r="I242" s="44"/>
      <c r="J242" s="35"/>
      <c r="K242" s="16"/>
    </row>
    <row r="243" spans="1:11">
      <c r="A243" s="31">
        <f>IFERROR(VALUE(IF(LEN(IFERROR(VALUE(MID(TRIM(SUBSTITUTE(SUBSTITUTE(MID(Общий!B243,SEARCH("Karcher",Общий!B243,1),19),".",""),"-","")),SEARCH("Karcher",TRIM(SUBSTITUTE(SUBSTITUTE(MID(Общий!B243,SEARCH("Karcher",Общий!B243,1),19),".",""),"-","")),1)+8,8)),VALUE(LEFT(SUBSTITUTE(SUBSTITUTE(Общий!B243,".",""),"-",""),8))))=7,CONCATENATE(IFERROR(VALUE(MID(TRIM(SUBSTITUTE(SUBSTITUTE(MID(Общий!B243,SEARCH("Karcher",Общий!B243,1),19),".",""),"-","")),SEARCH("Karcher",TRIM(SUBSTITUTE(SUBSTITUTE(MID(Общий!B243,SEARCH("Karcher",Общий!B243,1),19),".",""),"-","")),1)+8,8)),VALUE(LEFT(SUBSTITUTE(SUBSTITUTE(Общий!B243,".",""),"-",""),8))),"0"),IFERROR(VALUE(MID(TRIM(SUBSTITUTE(SUBSTITUTE(MID(Общий!B243,SEARCH("Karcher",Общий!B243,1),19),".",""),"-","")),SEARCH("Karcher",TRIM(SUBSTITUTE(SUBSTITUTE(MID(Общий!B243,SEARCH("Karcher",Общий!B243,1),19),".",""),"-","")),1)+8,8)),VALUE(LEFT(SUBSTITUTE(SUBSTITUTE(Общий!B243,".",""),"-",""),8))))),0)</f>
        <v>0</v>
      </c>
      <c r="B243" s="25">
        <f>IFERROR(CONCATENATE(VALUE(IF(LEN(IFERROR(VALUE(MID(TRIM(SUBSTITUTE(SUBSTITUTE(MID(Общий!B243,SEARCH("Karcher",Общий!B243,1),19),".",""),"-","")),SEARCH("Karcher",TRIM(SUBSTITUTE(SUBSTITUTE(MID(Общий!B243,SEARCH("Karcher",Общий!B243,1),19),".",""),"-","")),1)+8,8)),VALUE(LEFT(SUBSTITUTE(SUBSTITUTE(Общий!B243,".",""),"-",""),8))))=7,CONCATENATE(IFERROR(VALUE(MID(TRIM(SUBSTITUTE(SUBSTITUTE(MID(Общий!B243,SEARCH("Karcher",Общий!B243,1),19),".",""),"-","")),SEARCH("Karcher",TRIM(SUBSTITUTE(SUBSTITUTE(MID(Общий!B243,SEARCH("Karcher",Общий!B243,1),19),".",""),"-","")),1)+8,8)),VALUE(LEFT(SUBSTITUTE(SUBSTITUTE(Общий!B243,".",""),"-",""),8))),"0"),IFERROR(VALUE(MID(TRIM(SUBSTITUTE(SUBSTITUTE(MID(Общий!B243,SEARCH("Karcher",Общий!B243,1),19),".",""),"-","")),SEARCH("Karcher",TRIM(SUBSTITUTE(SUBSTITUTE(MID(Общий!B243,SEARCH("Karcher",Общий!B243,1),19),".",""),"-","")),1)+8,8)),VALUE(LEFT(SUBSTITUTE(SUBSTITUTE(Общий!B243,".",""),"-",""),8)))))," ",Общий!C243),0)</f>
        <v>0</v>
      </c>
      <c r="C243" s="29" t="str">
        <f>Общий!A243</f>
        <v>235</v>
      </c>
      <c r="D243" s="27">
        <f>Общий!B243</f>
        <v>0</v>
      </c>
      <c r="E243" s="28">
        <f>Общий!C243</f>
        <v>0</v>
      </c>
      <c r="F243" s="16"/>
      <c r="G243" s="44"/>
      <c r="H243" s="44"/>
      <c r="I243" s="44"/>
      <c r="J243" s="35"/>
      <c r="K243" s="16"/>
    </row>
    <row r="244" spans="1:11">
      <c r="A244" s="31">
        <f>IFERROR(VALUE(IF(LEN(IFERROR(VALUE(MID(TRIM(SUBSTITUTE(SUBSTITUTE(MID(Общий!B244,SEARCH("Karcher",Общий!B244,1),19),".",""),"-","")),SEARCH("Karcher",TRIM(SUBSTITUTE(SUBSTITUTE(MID(Общий!B244,SEARCH("Karcher",Общий!B244,1),19),".",""),"-","")),1)+8,8)),VALUE(LEFT(SUBSTITUTE(SUBSTITUTE(Общий!B244,".",""),"-",""),8))))=7,CONCATENATE(IFERROR(VALUE(MID(TRIM(SUBSTITUTE(SUBSTITUTE(MID(Общий!B244,SEARCH("Karcher",Общий!B244,1),19),".",""),"-","")),SEARCH("Karcher",TRIM(SUBSTITUTE(SUBSTITUTE(MID(Общий!B244,SEARCH("Karcher",Общий!B244,1),19),".",""),"-","")),1)+8,8)),VALUE(LEFT(SUBSTITUTE(SUBSTITUTE(Общий!B244,".",""),"-",""),8))),"0"),IFERROR(VALUE(MID(TRIM(SUBSTITUTE(SUBSTITUTE(MID(Общий!B244,SEARCH("Karcher",Общий!B244,1),19),".",""),"-","")),SEARCH("Karcher",TRIM(SUBSTITUTE(SUBSTITUTE(MID(Общий!B244,SEARCH("Karcher",Общий!B244,1),19),".",""),"-","")),1)+8,8)),VALUE(LEFT(SUBSTITUTE(SUBSTITUTE(Общий!B244,".",""),"-",""),8))))),0)</f>
        <v>0</v>
      </c>
      <c r="B244" s="25">
        <f>IFERROR(CONCATENATE(VALUE(IF(LEN(IFERROR(VALUE(MID(TRIM(SUBSTITUTE(SUBSTITUTE(MID(Общий!B244,SEARCH("Karcher",Общий!B244,1),19),".",""),"-","")),SEARCH("Karcher",TRIM(SUBSTITUTE(SUBSTITUTE(MID(Общий!B244,SEARCH("Karcher",Общий!B244,1),19),".",""),"-","")),1)+8,8)),VALUE(LEFT(SUBSTITUTE(SUBSTITUTE(Общий!B244,".",""),"-",""),8))))=7,CONCATENATE(IFERROR(VALUE(MID(TRIM(SUBSTITUTE(SUBSTITUTE(MID(Общий!B244,SEARCH("Karcher",Общий!B244,1),19),".",""),"-","")),SEARCH("Karcher",TRIM(SUBSTITUTE(SUBSTITUTE(MID(Общий!B244,SEARCH("Karcher",Общий!B244,1),19),".",""),"-","")),1)+8,8)),VALUE(LEFT(SUBSTITUTE(SUBSTITUTE(Общий!B244,".",""),"-",""),8))),"0"),IFERROR(VALUE(MID(TRIM(SUBSTITUTE(SUBSTITUTE(MID(Общий!B244,SEARCH("Karcher",Общий!B244,1),19),".",""),"-","")),SEARCH("Karcher",TRIM(SUBSTITUTE(SUBSTITUTE(MID(Общий!B244,SEARCH("Karcher",Общий!B244,1),19),".",""),"-","")),1)+8,8)),VALUE(LEFT(SUBSTITUTE(SUBSTITUTE(Общий!B244,".",""),"-",""),8)))))," ",Общий!C244),0)</f>
        <v>0</v>
      </c>
      <c r="C244" s="29" t="str">
        <f>Общий!A244</f>
        <v>236</v>
      </c>
      <c r="D244" s="27">
        <f>Общий!B244</f>
        <v>0</v>
      </c>
      <c r="E244" s="28">
        <f>Общий!C244</f>
        <v>0</v>
      </c>
      <c r="F244" s="16"/>
      <c r="G244" s="44"/>
      <c r="H244" s="44"/>
      <c r="I244" s="44"/>
      <c r="J244" s="35"/>
      <c r="K244" s="16"/>
    </row>
    <row r="245" spans="1:11">
      <c r="A245" s="31">
        <f>IFERROR(VALUE(IF(LEN(IFERROR(VALUE(MID(TRIM(SUBSTITUTE(SUBSTITUTE(MID(Общий!B245,SEARCH("Karcher",Общий!B245,1),19),".",""),"-","")),SEARCH("Karcher",TRIM(SUBSTITUTE(SUBSTITUTE(MID(Общий!B245,SEARCH("Karcher",Общий!B245,1),19),".",""),"-","")),1)+8,8)),VALUE(LEFT(SUBSTITUTE(SUBSTITUTE(Общий!B245,".",""),"-",""),8))))=7,CONCATENATE(IFERROR(VALUE(MID(TRIM(SUBSTITUTE(SUBSTITUTE(MID(Общий!B245,SEARCH("Karcher",Общий!B245,1),19),".",""),"-","")),SEARCH("Karcher",TRIM(SUBSTITUTE(SUBSTITUTE(MID(Общий!B245,SEARCH("Karcher",Общий!B245,1),19),".",""),"-","")),1)+8,8)),VALUE(LEFT(SUBSTITUTE(SUBSTITUTE(Общий!B245,".",""),"-",""),8))),"0"),IFERROR(VALUE(MID(TRIM(SUBSTITUTE(SUBSTITUTE(MID(Общий!B245,SEARCH("Karcher",Общий!B245,1),19),".",""),"-","")),SEARCH("Karcher",TRIM(SUBSTITUTE(SUBSTITUTE(MID(Общий!B245,SEARCH("Karcher",Общий!B245,1),19),".",""),"-","")),1)+8,8)),VALUE(LEFT(SUBSTITUTE(SUBSTITUTE(Общий!B245,".",""),"-",""),8))))),0)</f>
        <v>0</v>
      </c>
      <c r="B245" s="25">
        <f>IFERROR(CONCATENATE(VALUE(IF(LEN(IFERROR(VALUE(MID(TRIM(SUBSTITUTE(SUBSTITUTE(MID(Общий!B245,SEARCH("Karcher",Общий!B245,1),19),".",""),"-","")),SEARCH("Karcher",TRIM(SUBSTITUTE(SUBSTITUTE(MID(Общий!B245,SEARCH("Karcher",Общий!B245,1),19),".",""),"-","")),1)+8,8)),VALUE(LEFT(SUBSTITUTE(SUBSTITUTE(Общий!B245,".",""),"-",""),8))))=7,CONCATENATE(IFERROR(VALUE(MID(TRIM(SUBSTITUTE(SUBSTITUTE(MID(Общий!B245,SEARCH("Karcher",Общий!B245,1),19),".",""),"-","")),SEARCH("Karcher",TRIM(SUBSTITUTE(SUBSTITUTE(MID(Общий!B245,SEARCH("Karcher",Общий!B245,1),19),".",""),"-","")),1)+8,8)),VALUE(LEFT(SUBSTITUTE(SUBSTITUTE(Общий!B245,".",""),"-",""),8))),"0"),IFERROR(VALUE(MID(TRIM(SUBSTITUTE(SUBSTITUTE(MID(Общий!B245,SEARCH("Karcher",Общий!B245,1),19),".",""),"-","")),SEARCH("Karcher",TRIM(SUBSTITUTE(SUBSTITUTE(MID(Общий!B245,SEARCH("Karcher",Общий!B245,1),19),".",""),"-","")),1)+8,8)),VALUE(LEFT(SUBSTITUTE(SUBSTITUTE(Общий!B245,".",""),"-",""),8)))))," ",Общий!C245),0)</f>
        <v>0</v>
      </c>
      <c r="C245" s="29" t="str">
        <f>Общий!A245</f>
        <v>237</v>
      </c>
      <c r="D245" s="27">
        <f>Общий!B245</f>
        <v>0</v>
      </c>
      <c r="E245" s="28">
        <f>Общий!C245</f>
        <v>0</v>
      </c>
      <c r="F245" s="16"/>
      <c r="G245" s="44"/>
      <c r="H245" s="44"/>
      <c r="I245" s="44"/>
      <c r="J245" s="35"/>
      <c r="K245" s="16"/>
    </row>
    <row r="246" spans="1:11">
      <c r="A246" s="31">
        <f>IFERROR(VALUE(IF(LEN(IFERROR(VALUE(MID(TRIM(SUBSTITUTE(SUBSTITUTE(MID(Общий!B246,SEARCH("Karcher",Общий!B246,1),19),".",""),"-","")),SEARCH("Karcher",TRIM(SUBSTITUTE(SUBSTITUTE(MID(Общий!B246,SEARCH("Karcher",Общий!B246,1),19),".",""),"-","")),1)+8,8)),VALUE(LEFT(SUBSTITUTE(SUBSTITUTE(Общий!B246,".",""),"-",""),8))))=7,CONCATENATE(IFERROR(VALUE(MID(TRIM(SUBSTITUTE(SUBSTITUTE(MID(Общий!B246,SEARCH("Karcher",Общий!B246,1),19),".",""),"-","")),SEARCH("Karcher",TRIM(SUBSTITUTE(SUBSTITUTE(MID(Общий!B246,SEARCH("Karcher",Общий!B246,1),19),".",""),"-","")),1)+8,8)),VALUE(LEFT(SUBSTITUTE(SUBSTITUTE(Общий!B246,".",""),"-",""),8))),"0"),IFERROR(VALUE(MID(TRIM(SUBSTITUTE(SUBSTITUTE(MID(Общий!B246,SEARCH("Karcher",Общий!B246,1),19),".",""),"-","")),SEARCH("Karcher",TRIM(SUBSTITUTE(SUBSTITUTE(MID(Общий!B246,SEARCH("Karcher",Общий!B246,1),19),".",""),"-","")),1)+8,8)),VALUE(LEFT(SUBSTITUTE(SUBSTITUTE(Общий!B246,".",""),"-",""),8))))),0)</f>
        <v>0</v>
      </c>
      <c r="B246" s="25">
        <f>IFERROR(CONCATENATE(VALUE(IF(LEN(IFERROR(VALUE(MID(TRIM(SUBSTITUTE(SUBSTITUTE(MID(Общий!B246,SEARCH("Karcher",Общий!B246,1),19),".",""),"-","")),SEARCH("Karcher",TRIM(SUBSTITUTE(SUBSTITUTE(MID(Общий!B246,SEARCH("Karcher",Общий!B246,1),19),".",""),"-","")),1)+8,8)),VALUE(LEFT(SUBSTITUTE(SUBSTITUTE(Общий!B246,".",""),"-",""),8))))=7,CONCATENATE(IFERROR(VALUE(MID(TRIM(SUBSTITUTE(SUBSTITUTE(MID(Общий!B246,SEARCH("Karcher",Общий!B246,1),19),".",""),"-","")),SEARCH("Karcher",TRIM(SUBSTITUTE(SUBSTITUTE(MID(Общий!B246,SEARCH("Karcher",Общий!B246,1),19),".",""),"-","")),1)+8,8)),VALUE(LEFT(SUBSTITUTE(SUBSTITUTE(Общий!B246,".",""),"-",""),8))),"0"),IFERROR(VALUE(MID(TRIM(SUBSTITUTE(SUBSTITUTE(MID(Общий!B246,SEARCH("Karcher",Общий!B246,1),19),".",""),"-","")),SEARCH("Karcher",TRIM(SUBSTITUTE(SUBSTITUTE(MID(Общий!B246,SEARCH("Karcher",Общий!B246,1),19),".",""),"-","")),1)+8,8)),VALUE(LEFT(SUBSTITUTE(SUBSTITUTE(Общий!B246,".",""),"-",""),8)))))," ",Общий!C246),0)</f>
        <v>0</v>
      </c>
      <c r="C246" s="29" t="str">
        <f>Общий!A246</f>
        <v>238</v>
      </c>
      <c r="D246" s="27">
        <f>Общий!B246</f>
        <v>0</v>
      </c>
      <c r="E246" s="28">
        <f>Общий!C246</f>
        <v>0</v>
      </c>
      <c r="F246" s="16"/>
      <c r="G246" s="44"/>
      <c r="H246" s="44"/>
      <c r="I246" s="44"/>
      <c r="J246" s="35"/>
      <c r="K246" s="16"/>
    </row>
    <row r="247" spans="1:11">
      <c r="A247" s="31">
        <f>IFERROR(VALUE(IF(LEN(IFERROR(VALUE(MID(TRIM(SUBSTITUTE(SUBSTITUTE(MID(Общий!B247,SEARCH("Karcher",Общий!B247,1),19),".",""),"-","")),SEARCH("Karcher",TRIM(SUBSTITUTE(SUBSTITUTE(MID(Общий!B247,SEARCH("Karcher",Общий!B247,1),19),".",""),"-","")),1)+8,8)),VALUE(LEFT(SUBSTITUTE(SUBSTITUTE(Общий!B247,".",""),"-",""),8))))=7,CONCATENATE(IFERROR(VALUE(MID(TRIM(SUBSTITUTE(SUBSTITUTE(MID(Общий!B247,SEARCH("Karcher",Общий!B247,1),19),".",""),"-","")),SEARCH("Karcher",TRIM(SUBSTITUTE(SUBSTITUTE(MID(Общий!B247,SEARCH("Karcher",Общий!B247,1),19),".",""),"-","")),1)+8,8)),VALUE(LEFT(SUBSTITUTE(SUBSTITUTE(Общий!B247,".",""),"-",""),8))),"0"),IFERROR(VALUE(MID(TRIM(SUBSTITUTE(SUBSTITUTE(MID(Общий!B247,SEARCH("Karcher",Общий!B247,1),19),".",""),"-","")),SEARCH("Karcher",TRIM(SUBSTITUTE(SUBSTITUTE(MID(Общий!B247,SEARCH("Karcher",Общий!B247,1),19),".",""),"-","")),1)+8,8)),VALUE(LEFT(SUBSTITUTE(SUBSTITUTE(Общий!B247,".",""),"-",""),8))))),0)</f>
        <v>0</v>
      </c>
      <c r="B247" s="25">
        <f>IFERROR(CONCATENATE(VALUE(IF(LEN(IFERROR(VALUE(MID(TRIM(SUBSTITUTE(SUBSTITUTE(MID(Общий!B247,SEARCH("Karcher",Общий!B247,1),19),".",""),"-","")),SEARCH("Karcher",TRIM(SUBSTITUTE(SUBSTITUTE(MID(Общий!B247,SEARCH("Karcher",Общий!B247,1),19),".",""),"-","")),1)+8,8)),VALUE(LEFT(SUBSTITUTE(SUBSTITUTE(Общий!B247,".",""),"-",""),8))))=7,CONCATENATE(IFERROR(VALUE(MID(TRIM(SUBSTITUTE(SUBSTITUTE(MID(Общий!B247,SEARCH("Karcher",Общий!B247,1),19),".",""),"-","")),SEARCH("Karcher",TRIM(SUBSTITUTE(SUBSTITUTE(MID(Общий!B247,SEARCH("Karcher",Общий!B247,1),19),".",""),"-","")),1)+8,8)),VALUE(LEFT(SUBSTITUTE(SUBSTITUTE(Общий!B247,".",""),"-",""),8))),"0"),IFERROR(VALUE(MID(TRIM(SUBSTITUTE(SUBSTITUTE(MID(Общий!B247,SEARCH("Karcher",Общий!B247,1),19),".",""),"-","")),SEARCH("Karcher",TRIM(SUBSTITUTE(SUBSTITUTE(MID(Общий!B247,SEARCH("Karcher",Общий!B247,1),19),".",""),"-","")),1)+8,8)),VALUE(LEFT(SUBSTITUTE(SUBSTITUTE(Общий!B247,".",""),"-",""),8)))))," ",Общий!C247),0)</f>
        <v>0</v>
      </c>
      <c r="C247" s="29" t="str">
        <f>Общий!A247</f>
        <v>239</v>
      </c>
      <c r="D247" s="27">
        <f>Общий!B247</f>
        <v>0</v>
      </c>
      <c r="E247" s="28">
        <f>Общий!C247</f>
        <v>0</v>
      </c>
      <c r="F247" s="16"/>
      <c r="G247" s="44"/>
      <c r="H247" s="44"/>
      <c r="I247" s="44"/>
      <c r="J247" s="35"/>
      <c r="K247" s="16"/>
    </row>
    <row r="248" spans="1:11">
      <c r="A248" s="31">
        <f>IFERROR(VALUE(IF(LEN(IFERROR(VALUE(MID(TRIM(SUBSTITUTE(SUBSTITUTE(MID(Общий!B248,SEARCH("Karcher",Общий!B248,1),19),".",""),"-","")),SEARCH("Karcher",TRIM(SUBSTITUTE(SUBSTITUTE(MID(Общий!B248,SEARCH("Karcher",Общий!B248,1),19),".",""),"-","")),1)+8,8)),VALUE(LEFT(SUBSTITUTE(SUBSTITUTE(Общий!B248,".",""),"-",""),8))))=7,CONCATENATE(IFERROR(VALUE(MID(TRIM(SUBSTITUTE(SUBSTITUTE(MID(Общий!B248,SEARCH("Karcher",Общий!B248,1),19),".",""),"-","")),SEARCH("Karcher",TRIM(SUBSTITUTE(SUBSTITUTE(MID(Общий!B248,SEARCH("Karcher",Общий!B248,1),19),".",""),"-","")),1)+8,8)),VALUE(LEFT(SUBSTITUTE(SUBSTITUTE(Общий!B248,".",""),"-",""),8))),"0"),IFERROR(VALUE(MID(TRIM(SUBSTITUTE(SUBSTITUTE(MID(Общий!B248,SEARCH("Karcher",Общий!B248,1),19),".",""),"-","")),SEARCH("Karcher",TRIM(SUBSTITUTE(SUBSTITUTE(MID(Общий!B248,SEARCH("Karcher",Общий!B248,1),19),".",""),"-","")),1)+8,8)),VALUE(LEFT(SUBSTITUTE(SUBSTITUTE(Общий!B248,".",""),"-",""),8))))),0)</f>
        <v>0</v>
      </c>
      <c r="B248" s="25">
        <f>IFERROR(CONCATENATE(VALUE(IF(LEN(IFERROR(VALUE(MID(TRIM(SUBSTITUTE(SUBSTITUTE(MID(Общий!B248,SEARCH("Karcher",Общий!B248,1),19),".",""),"-","")),SEARCH("Karcher",TRIM(SUBSTITUTE(SUBSTITUTE(MID(Общий!B248,SEARCH("Karcher",Общий!B248,1),19),".",""),"-","")),1)+8,8)),VALUE(LEFT(SUBSTITUTE(SUBSTITUTE(Общий!B248,".",""),"-",""),8))))=7,CONCATENATE(IFERROR(VALUE(MID(TRIM(SUBSTITUTE(SUBSTITUTE(MID(Общий!B248,SEARCH("Karcher",Общий!B248,1),19),".",""),"-","")),SEARCH("Karcher",TRIM(SUBSTITUTE(SUBSTITUTE(MID(Общий!B248,SEARCH("Karcher",Общий!B248,1),19),".",""),"-","")),1)+8,8)),VALUE(LEFT(SUBSTITUTE(SUBSTITUTE(Общий!B248,".",""),"-",""),8))),"0"),IFERROR(VALUE(MID(TRIM(SUBSTITUTE(SUBSTITUTE(MID(Общий!B248,SEARCH("Karcher",Общий!B248,1),19),".",""),"-","")),SEARCH("Karcher",TRIM(SUBSTITUTE(SUBSTITUTE(MID(Общий!B248,SEARCH("Karcher",Общий!B248,1),19),".",""),"-","")),1)+8,8)),VALUE(LEFT(SUBSTITUTE(SUBSTITUTE(Общий!B248,".",""),"-",""),8)))))," ",Общий!C248),0)</f>
        <v>0</v>
      </c>
      <c r="C248" s="29" t="str">
        <f>Общий!A248</f>
        <v>240</v>
      </c>
      <c r="D248" s="27">
        <f>Общий!B248</f>
        <v>0</v>
      </c>
      <c r="E248" s="28">
        <f>Общий!C248</f>
        <v>0</v>
      </c>
      <c r="F248" s="16"/>
      <c r="G248" s="44"/>
      <c r="H248" s="44"/>
      <c r="I248" s="44"/>
      <c r="J248" s="35"/>
      <c r="K248" s="16"/>
    </row>
    <row r="249" spans="1:11">
      <c r="A249" s="31">
        <f>IFERROR(VALUE(IF(LEN(IFERROR(VALUE(MID(TRIM(SUBSTITUTE(SUBSTITUTE(MID(Общий!B249,SEARCH("Karcher",Общий!B249,1),19),".",""),"-","")),SEARCH("Karcher",TRIM(SUBSTITUTE(SUBSTITUTE(MID(Общий!B249,SEARCH("Karcher",Общий!B249,1),19),".",""),"-","")),1)+8,8)),VALUE(LEFT(SUBSTITUTE(SUBSTITUTE(Общий!B249,".",""),"-",""),8))))=7,CONCATENATE(IFERROR(VALUE(MID(TRIM(SUBSTITUTE(SUBSTITUTE(MID(Общий!B249,SEARCH("Karcher",Общий!B249,1),19),".",""),"-","")),SEARCH("Karcher",TRIM(SUBSTITUTE(SUBSTITUTE(MID(Общий!B249,SEARCH("Karcher",Общий!B249,1),19),".",""),"-","")),1)+8,8)),VALUE(LEFT(SUBSTITUTE(SUBSTITUTE(Общий!B249,".",""),"-",""),8))),"0"),IFERROR(VALUE(MID(TRIM(SUBSTITUTE(SUBSTITUTE(MID(Общий!B249,SEARCH("Karcher",Общий!B249,1),19),".",""),"-","")),SEARCH("Karcher",TRIM(SUBSTITUTE(SUBSTITUTE(MID(Общий!B249,SEARCH("Karcher",Общий!B249,1),19),".",""),"-","")),1)+8,8)),VALUE(LEFT(SUBSTITUTE(SUBSTITUTE(Общий!B249,".",""),"-",""),8))))),0)</f>
        <v>0</v>
      </c>
      <c r="B249" s="25">
        <f>IFERROR(CONCATENATE(VALUE(IF(LEN(IFERROR(VALUE(MID(TRIM(SUBSTITUTE(SUBSTITUTE(MID(Общий!B249,SEARCH("Karcher",Общий!B249,1),19),".",""),"-","")),SEARCH("Karcher",TRIM(SUBSTITUTE(SUBSTITUTE(MID(Общий!B249,SEARCH("Karcher",Общий!B249,1),19),".",""),"-","")),1)+8,8)),VALUE(LEFT(SUBSTITUTE(SUBSTITUTE(Общий!B249,".",""),"-",""),8))))=7,CONCATENATE(IFERROR(VALUE(MID(TRIM(SUBSTITUTE(SUBSTITUTE(MID(Общий!B249,SEARCH("Karcher",Общий!B249,1),19),".",""),"-","")),SEARCH("Karcher",TRIM(SUBSTITUTE(SUBSTITUTE(MID(Общий!B249,SEARCH("Karcher",Общий!B249,1),19),".",""),"-","")),1)+8,8)),VALUE(LEFT(SUBSTITUTE(SUBSTITUTE(Общий!B249,".",""),"-",""),8))),"0"),IFERROR(VALUE(MID(TRIM(SUBSTITUTE(SUBSTITUTE(MID(Общий!B249,SEARCH("Karcher",Общий!B249,1),19),".",""),"-","")),SEARCH("Karcher",TRIM(SUBSTITUTE(SUBSTITUTE(MID(Общий!B249,SEARCH("Karcher",Общий!B249,1),19),".",""),"-","")),1)+8,8)),VALUE(LEFT(SUBSTITUTE(SUBSTITUTE(Общий!B249,".",""),"-",""),8)))))," ",Общий!C249),0)</f>
        <v>0</v>
      </c>
      <c r="C249" s="29" t="str">
        <f>Общий!A249</f>
        <v>241</v>
      </c>
      <c r="D249" s="27">
        <f>Общий!B249</f>
        <v>0</v>
      </c>
      <c r="E249" s="28">
        <f>Общий!C249</f>
        <v>0</v>
      </c>
      <c r="F249" s="16"/>
      <c r="G249" s="44"/>
      <c r="H249" s="44"/>
      <c r="I249" s="44"/>
      <c r="J249" s="35"/>
      <c r="K249" s="16"/>
    </row>
    <row r="250" spans="1:11">
      <c r="A250" s="31">
        <f>IFERROR(VALUE(IF(LEN(IFERROR(VALUE(MID(TRIM(SUBSTITUTE(SUBSTITUTE(MID(Общий!B250,SEARCH("Karcher",Общий!B250,1),19),".",""),"-","")),SEARCH("Karcher",TRIM(SUBSTITUTE(SUBSTITUTE(MID(Общий!B250,SEARCH("Karcher",Общий!B250,1),19),".",""),"-","")),1)+8,8)),VALUE(LEFT(SUBSTITUTE(SUBSTITUTE(Общий!B250,".",""),"-",""),8))))=7,CONCATENATE(IFERROR(VALUE(MID(TRIM(SUBSTITUTE(SUBSTITUTE(MID(Общий!B250,SEARCH("Karcher",Общий!B250,1),19),".",""),"-","")),SEARCH("Karcher",TRIM(SUBSTITUTE(SUBSTITUTE(MID(Общий!B250,SEARCH("Karcher",Общий!B250,1),19),".",""),"-","")),1)+8,8)),VALUE(LEFT(SUBSTITUTE(SUBSTITUTE(Общий!B250,".",""),"-",""),8))),"0"),IFERROR(VALUE(MID(TRIM(SUBSTITUTE(SUBSTITUTE(MID(Общий!B250,SEARCH("Karcher",Общий!B250,1),19),".",""),"-","")),SEARCH("Karcher",TRIM(SUBSTITUTE(SUBSTITUTE(MID(Общий!B250,SEARCH("Karcher",Общий!B250,1),19),".",""),"-","")),1)+8,8)),VALUE(LEFT(SUBSTITUTE(SUBSTITUTE(Общий!B250,".",""),"-",""),8))))),0)</f>
        <v>0</v>
      </c>
      <c r="B250" s="25">
        <f>IFERROR(CONCATENATE(VALUE(IF(LEN(IFERROR(VALUE(MID(TRIM(SUBSTITUTE(SUBSTITUTE(MID(Общий!B250,SEARCH("Karcher",Общий!B250,1),19),".",""),"-","")),SEARCH("Karcher",TRIM(SUBSTITUTE(SUBSTITUTE(MID(Общий!B250,SEARCH("Karcher",Общий!B250,1),19),".",""),"-","")),1)+8,8)),VALUE(LEFT(SUBSTITUTE(SUBSTITUTE(Общий!B250,".",""),"-",""),8))))=7,CONCATENATE(IFERROR(VALUE(MID(TRIM(SUBSTITUTE(SUBSTITUTE(MID(Общий!B250,SEARCH("Karcher",Общий!B250,1),19),".",""),"-","")),SEARCH("Karcher",TRIM(SUBSTITUTE(SUBSTITUTE(MID(Общий!B250,SEARCH("Karcher",Общий!B250,1),19),".",""),"-","")),1)+8,8)),VALUE(LEFT(SUBSTITUTE(SUBSTITUTE(Общий!B250,".",""),"-",""),8))),"0"),IFERROR(VALUE(MID(TRIM(SUBSTITUTE(SUBSTITUTE(MID(Общий!B250,SEARCH("Karcher",Общий!B250,1),19),".",""),"-","")),SEARCH("Karcher",TRIM(SUBSTITUTE(SUBSTITUTE(MID(Общий!B250,SEARCH("Karcher",Общий!B250,1),19),".",""),"-","")),1)+8,8)),VALUE(LEFT(SUBSTITUTE(SUBSTITUTE(Общий!B250,".",""),"-",""),8)))))," ",Общий!C250),0)</f>
        <v>0</v>
      </c>
      <c r="C250" s="29" t="str">
        <f>Общий!A250</f>
        <v>242</v>
      </c>
      <c r="D250" s="27">
        <f>Общий!B250</f>
        <v>0</v>
      </c>
      <c r="E250" s="28">
        <f>Общий!C250</f>
        <v>0</v>
      </c>
      <c r="F250" s="16"/>
      <c r="G250" s="44"/>
      <c r="H250" s="44"/>
      <c r="I250" s="44"/>
      <c r="J250" s="35"/>
      <c r="K250" s="16"/>
    </row>
    <row r="251" spans="1:11">
      <c r="A251" s="31">
        <f>IFERROR(VALUE(IF(LEN(IFERROR(VALUE(MID(TRIM(SUBSTITUTE(SUBSTITUTE(MID(Общий!B251,SEARCH("Karcher",Общий!B251,1),19),".",""),"-","")),SEARCH("Karcher",TRIM(SUBSTITUTE(SUBSTITUTE(MID(Общий!B251,SEARCH("Karcher",Общий!B251,1),19),".",""),"-","")),1)+8,8)),VALUE(LEFT(SUBSTITUTE(SUBSTITUTE(Общий!B251,".",""),"-",""),8))))=7,CONCATENATE(IFERROR(VALUE(MID(TRIM(SUBSTITUTE(SUBSTITUTE(MID(Общий!B251,SEARCH("Karcher",Общий!B251,1),19),".",""),"-","")),SEARCH("Karcher",TRIM(SUBSTITUTE(SUBSTITUTE(MID(Общий!B251,SEARCH("Karcher",Общий!B251,1),19),".",""),"-","")),1)+8,8)),VALUE(LEFT(SUBSTITUTE(SUBSTITUTE(Общий!B251,".",""),"-",""),8))),"0"),IFERROR(VALUE(MID(TRIM(SUBSTITUTE(SUBSTITUTE(MID(Общий!B251,SEARCH("Karcher",Общий!B251,1),19),".",""),"-","")),SEARCH("Karcher",TRIM(SUBSTITUTE(SUBSTITUTE(MID(Общий!B251,SEARCH("Karcher",Общий!B251,1),19),".",""),"-","")),1)+8,8)),VALUE(LEFT(SUBSTITUTE(SUBSTITUTE(Общий!B251,".",""),"-",""),8))))),0)</f>
        <v>0</v>
      </c>
      <c r="B251" s="25">
        <f>IFERROR(CONCATENATE(VALUE(IF(LEN(IFERROR(VALUE(MID(TRIM(SUBSTITUTE(SUBSTITUTE(MID(Общий!B251,SEARCH("Karcher",Общий!B251,1),19),".",""),"-","")),SEARCH("Karcher",TRIM(SUBSTITUTE(SUBSTITUTE(MID(Общий!B251,SEARCH("Karcher",Общий!B251,1),19),".",""),"-","")),1)+8,8)),VALUE(LEFT(SUBSTITUTE(SUBSTITUTE(Общий!B251,".",""),"-",""),8))))=7,CONCATENATE(IFERROR(VALUE(MID(TRIM(SUBSTITUTE(SUBSTITUTE(MID(Общий!B251,SEARCH("Karcher",Общий!B251,1),19),".",""),"-","")),SEARCH("Karcher",TRIM(SUBSTITUTE(SUBSTITUTE(MID(Общий!B251,SEARCH("Karcher",Общий!B251,1),19),".",""),"-","")),1)+8,8)),VALUE(LEFT(SUBSTITUTE(SUBSTITUTE(Общий!B251,".",""),"-",""),8))),"0"),IFERROR(VALUE(MID(TRIM(SUBSTITUTE(SUBSTITUTE(MID(Общий!B251,SEARCH("Karcher",Общий!B251,1),19),".",""),"-","")),SEARCH("Karcher",TRIM(SUBSTITUTE(SUBSTITUTE(MID(Общий!B251,SEARCH("Karcher",Общий!B251,1),19),".",""),"-","")),1)+8,8)),VALUE(LEFT(SUBSTITUTE(SUBSTITUTE(Общий!B251,".",""),"-",""),8)))))," ",Общий!C251),0)</f>
        <v>0</v>
      </c>
      <c r="C251" s="29" t="str">
        <f>Общий!A251</f>
        <v>243</v>
      </c>
      <c r="D251" s="27">
        <f>Общий!B251</f>
        <v>0</v>
      </c>
      <c r="E251" s="28">
        <f>Общий!C251</f>
        <v>0</v>
      </c>
      <c r="F251" s="16"/>
      <c r="G251" s="44"/>
      <c r="H251" s="44"/>
      <c r="I251" s="44"/>
      <c r="J251" s="35"/>
      <c r="K251" s="16"/>
    </row>
    <row r="252" spans="1:11">
      <c r="A252" s="31">
        <f>IFERROR(VALUE(IF(LEN(IFERROR(VALUE(MID(TRIM(SUBSTITUTE(SUBSTITUTE(MID(Общий!B252,SEARCH("Karcher",Общий!B252,1),19),".",""),"-","")),SEARCH("Karcher",TRIM(SUBSTITUTE(SUBSTITUTE(MID(Общий!B252,SEARCH("Karcher",Общий!B252,1),19),".",""),"-","")),1)+8,8)),VALUE(LEFT(SUBSTITUTE(SUBSTITUTE(Общий!B252,".",""),"-",""),8))))=7,CONCATENATE(IFERROR(VALUE(MID(TRIM(SUBSTITUTE(SUBSTITUTE(MID(Общий!B252,SEARCH("Karcher",Общий!B252,1),19),".",""),"-","")),SEARCH("Karcher",TRIM(SUBSTITUTE(SUBSTITUTE(MID(Общий!B252,SEARCH("Karcher",Общий!B252,1),19),".",""),"-","")),1)+8,8)),VALUE(LEFT(SUBSTITUTE(SUBSTITUTE(Общий!B252,".",""),"-",""),8))),"0"),IFERROR(VALUE(MID(TRIM(SUBSTITUTE(SUBSTITUTE(MID(Общий!B252,SEARCH("Karcher",Общий!B252,1),19),".",""),"-","")),SEARCH("Karcher",TRIM(SUBSTITUTE(SUBSTITUTE(MID(Общий!B252,SEARCH("Karcher",Общий!B252,1),19),".",""),"-","")),1)+8,8)),VALUE(LEFT(SUBSTITUTE(SUBSTITUTE(Общий!B252,".",""),"-",""),8))))),0)</f>
        <v>0</v>
      </c>
      <c r="B252" s="25">
        <f>IFERROR(CONCATENATE(VALUE(IF(LEN(IFERROR(VALUE(MID(TRIM(SUBSTITUTE(SUBSTITUTE(MID(Общий!B252,SEARCH("Karcher",Общий!B252,1),19),".",""),"-","")),SEARCH("Karcher",TRIM(SUBSTITUTE(SUBSTITUTE(MID(Общий!B252,SEARCH("Karcher",Общий!B252,1),19),".",""),"-","")),1)+8,8)),VALUE(LEFT(SUBSTITUTE(SUBSTITUTE(Общий!B252,".",""),"-",""),8))))=7,CONCATENATE(IFERROR(VALUE(MID(TRIM(SUBSTITUTE(SUBSTITUTE(MID(Общий!B252,SEARCH("Karcher",Общий!B252,1),19),".",""),"-","")),SEARCH("Karcher",TRIM(SUBSTITUTE(SUBSTITUTE(MID(Общий!B252,SEARCH("Karcher",Общий!B252,1),19),".",""),"-","")),1)+8,8)),VALUE(LEFT(SUBSTITUTE(SUBSTITUTE(Общий!B252,".",""),"-",""),8))),"0"),IFERROR(VALUE(MID(TRIM(SUBSTITUTE(SUBSTITUTE(MID(Общий!B252,SEARCH("Karcher",Общий!B252,1),19),".",""),"-","")),SEARCH("Karcher",TRIM(SUBSTITUTE(SUBSTITUTE(MID(Общий!B252,SEARCH("Karcher",Общий!B252,1),19),".",""),"-","")),1)+8,8)),VALUE(LEFT(SUBSTITUTE(SUBSTITUTE(Общий!B252,".",""),"-",""),8)))))," ",Общий!C252),0)</f>
        <v>0</v>
      </c>
      <c r="C252" s="29" t="str">
        <f>Общий!A252</f>
        <v>244</v>
      </c>
      <c r="D252" s="27">
        <f>Общий!B252</f>
        <v>0</v>
      </c>
      <c r="E252" s="28">
        <f>Общий!C252</f>
        <v>0</v>
      </c>
      <c r="F252" s="16"/>
      <c r="G252" s="44"/>
      <c r="H252" s="44"/>
      <c r="I252" s="44"/>
      <c r="J252" s="35"/>
      <c r="K252" s="16"/>
    </row>
    <row r="253" spans="1:11">
      <c r="A253" s="31">
        <f>IFERROR(VALUE(IF(LEN(IFERROR(VALUE(MID(TRIM(SUBSTITUTE(SUBSTITUTE(MID(Общий!B253,SEARCH("Karcher",Общий!B253,1),19),".",""),"-","")),SEARCH("Karcher",TRIM(SUBSTITUTE(SUBSTITUTE(MID(Общий!B253,SEARCH("Karcher",Общий!B253,1),19),".",""),"-","")),1)+8,8)),VALUE(LEFT(SUBSTITUTE(SUBSTITUTE(Общий!B253,".",""),"-",""),8))))=7,CONCATENATE(IFERROR(VALUE(MID(TRIM(SUBSTITUTE(SUBSTITUTE(MID(Общий!B253,SEARCH("Karcher",Общий!B253,1),19),".",""),"-","")),SEARCH("Karcher",TRIM(SUBSTITUTE(SUBSTITUTE(MID(Общий!B253,SEARCH("Karcher",Общий!B253,1),19),".",""),"-","")),1)+8,8)),VALUE(LEFT(SUBSTITUTE(SUBSTITUTE(Общий!B253,".",""),"-",""),8))),"0"),IFERROR(VALUE(MID(TRIM(SUBSTITUTE(SUBSTITUTE(MID(Общий!B253,SEARCH("Karcher",Общий!B253,1),19),".",""),"-","")),SEARCH("Karcher",TRIM(SUBSTITUTE(SUBSTITUTE(MID(Общий!B253,SEARCH("Karcher",Общий!B253,1),19),".",""),"-","")),1)+8,8)),VALUE(LEFT(SUBSTITUTE(SUBSTITUTE(Общий!B253,".",""),"-",""),8))))),0)</f>
        <v>0</v>
      </c>
      <c r="B253" s="25">
        <f>IFERROR(CONCATENATE(VALUE(IF(LEN(IFERROR(VALUE(MID(TRIM(SUBSTITUTE(SUBSTITUTE(MID(Общий!B253,SEARCH("Karcher",Общий!B253,1),19),".",""),"-","")),SEARCH("Karcher",TRIM(SUBSTITUTE(SUBSTITUTE(MID(Общий!B253,SEARCH("Karcher",Общий!B253,1),19),".",""),"-","")),1)+8,8)),VALUE(LEFT(SUBSTITUTE(SUBSTITUTE(Общий!B253,".",""),"-",""),8))))=7,CONCATENATE(IFERROR(VALUE(MID(TRIM(SUBSTITUTE(SUBSTITUTE(MID(Общий!B253,SEARCH("Karcher",Общий!B253,1),19),".",""),"-","")),SEARCH("Karcher",TRIM(SUBSTITUTE(SUBSTITUTE(MID(Общий!B253,SEARCH("Karcher",Общий!B253,1),19),".",""),"-","")),1)+8,8)),VALUE(LEFT(SUBSTITUTE(SUBSTITUTE(Общий!B253,".",""),"-",""),8))),"0"),IFERROR(VALUE(MID(TRIM(SUBSTITUTE(SUBSTITUTE(MID(Общий!B253,SEARCH("Karcher",Общий!B253,1),19),".",""),"-","")),SEARCH("Karcher",TRIM(SUBSTITUTE(SUBSTITUTE(MID(Общий!B253,SEARCH("Karcher",Общий!B253,1),19),".",""),"-","")),1)+8,8)),VALUE(LEFT(SUBSTITUTE(SUBSTITUTE(Общий!B253,".",""),"-",""),8)))))," ",Общий!C253),0)</f>
        <v>0</v>
      </c>
      <c r="C253" s="29" t="str">
        <f>Общий!A253</f>
        <v>245</v>
      </c>
      <c r="D253" s="27">
        <f>Общий!B253</f>
        <v>0</v>
      </c>
      <c r="E253" s="28">
        <f>Общий!C253</f>
        <v>0</v>
      </c>
      <c r="F253" s="16"/>
      <c r="G253" s="44"/>
      <c r="H253" s="44"/>
      <c r="I253" s="44"/>
      <c r="J253" s="35"/>
      <c r="K253" s="16"/>
    </row>
    <row r="254" spans="1:11">
      <c r="A254" s="31">
        <f>IFERROR(VALUE(IF(LEN(IFERROR(VALUE(MID(TRIM(SUBSTITUTE(SUBSTITUTE(MID(Общий!B254,SEARCH("Karcher",Общий!B254,1),19),".",""),"-","")),SEARCH("Karcher",TRIM(SUBSTITUTE(SUBSTITUTE(MID(Общий!B254,SEARCH("Karcher",Общий!B254,1),19),".",""),"-","")),1)+8,8)),VALUE(LEFT(SUBSTITUTE(SUBSTITUTE(Общий!B254,".",""),"-",""),8))))=7,CONCATENATE(IFERROR(VALUE(MID(TRIM(SUBSTITUTE(SUBSTITUTE(MID(Общий!B254,SEARCH("Karcher",Общий!B254,1),19),".",""),"-","")),SEARCH("Karcher",TRIM(SUBSTITUTE(SUBSTITUTE(MID(Общий!B254,SEARCH("Karcher",Общий!B254,1),19),".",""),"-","")),1)+8,8)),VALUE(LEFT(SUBSTITUTE(SUBSTITUTE(Общий!B254,".",""),"-",""),8))),"0"),IFERROR(VALUE(MID(TRIM(SUBSTITUTE(SUBSTITUTE(MID(Общий!B254,SEARCH("Karcher",Общий!B254,1),19),".",""),"-","")),SEARCH("Karcher",TRIM(SUBSTITUTE(SUBSTITUTE(MID(Общий!B254,SEARCH("Karcher",Общий!B254,1),19),".",""),"-","")),1)+8,8)),VALUE(LEFT(SUBSTITUTE(SUBSTITUTE(Общий!B254,".",""),"-",""),8))))),0)</f>
        <v>0</v>
      </c>
      <c r="B254" s="25">
        <f>IFERROR(CONCATENATE(VALUE(IF(LEN(IFERROR(VALUE(MID(TRIM(SUBSTITUTE(SUBSTITUTE(MID(Общий!B254,SEARCH("Karcher",Общий!B254,1),19),".",""),"-","")),SEARCH("Karcher",TRIM(SUBSTITUTE(SUBSTITUTE(MID(Общий!B254,SEARCH("Karcher",Общий!B254,1),19),".",""),"-","")),1)+8,8)),VALUE(LEFT(SUBSTITUTE(SUBSTITUTE(Общий!B254,".",""),"-",""),8))))=7,CONCATENATE(IFERROR(VALUE(MID(TRIM(SUBSTITUTE(SUBSTITUTE(MID(Общий!B254,SEARCH("Karcher",Общий!B254,1),19),".",""),"-","")),SEARCH("Karcher",TRIM(SUBSTITUTE(SUBSTITUTE(MID(Общий!B254,SEARCH("Karcher",Общий!B254,1),19),".",""),"-","")),1)+8,8)),VALUE(LEFT(SUBSTITUTE(SUBSTITUTE(Общий!B254,".",""),"-",""),8))),"0"),IFERROR(VALUE(MID(TRIM(SUBSTITUTE(SUBSTITUTE(MID(Общий!B254,SEARCH("Karcher",Общий!B254,1),19),".",""),"-","")),SEARCH("Karcher",TRIM(SUBSTITUTE(SUBSTITUTE(MID(Общий!B254,SEARCH("Karcher",Общий!B254,1),19),".",""),"-","")),1)+8,8)),VALUE(LEFT(SUBSTITUTE(SUBSTITUTE(Общий!B254,".",""),"-",""),8)))))," ",Общий!C254),0)</f>
        <v>0</v>
      </c>
      <c r="C254" s="29" t="str">
        <f>Общий!A254</f>
        <v>246</v>
      </c>
      <c r="D254" s="27">
        <f>Общий!B254</f>
        <v>0</v>
      </c>
      <c r="E254" s="28">
        <f>Общий!C254</f>
        <v>0</v>
      </c>
      <c r="F254" s="16"/>
      <c r="G254" s="44"/>
      <c r="H254" s="44"/>
      <c r="I254" s="44"/>
      <c r="J254" s="35"/>
      <c r="K254" s="16"/>
    </row>
    <row r="255" spans="1:11">
      <c r="A255" s="31">
        <f>IFERROR(VALUE(IF(LEN(IFERROR(VALUE(MID(TRIM(SUBSTITUTE(SUBSTITUTE(MID(Общий!B255,SEARCH("Karcher",Общий!B255,1),19),".",""),"-","")),SEARCH("Karcher",TRIM(SUBSTITUTE(SUBSTITUTE(MID(Общий!B255,SEARCH("Karcher",Общий!B255,1),19),".",""),"-","")),1)+8,8)),VALUE(LEFT(SUBSTITUTE(SUBSTITUTE(Общий!B255,".",""),"-",""),8))))=7,CONCATENATE(IFERROR(VALUE(MID(TRIM(SUBSTITUTE(SUBSTITUTE(MID(Общий!B255,SEARCH("Karcher",Общий!B255,1),19),".",""),"-","")),SEARCH("Karcher",TRIM(SUBSTITUTE(SUBSTITUTE(MID(Общий!B255,SEARCH("Karcher",Общий!B255,1),19),".",""),"-","")),1)+8,8)),VALUE(LEFT(SUBSTITUTE(SUBSTITUTE(Общий!B255,".",""),"-",""),8))),"0"),IFERROR(VALUE(MID(TRIM(SUBSTITUTE(SUBSTITUTE(MID(Общий!B255,SEARCH("Karcher",Общий!B255,1),19),".",""),"-","")),SEARCH("Karcher",TRIM(SUBSTITUTE(SUBSTITUTE(MID(Общий!B255,SEARCH("Karcher",Общий!B255,1),19),".",""),"-","")),1)+8,8)),VALUE(LEFT(SUBSTITUTE(SUBSTITUTE(Общий!B255,".",""),"-",""),8))))),0)</f>
        <v>0</v>
      </c>
      <c r="B255" s="25">
        <f>IFERROR(CONCATENATE(VALUE(IF(LEN(IFERROR(VALUE(MID(TRIM(SUBSTITUTE(SUBSTITUTE(MID(Общий!B255,SEARCH("Karcher",Общий!B255,1),19),".",""),"-","")),SEARCH("Karcher",TRIM(SUBSTITUTE(SUBSTITUTE(MID(Общий!B255,SEARCH("Karcher",Общий!B255,1),19),".",""),"-","")),1)+8,8)),VALUE(LEFT(SUBSTITUTE(SUBSTITUTE(Общий!B255,".",""),"-",""),8))))=7,CONCATENATE(IFERROR(VALUE(MID(TRIM(SUBSTITUTE(SUBSTITUTE(MID(Общий!B255,SEARCH("Karcher",Общий!B255,1),19),".",""),"-","")),SEARCH("Karcher",TRIM(SUBSTITUTE(SUBSTITUTE(MID(Общий!B255,SEARCH("Karcher",Общий!B255,1),19),".",""),"-","")),1)+8,8)),VALUE(LEFT(SUBSTITUTE(SUBSTITUTE(Общий!B255,".",""),"-",""),8))),"0"),IFERROR(VALUE(MID(TRIM(SUBSTITUTE(SUBSTITUTE(MID(Общий!B255,SEARCH("Karcher",Общий!B255,1),19),".",""),"-","")),SEARCH("Karcher",TRIM(SUBSTITUTE(SUBSTITUTE(MID(Общий!B255,SEARCH("Karcher",Общий!B255,1),19),".",""),"-","")),1)+8,8)),VALUE(LEFT(SUBSTITUTE(SUBSTITUTE(Общий!B255,".",""),"-",""),8)))))," ",Общий!C255),0)</f>
        <v>0</v>
      </c>
      <c r="C255" s="29" t="str">
        <f>Общий!A255</f>
        <v>247</v>
      </c>
      <c r="D255" s="27">
        <f>Общий!B255</f>
        <v>0</v>
      </c>
      <c r="E255" s="28">
        <f>Общий!C255</f>
        <v>0</v>
      </c>
      <c r="F255" s="16"/>
      <c r="G255" s="44"/>
      <c r="H255" s="44"/>
      <c r="I255" s="44"/>
      <c r="J255" s="35"/>
      <c r="K255" s="16"/>
    </row>
    <row r="256" spans="1:11">
      <c r="A256" s="31">
        <f>IFERROR(VALUE(IF(LEN(IFERROR(VALUE(MID(TRIM(SUBSTITUTE(SUBSTITUTE(MID(Общий!B256,SEARCH("Karcher",Общий!B256,1),19),".",""),"-","")),SEARCH("Karcher",TRIM(SUBSTITUTE(SUBSTITUTE(MID(Общий!B256,SEARCH("Karcher",Общий!B256,1),19),".",""),"-","")),1)+8,8)),VALUE(LEFT(SUBSTITUTE(SUBSTITUTE(Общий!B256,".",""),"-",""),8))))=7,CONCATENATE(IFERROR(VALUE(MID(TRIM(SUBSTITUTE(SUBSTITUTE(MID(Общий!B256,SEARCH("Karcher",Общий!B256,1),19),".",""),"-","")),SEARCH("Karcher",TRIM(SUBSTITUTE(SUBSTITUTE(MID(Общий!B256,SEARCH("Karcher",Общий!B256,1),19),".",""),"-","")),1)+8,8)),VALUE(LEFT(SUBSTITUTE(SUBSTITUTE(Общий!B256,".",""),"-",""),8))),"0"),IFERROR(VALUE(MID(TRIM(SUBSTITUTE(SUBSTITUTE(MID(Общий!B256,SEARCH("Karcher",Общий!B256,1),19),".",""),"-","")),SEARCH("Karcher",TRIM(SUBSTITUTE(SUBSTITUTE(MID(Общий!B256,SEARCH("Karcher",Общий!B256,1),19),".",""),"-","")),1)+8,8)),VALUE(LEFT(SUBSTITUTE(SUBSTITUTE(Общий!B256,".",""),"-",""),8))))),0)</f>
        <v>0</v>
      </c>
      <c r="B256" s="25">
        <f>IFERROR(CONCATENATE(VALUE(IF(LEN(IFERROR(VALUE(MID(TRIM(SUBSTITUTE(SUBSTITUTE(MID(Общий!B256,SEARCH("Karcher",Общий!B256,1),19),".",""),"-","")),SEARCH("Karcher",TRIM(SUBSTITUTE(SUBSTITUTE(MID(Общий!B256,SEARCH("Karcher",Общий!B256,1),19),".",""),"-","")),1)+8,8)),VALUE(LEFT(SUBSTITUTE(SUBSTITUTE(Общий!B256,".",""),"-",""),8))))=7,CONCATENATE(IFERROR(VALUE(MID(TRIM(SUBSTITUTE(SUBSTITUTE(MID(Общий!B256,SEARCH("Karcher",Общий!B256,1),19),".",""),"-","")),SEARCH("Karcher",TRIM(SUBSTITUTE(SUBSTITUTE(MID(Общий!B256,SEARCH("Karcher",Общий!B256,1),19),".",""),"-","")),1)+8,8)),VALUE(LEFT(SUBSTITUTE(SUBSTITUTE(Общий!B256,".",""),"-",""),8))),"0"),IFERROR(VALUE(MID(TRIM(SUBSTITUTE(SUBSTITUTE(MID(Общий!B256,SEARCH("Karcher",Общий!B256,1),19),".",""),"-","")),SEARCH("Karcher",TRIM(SUBSTITUTE(SUBSTITUTE(MID(Общий!B256,SEARCH("Karcher",Общий!B256,1),19),".",""),"-","")),1)+8,8)),VALUE(LEFT(SUBSTITUTE(SUBSTITUTE(Общий!B256,".",""),"-",""),8)))))," ",Общий!C256),0)</f>
        <v>0</v>
      </c>
      <c r="C256" s="29" t="str">
        <f>Общий!A256</f>
        <v>248</v>
      </c>
      <c r="D256" s="27">
        <f>Общий!B256</f>
        <v>0</v>
      </c>
      <c r="E256" s="28">
        <f>Общий!C256</f>
        <v>0</v>
      </c>
      <c r="F256" s="16"/>
      <c r="G256" s="44"/>
      <c r="H256" s="44"/>
      <c r="I256" s="44"/>
      <c r="J256" s="35"/>
      <c r="K256" s="16"/>
    </row>
    <row r="257" spans="1:11">
      <c r="A257" s="31">
        <f>IFERROR(VALUE(IF(LEN(IFERROR(VALUE(MID(TRIM(SUBSTITUTE(SUBSTITUTE(MID(Общий!B257,SEARCH("Karcher",Общий!B257,1),19),".",""),"-","")),SEARCH("Karcher",TRIM(SUBSTITUTE(SUBSTITUTE(MID(Общий!B257,SEARCH("Karcher",Общий!B257,1),19),".",""),"-","")),1)+8,8)),VALUE(LEFT(SUBSTITUTE(SUBSTITUTE(Общий!B257,".",""),"-",""),8))))=7,CONCATENATE(IFERROR(VALUE(MID(TRIM(SUBSTITUTE(SUBSTITUTE(MID(Общий!B257,SEARCH("Karcher",Общий!B257,1),19),".",""),"-","")),SEARCH("Karcher",TRIM(SUBSTITUTE(SUBSTITUTE(MID(Общий!B257,SEARCH("Karcher",Общий!B257,1),19),".",""),"-","")),1)+8,8)),VALUE(LEFT(SUBSTITUTE(SUBSTITUTE(Общий!B257,".",""),"-",""),8))),"0"),IFERROR(VALUE(MID(TRIM(SUBSTITUTE(SUBSTITUTE(MID(Общий!B257,SEARCH("Karcher",Общий!B257,1),19),".",""),"-","")),SEARCH("Karcher",TRIM(SUBSTITUTE(SUBSTITUTE(MID(Общий!B257,SEARCH("Karcher",Общий!B257,1),19),".",""),"-","")),1)+8,8)),VALUE(LEFT(SUBSTITUTE(SUBSTITUTE(Общий!B257,".",""),"-",""),8))))),0)</f>
        <v>0</v>
      </c>
      <c r="B257" s="25">
        <f>IFERROR(CONCATENATE(VALUE(IF(LEN(IFERROR(VALUE(MID(TRIM(SUBSTITUTE(SUBSTITUTE(MID(Общий!B257,SEARCH("Karcher",Общий!B257,1),19),".",""),"-","")),SEARCH("Karcher",TRIM(SUBSTITUTE(SUBSTITUTE(MID(Общий!B257,SEARCH("Karcher",Общий!B257,1),19),".",""),"-","")),1)+8,8)),VALUE(LEFT(SUBSTITUTE(SUBSTITUTE(Общий!B257,".",""),"-",""),8))))=7,CONCATENATE(IFERROR(VALUE(MID(TRIM(SUBSTITUTE(SUBSTITUTE(MID(Общий!B257,SEARCH("Karcher",Общий!B257,1),19),".",""),"-","")),SEARCH("Karcher",TRIM(SUBSTITUTE(SUBSTITUTE(MID(Общий!B257,SEARCH("Karcher",Общий!B257,1),19),".",""),"-","")),1)+8,8)),VALUE(LEFT(SUBSTITUTE(SUBSTITUTE(Общий!B257,".",""),"-",""),8))),"0"),IFERROR(VALUE(MID(TRIM(SUBSTITUTE(SUBSTITUTE(MID(Общий!B257,SEARCH("Karcher",Общий!B257,1),19),".",""),"-","")),SEARCH("Karcher",TRIM(SUBSTITUTE(SUBSTITUTE(MID(Общий!B257,SEARCH("Karcher",Общий!B257,1),19),".",""),"-","")),1)+8,8)),VALUE(LEFT(SUBSTITUTE(SUBSTITUTE(Общий!B257,".",""),"-",""),8)))))," ",Общий!C257),0)</f>
        <v>0</v>
      </c>
      <c r="C257" s="29" t="str">
        <f>Общий!A257</f>
        <v>249</v>
      </c>
      <c r="D257" s="27">
        <f>Общий!B257</f>
        <v>0</v>
      </c>
      <c r="E257" s="28">
        <f>Общий!C257</f>
        <v>0</v>
      </c>
      <c r="F257" s="16"/>
      <c r="G257" s="44"/>
      <c r="H257" s="44"/>
      <c r="I257" s="44"/>
      <c r="J257" s="35"/>
      <c r="K257" s="16"/>
    </row>
    <row r="258" spans="1:11">
      <c r="A258" s="31">
        <f>IFERROR(VALUE(IF(LEN(IFERROR(VALUE(MID(TRIM(SUBSTITUTE(SUBSTITUTE(MID(Общий!B258,SEARCH("Karcher",Общий!B258,1),19),".",""),"-","")),SEARCH("Karcher",TRIM(SUBSTITUTE(SUBSTITUTE(MID(Общий!B258,SEARCH("Karcher",Общий!B258,1),19),".",""),"-","")),1)+8,8)),VALUE(LEFT(SUBSTITUTE(SUBSTITUTE(Общий!B258,".",""),"-",""),8))))=7,CONCATENATE(IFERROR(VALUE(MID(TRIM(SUBSTITUTE(SUBSTITUTE(MID(Общий!B258,SEARCH("Karcher",Общий!B258,1),19),".",""),"-","")),SEARCH("Karcher",TRIM(SUBSTITUTE(SUBSTITUTE(MID(Общий!B258,SEARCH("Karcher",Общий!B258,1),19),".",""),"-","")),1)+8,8)),VALUE(LEFT(SUBSTITUTE(SUBSTITUTE(Общий!B258,".",""),"-",""),8))),"0"),IFERROR(VALUE(MID(TRIM(SUBSTITUTE(SUBSTITUTE(MID(Общий!B258,SEARCH("Karcher",Общий!B258,1),19),".",""),"-","")),SEARCH("Karcher",TRIM(SUBSTITUTE(SUBSTITUTE(MID(Общий!B258,SEARCH("Karcher",Общий!B258,1),19),".",""),"-","")),1)+8,8)),VALUE(LEFT(SUBSTITUTE(SUBSTITUTE(Общий!B258,".",""),"-",""),8))))),0)</f>
        <v>0</v>
      </c>
      <c r="B258" s="25">
        <f>IFERROR(CONCATENATE(VALUE(IF(LEN(IFERROR(VALUE(MID(TRIM(SUBSTITUTE(SUBSTITUTE(MID(Общий!B258,SEARCH("Karcher",Общий!B258,1),19),".",""),"-","")),SEARCH("Karcher",TRIM(SUBSTITUTE(SUBSTITUTE(MID(Общий!B258,SEARCH("Karcher",Общий!B258,1),19),".",""),"-","")),1)+8,8)),VALUE(LEFT(SUBSTITUTE(SUBSTITUTE(Общий!B258,".",""),"-",""),8))))=7,CONCATENATE(IFERROR(VALUE(MID(TRIM(SUBSTITUTE(SUBSTITUTE(MID(Общий!B258,SEARCH("Karcher",Общий!B258,1),19),".",""),"-","")),SEARCH("Karcher",TRIM(SUBSTITUTE(SUBSTITUTE(MID(Общий!B258,SEARCH("Karcher",Общий!B258,1),19),".",""),"-","")),1)+8,8)),VALUE(LEFT(SUBSTITUTE(SUBSTITUTE(Общий!B258,".",""),"-",""),8))),"0"),IFERROR(VALUE(MID(TRIM(SUBSTITUTE(SUBSTITUTE(MID(Общий!B258,SEARCH("Karcher",Общий!B258,1),19),".",""),"-","")),SEARCH("Karcher",TRIM(SUBSTITUTE(SUBSTITUTE(MID(Общий!B258,SEARCH("Karcher",Общий!B258,1),19),".",""),"-","")),1)+8,8)),VALUE(LEFT(SUBSTITUTE(SUBSTITUTE(Общий!B258,".",""),"-",""),8)))))," ",Общий!C258),0)</f>
        <v>0</v>
      </c>
      <c r="C258" s="29" t="str">
        <f>Общий!A258</f>
        <v>250</v>
      </c>
      <c r="D258" s="27">
        <f>Общий!B258</f>
        <v>0</v>
      </c>
      <c r="E258" s="28">
        <f>Общий!C258</f>
        <v>0</v>
      </c>
      <c r="F258" s="16"/>
      <c r="G258" s="44"/>
      <c r="H258" s="44"/>
      <c r="I258" s="44"/>
      <c r="J258" s="35"/>
      <c r="K258" s="16"/>
    </row>
    <row r="259" spans="1:11">
      <c r="A259" s="31">
        <f>IFERROR(VALUE(IF(LEN(IFERROR(VALUE(MID(TRIM(SUBSTITUTE(SUBSTITUTE(MID(Общий!B259,SEARCH("Karcher",Общий!B259,1),19),".",""),"-","")),SEARCH("Karcher",TRIM(SUBSTITUTE(SUBSTITUTE(MID(Общий!B259,SEARCH("Karcher",Общий!B259,1),19),".",""),"-","")),1)+8,8)),VALUE(LEFT(SUBSTITUTE(SUBSTITUTE(Общий!B259,".",""),"-",""),8))))=7,CONCATENATE(IFERROR(VALUE(MID(TRIM(SUBSTITUTE(SUBSTITUTE(MID(Общий!B259,SEARCH("Karcher",Общий!B259,1),19),".",""),"-","")),SEARCH("Karcher",TRIM(SUBSTITUTE(SUBSTITUTE(MID(Общий!B259,SEARCH("Karcher",Общий!B259,1),19),".",""),"-","")),1)+8,8)),VALUE(LEFT(SUBSTITUTE(SUBSTITUTE(Общий!B259,".",""),"-",""),8))),"0"),IFERROR(VALUE(MID(TRIM(SUBSTITUTE(SUBSTITUTE(MID(Общий!B259,SEARCH("Karcher",Общий!B259,1),19),".",""),"-","")),SEARCH("Karcher",TRIM(SUBSTITUTE(SUBSTITUTE(MID(Общий!B259,SEARCH("Karcher",Общий!B259,1),19),".",""),"-","")),1)+8,8)),VALUE(LEFT(SUBSTITUTE(SUBSTITUTE(Общий!B259,".",""),"-",""),8))))),0)</f>
        <v>0</v>
      </c>
      <c r="B259" s="25">
        <f>IFERROR(CONCATENATE(VALUE(IF(LEN(IFERROR(VALUE(MID(TRIM(SUBSTITUTE(SUBSTITUTE(MID(Общий!B259,SEARCH("Karcher",Общий!B259,1),19),".",""),"-","")),SEARCH("Karcher",TRIM(SUBSTITUTE(SUBSTITUTE(MID(Общий!B259,SEARCH("Karcher",Общий!B259,1),19),".",""),"-","")),1)+8,8)),VALUE(LEFT(SUBSTITUTE(SUBSTITUTE(Общий!B259,".",""),"-",""),8))))=7,CONCATENATE(IFERROR(VALUE(MID(TRIM(SUBSTITUTE(SUBSTITUTE(MID(Общий!B259,SEARCH("Karcher",Общий!B259,1),19),".",""),"-","")),SEARCH("Karcher",TRIM(SUBSTITUTE(SUBSTITUTE(MID(Общий!B259,SEARCH("Karcher",Общий!B259,1),19),".",""),"-","")),1)+8,8)),VALUE(LEFT(SUBSTITUTE(SUBSTITUTE(Общий!B259,".",""),"-",""),8))),"0"),IFERROR(VALUE(MID(TRIM(SUBSTITUTE(SUBSTITUTE(MID(Общий!B259,SEARCH("Karcher",Общий!B259,1),19),".",""),"-","")),SEARCH("Karcher",TRIM(SUBSTITUTE(SUBSTITUTE(MID(Общий!B259,SEARCH("Karcher",Общий!B259,1),19),".",""),"-","")),1)+8,8)),VALUE(LEFT(SUBSTITUTE(SUBSTITUTE(Общий!B259,".",""),"-",""),8)))))," ",Общий!C259),0)</f>
        <v>0</v>
      </c>
      <c r="C259" s="29" t="str">
        <f>Общий!A259</f>
        <v>251</v>
      </c>
      <c r="D259" s="27">
        <f>Общий!B259</f>
        <v>0</v>
      </c>
      <c r="E259" s="28">
        <f>Общий!C259</f>
        <v>0</v>
      </c>
      <c r="F259" s="16"/>
      <c r="G259" s="44"/>
      <c r="H259" s="44"/>
      <c r="I259" s="44"/>
      <c r="J259" s="35"/>
      <c r="K259" s="16"/>
    </row>
    <row r="260" spans="1:11">
      <c r="A260" s="31">
        <f>IFERROR(VALUE(IF(LEN(IFERROR(VALUE(MID(TRIM(SUBSTITUTE(SUBSTITUTE(MID(Общий!B260,SEARCH("Karcher",Общий!B260,1),19),".",""),"-","")),SEARCH("Karcher",TRIM(SUBSTITUTE(SUBSTITUTE(MID(Общий!B260,SEARCH("Karcher",Общий!B260,1),19),".",""),"-","")),1)+8,8)),VALUE(LEFT(SUBSTITUTE(SUBSTITUTE(Общий!B260,".",""),"-",""),8))))=7,CONCATENATE(IFERROR(VALUE(MID(TRIM(SUBSTITUTE(SUBSTITUTE(MID(Общий!B260,SEARCH("Karcher",Общий!B260,1),19),".",""),"-","")),SEARCH("Karcher",TRIM(SUBSTITUTE(SUBSTITUTE(MID(Общий!B260,SEARCH("Karcher",Общий!B260,1),19),".",""),"-","")),1)+8,8)),VALUE(LEFT(SUBSTITUTE(SUBSTITUTE(Общий!B260,".",""),"-",""),8))),"0"),IFERROR(VALUE(MID(TRIM(SUBSTITUTE(SUBSTITUTE(MID(Общий!B260,SEARCH("Karcher",Общий!B260,1),19),".",""),"-","")),SEARCH("Karcher",TRIM(SUBSTITUTE(SUBSTITUTE(MID(Общий!B260,SEARCH("Karcher",Общий!B260,1),19),".",""),"-","")),1)+8,8)),VALUE(LEFT(SUBSTITUTE(SUBSTITUTE(Общий!B260,".",""),"-",""),8))))),0)</f>
        <v>0</v>
      </c>
      <c r="B260" s="25">
        <f>IFERROR(CONCATENATE(VALUE(IF(LEN(IFERROR(VALUE(MID(TRIM(SUBSTITUTE(SUBSTITUTE(MID(Общий!B260,SEARCH("Karcher",Общий!B260,1),19),".",""),"-","")),SEARCH("Karcher",TRIM(SUBSTITUTE(SUBSTITUTE(MID(Общий!B260,SEARCH("Karcher",Общий!B260,1),19),".",""),"-","")),1)+8,8)),VALUE(LEFT(SUBSTITUTE(SUBSTITUTE(Общий!B260,".",""),"-",""),8))))=7,CONCATENATE(IFERROR(VALUE(MID(TRIM(SUBSTITUTE(SUBSTITUTE(MID(Общий!B260,SEARCH("Karcher",Общий!B260,1),19),".",""),"-","")),SEARCH("Karcher",TRIM(SUBSTITUTE(SUBSTITUTE(MID(Общий!B260,SEARCH("Karcher",Общий!B260,1),19),".",""),"-","")),1)+8,8)),VALUE(LEFT(SUBSTITUTE(SUBSTITUTE(Общий!B260,".",""),"-",""),8))),"0"),IFERROR(VALUE(MID(TRIM(SUBSTITUTE(SUBSTITUTE(MID(Общий!B260,SEARCH("Karcher",Общий!B260,1),19),".",""),"-","")),SEARCH("Karcher",TRIM(SUBSTITUTE(SUBSTITUTE(MID(Общий!B260,SEARCH("Karcher",Общий!B260,1),19),".",""),"-","")),1)+8,8)),VALUE(LEFT(SUBSTITUTE(SUBSTITUTE(Общий!B260,".",""),"-",""),8)))))," ",Общий!C260),0)</f>
        <v>0</v>
      </c>
      <c r="C260" s="29" t="str">
        <f>Общий!A260</f>
        <v>252</v>
      </c>
      <c r="D260" s="27">
        <f>Общий!B260</f>
        <v>0</v>
      </c>
      <c r="E260" s="28">
        <f>Общий!C260</f>
        <v>0</v>
      </c>
      <c r="F260" s="16"/>
      <c r="G260" s="44"/>
      <c r="H260" s="44"/>
      <c r="I260" s="44"/>
      <c r="J260" s="35"/>
      <c r="K260" s="16"/>
    </row>
    <row r="261" spans="1:11">
      <c r="A261" s="31">
        <f>IFERROR(VALUE(IF(LEN(IFERROR(VALUE(MID(TRIM(SUBSTITUTE(SUBSTITUTE(MID(Общий!B261,SEARCH("Karcher",Общий!B261,1),19),".",""),"-","")),SEARCH("Karcher",TRIM(SUBSTITUTE(SUBSTITUTE(MID(Общий!B261,SEARCH("Karcher",Общий!B261,1),19),".",""),"-","")),1)+8,8)),VALUE(LEFT(SUBSTITUTE(SUBSTITUTE(Общий!B261,".",""),"-",""),8))))=7,CONCATENATE(IFERROR(VALUE(MID(TRIM(SUBSTITUTE(SUBSTITUTE(MID(Общий!B261,SEARCH("Karcher",Общий!B261,1),19),".",""),"-","")),SEARCH("Karcher",TRIM(SUBSTITUTE(SUBSTITUTE(MID(Общий!B261,SEARCH("Karcher",Общий!B261,1),19),".",""),"-","")),1)+8,8)),VALUE(LEFT(SUBSTITUTE(SUBSTITUTE(Общий!B261,".",""),"-",""),8))),"0"),IFERROR(VALUE(MID(TRIM(SUBSTITUTE(SUBSTITUTE(MID(Общий!B261,SEARCH("Karcher",Общий!B261,1),19),".",""),"-","")),SEARCH("Karcher",TRIM(SUBSTITUTE(SUBSTITUTE(MID(Общий!B261,SEARCH("Karcher",Общий!B261,1),19),".",""),"-","")),1)+8,8)),VALUE(LEFT(SUBSTITUTE(SUBSTITUTE(Общий!B261,".",""),"-",""),8))))),0)</f>
        <v>0</v>
      </c>
      <c r="B261" s="25">
        <f>IFERROR(CONCATENATE(VALUE(IF(LEN(IFERROR(VALUE(MID(TRIM(SUBSTITUTE(SUBSTITUTE(MID(Общий!B261,SEARCH("Karcher",Общий!B261,1),19),".",""),"-","")),SEARCH("Karcher",TRIM(SUBSTITUTE(SUBSTITUTE(MID(Общий!B261,SEARCH("Karcher",Общий!B261,1),19),".",""),"-","")),1)+8,8)),VALUE(LEFT(SUBSTITUTE(SUBSTITUTE(Общий!B261,".",""),"-",""),8))))=7,CONCATENATE(IFERROR(VALUE(MID(TRIM(SUBSTITUTE(SUBSTITUTE(MID(Общий!B261,SEARCH("Karcher",Общий!B261,1),19),".",""),"-","")),SEARCH("Karcher",TRIM(SUBSTITUTE(SUBSTITUTE(MID(Общий!B261,SEARCH("Karcher",Общий!B261,1),19),".",""),"-","")),1)+8,8)),VALUE(LEFT(SUBSTITUTE(SUBSTITUTE(Общий!B261,".",""),"-",""),8))),"0"),IFERROR(VALUE(MID(TRIM(SUBSTITUTE(SUBSTITUTE(MID(Общий!B261,SEARCH("Karcher",Общий!B261,1),19),".",""),"-","")),SEARCH("Karcher",TRIM(SUBSTITUTE(SUBSTITUTE(MID(Общий!B261,SEARCH("Karcher",Общий!B261,1),19),".",""),"-","")),1)+8,8)),VALUE(LEFT(SUBSTITUTE(SUBSTITUTE(Общий!B261,".",""),"-",""),8)))))," ",Общий!C261),0)</f>
        <v>0</v>
      </c>
      <c r="C261" s="29" t="str">
        <f>Общий!A261</f>
        <v>253</v>
      </c>
      <c r="D261" s="27">
        <f>Общий!B261</f>
        <v>0</v>
      </c>
      <c r="E261" s="28">
        <f>Общий!C261</f>
        <v>0</v>
      </c>
      <c r="F261" s="16"/>
      <c r="G261" s="44"/>
      <c r="H261" s="44"/>
      <c r="I261" s="44"/>
      <c r="J261" s="35"/>
      <c r="K261" s="16"/>
    </row>
    <row r="262" spans="1:11">
      <c r="A262" s="31">
        <f>IFERROR(VALUE(IF(LEN(IFERROR(VALUE(MID(TRIM(SUBSTITUTE(SUBSTITUTE(MID(Общий!B262,SEARCH("Karcher",Общий!B262,1),19),".",""),"-","")),SEARCH("Karcher",TRIM(SUBSTITUTE(SUBSTITUTE(MID(Общий!B262,SEARCH("Karcher",Общий!B262,1),19),".",""),"-","")),1)+8,8)),VALUE(LEFT(SUBSTITUTE(SUBSTITUTE(Общий!B262,".",""),"-",""),8))))=7,CONCATENATE(IFERROR(VALUE(MID(TRIM(SUBSTITUTE(SUBSTITUTE(MID(Общий!B262,SEARCH("Karcher",Общий!B262,1),19),".",""),"-","")),SEARCH("Karcher",TRIM(SUBSTITUTE(SUBSTITUTE(MID(Общий!B262,SEARCH("Karcher",Общий!B262,1),19),".",""),"-","")),1)+8,8)),VALUE(LEFT(SUBSTITUTE(SUBSTITUTE(Общий!B262,".",""),"-",""),8))),"0"),IFERROR(VALUE(MID(TRIM(SUBSTITUTE(SUBSTITUTE(MID(Общий!B262,SEARCH("Karcher",Общий!B262,1),19),".",""),"-","")),SEARCH("Karcher",TRIM(SUBSTITUTE(SUBSTITUTE(MID(Общий!B262,SEARCH("Karcher",Общий!B262,1),19),".",""),"-","")),1)+8,8)),VALUE(LEFT(SUBSTITUTE(SUBSTITUTE(Общий!B262,".",""),"-",""),8))))),0)</f>
        <v>0</v>
      </c>
      <c r="B262" s="25">
        <f>IFERROR(CONCATENATE(VALUE(IF(LEN(IFERROR(VALUE(MID(TRIM(SUBSTITUTE(SUBSTITUTE(MID(Общий!B262,SEARCH("Karcher",Общий!B262,1),19),".",""),"-","")),SEARCH("Karcher",TRIM(SUBSTITUTE(SUBSTITUTE(MID(Общий!B262,SEARCH("Karcher",Общий!B262,1),19),".",""),"-","")),1)+8,8)),VALUE(LEFT(SUBSTITUTE(SUBSTITUTE(Общий!B262,".",""),"-",""),8))))=7,CONCATENATE(IFERROR(VALUE(MID(TRIM(SUBSTITUTE(SUBSTITUTE(MID(Общий!B262,SEARCH("Karcher",Общий!B262,1),19),".",""),"-","")),SEARCH("Karcher",TRIM(SUBSTITUTE(SUBSTITUTE(MID(Общий!B262,SEARCH("Karcher",Общий!B262,1),19),".",""),"-","")),1)+8,8)),VALUE(LEFT(SUBSTITUTE(SUBSTITUTE(Общий!B262,".",""),"-",""),8))),"0"),IFERROR(VALUE(MID(TRIM(SUBSTITUTE(SUBSTITUTE(MID(Общий!B262,SEARCH("Karcher",Общий!B262,1),19),".",""),"-","")),SEARCH("Karcher",TRIM(SUBSTITUTE(SUBSTITUTE(MID(Общий!B262,SEARCH("Karcher",Общий!B262,1),19),".",""),"-","")),1)+8,8)),VALUE(LEFT(SUBSTITUTE(SUBSTITUTE(Общий!B262,".",""),"-",""),8)))))," ",Общий!C262),0)</f>
        <v>0</v>
      </c>
      <c r="C262" s="29" t="str">
        <f>Общий!A262</f>
        <v>254</v>
      </c>
      <c r="D262" s="27">
        <f>Общий!B262</f>
        <v>0</v>
      </c>
      <c r="E262" s="28">
        <f>Общий!C262</f>
        <v>0</v>
      </c>
      <c r="F262" s="16"/>
      <c r="G262" s="44"/>
      <c r="H262" s="44"/>
      <c r="I262" s="44"/>
      <c r="J262" s="35"/>
      <c r="K262" s="16"/>
    </row>
    <row r="263" spans="1:11">
      <c r="A263" s="31">
        <f>IFERROR(VALUE(IF(LEN(IFERROR(VALUE(MID(TRIM(SUBSTITUTE(SUBSTITUTE(MID(Общий!B263,SEARCH("Karcher",Общий!B263,1),19),".",""),"-","")),SEARCH("Karcher",TRIM(SUBSTITUTE(SUBSTITUTE(MID(Общий!B263,SEARCH("Karcher",Общий!B263,1),19),".",""),"-","")),1)+8,8)),VALUE(LEFT(SUBSTITUTE(SUBSTITUTE(Общий!B263,".",""),"-",""),8))))=7,CONCATENATE(IFERROR(VALUE(MID(TRIM(SUBSTITUTE(SUBSTITUTE(MID(Общий!B263,SEARCH("Karcher",Общий!B263,1),19),".",""),"-","")),SEARCH("Karcher",TRIM(SUBSTITUTE(SUBSTITUTE(MID(Общий!B263,SEARCH("Karcher",Общий!B263,1),19),".",""),"-","")),1)+8,8)),VALUE(LEFT(SUBSTITUTE(SUBSTITUTE(Общий!B263,".",""),"-",""),8))),"0"),IFERROR(VALUE(MID(TRIM(SUBSTITUTE(SUBSTITUTE(MID(Общий!B263,SEARCH("Karcher",Общий!B263,1),19),".",""),"-","")),SEARCH("Karcher",TRIM(SUBSTITUTE(SUBSTITUTE(MID(Общий!B263,SEARCH("Karcher",Общий!B263,1),19),".",""),"-","")),1)+8,8)),VALUE(LEFT(SUBSTITUTE(SUBSTITUTE(Общий!B263,".",""),"-",""),8))))),0)</f>
        <v>0</v>
      </c>
      <c r="B263" s="25">
        <f>IFERROR(CONCATENATE(VALUE(IF(LEN(IFERROR(VALUE(MID(TRIM(SUBSTITUTE(SUBSTITUTE(MID(Общий!B263,SEARCH("Karcher",Общий!B263,1),19),".",""),"-","")),SEARCH("Karcher",TRIM(SUBSTITUTE(SUBSTITUTE(MID(Общий!B263,SEARCH("Karcher",Общий!B263,1),19),".",""),"-","")),1)+8,8)),VALUE(LEFT(SUBSTITUTE(SUBSTITUTE(Общий!B263,".",""),"-",""),8))))=7,CONCATENATE(IFERROR(VALUE(MID(TRIM(SUBSTITUTE(SUBSTITUTE(MID(Общий!B263,SEARCH("Karcher",Общий!B263,1),19),".",""),"-","")),SEARCH("Karcher",TRIM(SUBSTITUTE(SUBSTITUTE(MID(Общий!B263,SEARCH("Karcher",Общий!B263,1),19),".",""),"-","")),1)+8,8)),VALUE(LEFT(SUBSTITUTE(SUBSTITUTE(Общий!B263,".",""),"-",""),8))),"0"),IFERROR(VALUE(MID(TRIM(SUBSTITUTE(SUBSTITUTE(MID(Общий!B263,SEARCH("Karcher",Общий!B263,1),19),".",""),"-","")),SEARCH("Karcher",TRIM(SUBSTITUTE(SUBSTITUTE(MID(Общий!B263,SEARCH("Karcher",Общий!B263,1),19),".",""),"-","")),1)+8,8)),VALUE(LEFT(SUBSTITUTE(SUBSTITUTE(Общий!B263,".",""),"-",""),8)))))," ",Общий!C263),0)</f>
        <v>0</v>
      </c>
      <c r="C263" s="29" t="str">
        <f>Общий!A263</f>
        <v>255</v>
      </c>
      <c r="D263" s="27">
        <f>Общий!B263</f>
        <v>0</v>
      </c>
      <c r="E263" s="28">
        <f>Общий!C263</f>
        <v>0</v>
      </c>
      <c r="F263" s="16"/>
      <c r="G263" s="44"/>
      <c r="H263" s="44"/>
      <c r="I263" s="44"/>
      <c r="J263" s="35"/>
      <c r="K263" s="16"/>
    </row>
    <row r="264" spans="1:11">
      <c r="A264" s="31">
        <f>IFERROR(VALUE(IF(LEN(IFERROR(VALUE(MID(TRIM(SUBSTITUTE(SUBSTITUTE(MID(Общий!B264,SEARCH("Karcher",Общий!B264,1),19),".",""),"-","")),SEARCH("Karcher",TRIM(SUBSTITUTE(SUBSTITUTE(MID(Общий!B264,SEARCH("Karcher",Общий!B264,1),19),".",""),"-","")),1)+8,8)),VALUE(LEFT(SUBSTITUTE(SUBSTITUTE(Общий!B264,".",""),"-",""),8))))=7,CONCATENATE(IFERROR(VALUE(MID(TRIM(SUBSTITUTE(SUBSTITUTE(MID(Общий!B264,SEARCH("Karcher",Общий!B264,1),19),".",""),"-","")),SEARCH("Karcher",TRIM(SUBSTITUTE(SUBSTITUTE(MID(Общий!B264,SEARCH("Karcher",Общий!B264,1),19),".",""),"-","")),1)+8,8)),VALUE(LEFT(SUBSTITUTE(SUBSTITUTE(Общий!B264,".",""),"-",""),8))),"0"),IFERROR(VALUE(MID(TRIM(SUBSTITUTE(SUBSTITUTE(MID(Общий!B264,SEARCH("Karcher",Общий!B264,1),19),".",""),"-","")),SEARCH("Karcher",TRIM(SUBSTITUTE(SUBSTITUTE(MID(Общий!B264,SEARCH("Karcher",Общий!B264,1),19),".",""),"-","")),1)+8,8)),VALUE(LEFT(SUBSTITUTE(SUBSTITUTE(Общий!B264,".",""),"-",""),8))))),0)</f>
        <v>0</v>
      </c>
      <c r="B264" s="25">
        <f>IFERROR(CONCATENATE(VALUE(IF(LEN(IFERROR(VALUE(MID(TRIM(SUBSTITUTE(SUBSTITUTE(MID(Общий!B264,SEARCH("Karcher",Общий!B264,1),19),".",""),"-","")),SEARCH("Karcher",TRIM(SUBSTITUTE(SUBSTITUTE(MID(Общий!B264,SEARCH("Karcher",Общий!B264,1),19),".",""),"-","")),1)+8,8)),VALUE(LEFT(SUBSTITUTE(SUBSTITUTE(Общий!B264,".",""),"-",""),8))))=7,CONCATENATE(IFERROR(VALUE(MID(TRIM(SUBSTITUTE(SUBSTITUTE(MID(Общий!B264,SEARCH("Karcher",Общий!B264,1),19),".",""),"-","")),SEARCH("Karcher",TRIM(SUBSTITUTE(SUBSTITUTE(MID(Общий!B264,SEARCH("Karcher",Общий!B264,1),19),".",""),"-","")),1)+8,8)),VALUE(LEFT(SUBSTITUTE(SUBSTITUTE(Общий!B264,".",""),"-",""),8))),"0"),IFERROR(VALUE(MID(TRIM(SUBSTITUTE(SUBSTITUTE(MID(Общий!B264,SEARCH("Karcher",Общий!B264,1),19),".",""),"-","")),SEARCH("Karcher",TRIM(SUBSTITUTE(SUBSTITUTE(MID(Общий!B264,SEARCH("Karcher",Общий!B264,1),19),".",""),"-","")),1)+8,8)),VALUE(LEFT(SUBSTITUTE(SUBSTITUTE(Общий!B264,".",""),"-",""),8)))))," ",Общий!C264),0)</f>
        <v>0</v>
      </c>
      <c r="C264" s="29" t="str">
        <f>Общий!A264</f>
        <v>256</v>
      </c>
      <c r="D264" s="27">
        <f>Общий!B264</f>
        <v>0</v>
      </c>
      <c r="E264" s="28">
        <f>Общий!C264</f>
        <v>0</v>
      </c>
      <c r="F264" s="16"/>
      <c r="G264" s="44"/>
      <c r="H264" s="44"/>
      <c r="I264" s="44"/>
      <c r="J264" s="35"/>
      <c r="K264" s="16"/>
    </row>
    <row r="265" spans="1:11">
      <c r="A265" s="31">
        <f>IFERROR(VALUE(IF(LEN(IFERROR(VALUE(MID(TRIM(SUBSTITUTE(SUBSTITUTE(MID(Общий!B265,SEARCH("Karcher",Общий!B265,1),19),".",""),"-","")),SEARCH("Karcher",TRIM(SUBSTITUTE(SUBSTITUTE(MID(Общий!B265,SEARCH("Karcher",Общий!B265,1),19),".",""),"-","")),1)+8,8)),VALUE(LEFT(SUBSTITUTE(SUBSTITUTE(Общий!B265,".",""),"-",""),8))))=7,CONCATENATE(IFERROR(VALUE(MID(TRIM(SUBSTITUTE(SUBSTITUTE(MID(Общий!B265,SEARCH("Karcher",Общий!B265,1),19),".",""),"-","")),SEARCH("Karcher",TRIM(SUBSTITUTE(SUBSTITUTE(MID(Общий!B265,SEARCH("Karcher",Общий!B265,1),19),".",""),"-","")),1)+8,8)),VALUE(LEFT(SUBSTITUTE(SUBSTITUTE(Общий!B265,".",""),"-",""),8))),"0"),IFERROR(VALUE(MID(TRIM(SUBSTITUTE(SUBSTITUTE(MID(Общий!B265,SEARCH("Karcher",Общий!B265,1),19),".",""),"-","")),SEARCH("Karcher",TRIM(SUBSTITUTE(SUBSTITUTE(MID(Общий!B265,SEARCH("Karcher",Общий!B265,1),19),".",""),"-","")),1)+8,8)),VALUE(LEFT(SUBSTITUTE(SUBSTITUTE(Общий!B265,".",""),"-",""),8))))),0)</f>
        <v>0</v>
      </c>
      <c r="B265" s="25">
        <f>IFERROR(CONCATENATE(VALUE(IF(LEN(IFERROR(VALUE(MID(TRIM(SUBSTITUTE(SUBSTITUTE(MID(Общий!B265,SEARCH("Karcher",Общий!B265,1),19),".",""),"-","")),SEARCH("Karcher",TRIM(SUBSTITUTE(SUBSTITUTE(MID(Общий!B265,SEARCH("Karcher",Общий!B265,1),19),".",""),"-","")),1)+8,8)),VALUE(LEFT(SUBSTITUTE(SUBSTITUTE(Общий!B265,".",""),"-",""),8))))=7,CONCATENATE(IFERROR(VALUE(MID(TRIM(SUBSTITUTE(SUBSTITUTE(MID(Общий!B265,SEARCH("Karcher",Общий!B265,1),19),".",""),"-","")),SEARCH("Karcher",TRIM(SUBSTITUTE(SUBSTITUTE(MID(Общий!B265,SEARCH("Karcher",Общий!B265,1),19),".",""),"-","")),1)+8,8)),VALUE(LEFT(SUBSTITUTE(SUBSTITUTE(Общий!B265,".",""),"-",""),8))),"0"),IFERROR(VALUE(MID(TRIM(SUBSTITUTE(SUBSTITUTE(MID(Общий!B265,SEARCH("Karcher",Общий!B265,1),19),".",""),"-","")),SEARCH("Karcher",TRIM(SUBSTITUTE(SUBSTITUTE(MID(Общий!B265,SEARCH("Karcher",Общий!B265,1),19),".",""),"-","")),1)+8,8)),VALUE(LEFT(SUBSTITUTE(SUBSTITUTE(Общий!B265,".",""),"-",""),8)))))," ",Общий!C265),0)</f>
        <v>0</v>
      </c>
      <c r="C265" s="29" t="str">
        <f>Общий!A265</f>
        <v>257</v>
      </c>
      <c r="D265" s="27">
        <f>Общий!B265</f>
        <v>0</v>
      </c>
      <c r="E265" s="28">
        <f>Общий!C265</f>
        <v>0</v>
      </c>
      <c r="F265" s="16"/>
      <c r="G265" s="44"/>
      <c r="H265" s="44"/>
      <c r="I265" s="44"/>
      <c r="J265" s="35"/>
      <c r="K265" s="16"/>
    </row>
    <row r="266" spans="1:11">
      <c r="A266" s="31">
        <f>IFERROR(VALUE(IF(LEN(IFERROR(VALUE(MID(TRIM(SUBSTITUTE(SUBSTITUTE(MID(Общий!B266,SEARCH("Karcher",Общий!B266,1),19),".",""),"-","")),SEARCH("Karcher",TRIM(SUBSTITUTE(SUBSTITUTE(MID(Общий!B266,SEARCH("Karcher",Общий!B266,1),19),".",""),"-","")),1)+8,8)),VALUE(LEFT(SUBSTITUTE(SUBSTITUTE(Общий!B266,".",""),"-",""),8))))=7,CONCATENATE(IFERROR(VALUE(MID(TRIM(SUBSTITUTE(SUBSTITUTE(MID(Общий!B266,SEARCH("Karcher",Общий!B266,1),19),".",""),"-","")),SEARCH("Karcher",TRIM(SUBSTITUTE(SUBSTITUTE(MID(Общий!B266,SEARCH("Karcher",Общий!B266,1),19),".",""),"-","")),1)+8,8)),VALUE(LEFT(SUBSTITUTE(SUBSTITUTE(Общий!B266,".",""),"-",""),8))),"0"),IFERROR(VALUE(MID(TRIM(SUBSTITUTE(SUBSTITUTE(MID(Общий!B266,SEARCH("Karcher",Общий!B266,1),19),".",""),"-","")),SEARCH("Karcher",TRIM(SUBSTITUTE(SUBSTITUTE(MID(Общий!B266,SEARCH("Karcher",Общий!B266,1),19),".",""),"-","")),1)+8,8)),VALUE(LEFT(SUBSTITUTE(SUBSTITUTE(Общий!B266,".",""),"-",""),8))))),0)</f>
        <v>0</v>
      </c>
      <c r="B266" s="25">
        <f>IFERROR(CONCATENATE(VALUE(IF(LEN(IFERROR(VALUE(MID(TRIM(SUBSTITUTE(SUBSTITUTE(MID(Общий!B266,SEARCH("Karcher",Общий!B266,1),19),".",""),"-","")),SEARCH("Karcher",TRIM(SUBSTITUTE(SUBSTITUTE(MID(Общий!B266,SEARCH("Karcher",Общий!B266,1),19),".",""),"-","")),1)+8,8)),VALUE(LEFT(SUBSTITUTE(SUBSTITUTE(Общий!B266,".",""),"-",""),8))))=7,CONCATENATE(IFERROR(VALUE(MID(TRIM(SUBSTITUTE(SUBSTITUTE(MID(Общий!B266,SEARCH("Karcher",Общий!B266,1),19),".",""),"-","")),SEARCH("Karcher",TRIM(SUBSTITUTE(SUBSTITUTE(MID(Общий!B266,SEARCH("Karcher",Общий!B266,1),19),".",""),"-","")),1)+8,8)),VALUE(LEFT(SUBSTITUTE(SUBSTITUTE(Общий!B266,".",""),"-",""),8))),"0"),IFERROR(VALUE(MID(TRIM(SUBSTITUTE(SUBSTITUTE(MID(Общий!B266,SEARCH("Karcher",Общий!B266,1),19),".",""),"-","")),SEARCH("Karcher",TRIM(SUBSTITUTE(SUBSTITUTE(MID(Общий!B266,SEARCH("Karcher",Общий!B266,1),19),".",""),"-","")),1)+8,8)),VALUE(LEFT(SUBSTITUTE(SUBSTITUTE(Общий!B266,".",""),"-",""),8)))))," ",Общий!C266),0)</f>
        <v>0</v>
      </c>
      <c r="C266" s="29" t="str">
        <f>Общий!A266</f>
        <v>258</v>
      </c>
      <c r="D266" s="27">
        <f>Общий!B266</f>
        <v>0</v>
      </c>
      <c r="E266" s="28">
        <f>Общий!C266</f>
        <v>0</v>
      </c>
      <c r="F266" s="16"/>
      <c r="G266" s="44"/>
      <c r="H266" s="44"/>
      <c r="I266" s="44"/>
      <c r="J266" s="35"/>
      <c r="K266" s="16"/>
    </row>
    <row r="267" spans="1:11">
      <c r="A267" s="31">
        <f>IFERROR(VALUE(IF(LEN(IFERROR(VALUE(MID(TRIM(SUBSTITUTE(SUBSTITUTE(MID(Общий!B267,SEARCH("Karcher",Общий!B267,1),19),".",""),"-","")),SEARCH("Karcher",TRIM(SUBSTITUTE(SUBSTITUTE(MID(Общий!B267,SEARCH("Karcher",Общий!B267,1),19),".",""),"-","")),1)+8,8)),VALUE(LEFT(SUBSTITUTE(SUBSTITUTE(Общий!B267,".",""),"-",""),8))))=7,CONCATENATE(IFERROR(VALUE(MID(TRIM(SUBSTITUTE(SUBSTITUTE(MID(Общий!B267,SEARCH("Karcher",Общий!B267,1),19),".",""),"-","")),SEARCH("Karcher",TRIM(SUBSTITUTE(SUBSTITUTE(MID(Общий!B267,SEARCH("Karcher",Общий!B267,1),19),".",""),"-","")),1)+8,8)),VALUE(LEFT(SUBSTITUTE(SUBSTITUTE(Общий!B267,".",""),"-",""),8))),"0"),IFERROR(VALUE(MID(TRIM(SUBSTITUTE(SUBSTITUTE(MID(Общий!B267,SEARCH("Karcher",Общий!B267,1),19),".",""),"-","")),SEARCH("Karcher",TRIM(SUBSTITUTE(SUBSTITUTE(MID(Общий!B267,SEARCH("Karcher",Общий!B267,1),19),".",""),"-","")),1)+8,8)),VALUE(LEFT(SUBSTITUTE(SUBSTITUTE(Общий!B267,".",""),"-",""),8))))),0)</f>
        <v>0</v>
      </c>
      <c r="B267" s="25">
        <f>IFERROR(CONCATENATE(VALUE(IF(LEN(IFERROR(VALUE(MID(TRIM(SUBSTITUTE(SUBSTITUTE(MID(Общий!B267,SEARCH("Karcher",Общий!B267,1),19),".",""),"-","")),SEARCH("Karcher",TRIM(SUBSTITUTE(SUBSTITUTE(MID(Общий!B267,SEARCH("Karcher",Общий!B267,1),19),".",""),"-","")),1)+8,8)),VALUE(LEFT(SUBSTITUTE(SUBSTITUTE(Общий!B267,".",""),"-",""),8))))=7,CONCATENATE(IFERROR(VALUE(MID(TRIM(SUBSTITUTE(SUBSTITUTE(MID(Общий!B267,SEARCH("Karcher",Общий!B267,1),19),".",""),"-","")),SEARCH("Karcher",TRIM(SUBSTITUTE(SUBSTITUTE(MID(Общий!B267,SEARCH("Karcher",Общий!B267,1),19),".",""),"-","")),1)+8,8)),VALUE(LEFT(SUBSTITUTE(SUBSTITUTE(Общий!B267,".",""),"-",""),8))),"0"),IFERROR(VALUE(MID(TRIM(SUBSTITUTE(SUBSTITUTE(MID(Общий!B267,SEARCH("Karcher",Общий!B267,1),19),".",""),"-","")),SEARCH("Karcher",TRIM(SUBSTITUTE(SUBSTITUTE(MID(Общий!B267,SEARCH("Karcher",Общий!B267,1),19),".",""),"-","")),1)+8,8)),VALUE(LEFT(SUBSTITUTE(SUBSTITUTE(Общий!B267,".",""),"-",""),8)))))," ",Общий!C267),0)</f>
        <v>0</v>
      </c>
      <c r="C267" s="29" t="str">
        <f>Общий!A267</f>
        <v>259</v>
      </c>
      <c r="D267" s="27">
        <f>Общий!B267</f>
        <v>0</v>
      </c>
      <c r="E267" s="28">
        <f>Общий!C267</f>
        <v>0</v>
      </c>
      <c r="F267" s="16"/>
      <c r="G267" s="44"/>
      <c r="H267" s="44"/>
      <c r="I267" s="44"/>
      <c r="J267" s="35"/>
      <c r="K267" s="16"/>
    </row>
    <row r="268" spans="1:11">
      <c r="A268" s="31">
        <f>IFERROR(VALUE(IF(LEN(IFERROR(VALUE(MID(TRIM(SUBSTITUTE(SUBSTITUTE(MID(Общий!B268,SEARCH("Karcher",Общий!B268,1),19),".",""),"-","")),SEARCH("Karcher",TRIM(SUBSTITUTE(SUBSTITUTE(MID(Общий!B268,SEARCH("Karcher",Общий!B268,1),19),".",""),"-","")),1)+8,8)),VALUE(LEFT(SUBSTITUTE(SUBSTITUTE(Общий!B268,".",""),"-",""),8))))=7,CONCATENATE(IFERROR(VALUE(MID(TRIM(SUBSTITUTE(SUBSTITUTE(MID(Общий!B268,SEARCH("Karcher",Общий!B268,1),19),".",""),"-","")),SEARCH("Karcher",TRIM(SUBSTITUTE(SUBSTITUTE(MID(Общий!B268,SEARCH("Karcher",Общий!B268,1),19),".",""),"-","")),1)+8,8)),VALUE(LEFT(SUBSTITUTE(SUBSTITUTE(Общий!B268,".",""),"-",""),8))),"0"),IFERROR(VALUE(MID(TRIM(SUBSTITUTE(SUBSTITUTE(MID(Общий!B268,SEARCH("Karcher",Общий!B268,1),19),".",""),"-","")),SEARCH("Karcher",TRIM(SUBSTITUTE(SUBSTITUTE(MID(Общий!B268,SEARCH("Karcher",Общий!B268,1),19),".",""),"-","")),1)+8,8)),VALUE(LEFT(SUBSTITUTE(SUBSTITUTE(Общий!B268,".",""),"-",""),8))))),0)</f>
        <v>0</v>
      </c>
      <c r="B268" s="25">
        <f>IFERROR(CONCATENATE(VALUE(IF(LEN(IFERROR(VALUE(MID(TRIM(SUBSTITUTE(SUBSTITUTE(MID(Общий!B268,SEARCH("Karcher",Общий!B268,1),19),".",""),"-","")),SEARCH("Karcher",TRIM(SUBSTITUTE(SUBSTITUTE(MID(Общий!B268,SEARCH("Karcher",Общий!B268,1),19),".",""),"-","")),1)+8,8)),VALUE(LEFT(SUBSTITUTE(SUBSTITUTE(Общий!B268,".",""),"-",""),8))))=7,CONCATENATE(IFERROR(VALUE(MID(TRIM(SUBSTITUTE(SUBSTITUTE(MID(Общий!B268,SEARCH("Karcher",Общий!B268,1),19),".",""),"-","")),SEARCH("Karcher",TRIM(SUBSTITUTE(SUBSTITUTE(MID(Общий!B268,SEARCH("Karcher",Общий!B268,1),19),".",""),"-","")),1)+8,8)),VALUE(LEFT(SUBSTITUTE(SUBSTITUTE(Общий!B268,".",""),"-",""),8))),"0"),IFERROR(VALUE(MID(TRIM(SUBSTITUTE(SUBSTITUTE(MID(Общий!B268,SEARCH("Karcher",Общий!B268,1),19),".",""),"-","")),SEARCH("Karcher",TRIM(SUBSTITUTE(SUBSTITUTE(MID(Общий!B268,SEARCH("Karcher",Общий!B268,1),19),".",""),"-","")),1)+8,8)),VALUE(LEFT(SUBSTITUTE(SUBSTITUTE(Общий!B268,".",""),"-",""),8)))))," ",Общий!C268),0)</f>
        <v>0</v>
      </c>
      <c r="C268" s="29" t="str">
        <f>Общий!A268</f>
        <v>260</v>
      </c>
      <c r="D268" s="27">
        <f>Общий!B268</f>
        <v>0</v>
      </c>
      <c r="E268" s="28">
        <f>Общий!C268</f>
        <v>0</v>
      </c>
      <c r="F268" s="16"/>
      <c r="G268" s="44"/>
      <c r="H268" s="44"/>
      <c r="I268" s="44"/>
      <c r="J268" s="35"/>
      <c r="K268" s="16"/>
    </row>
    <row r="269" spans="1:11">
      <c r="A269" s="31">
        <f>IFERROR(VALUE(IF(LEN(IFERROR(VALUE(MID(TRIM(SUBSTITUTE(SUBSTITUTE(MID(Общий!B269,SEARCH("Karcher",Общий!B269,1),19),".",""),"-","")),SEARCH("Karcher",TRIM(SUBSTITUTE(SUBSTITUTE(MID(Общий!B269,SEARCH("Karcher",Общий!B269,1),19),".",""),"-","")),1)+8,8)),VALUE(LEFT(SUBSTITUTE(SUBSTITUTE(Общий!B269,".",""),"-",""),8))))=7,CONCATENATE(IFERROR(VALUE(MID(TRIM(SUBSTITUTE(SUBSTITUTE(MID(Общий!B269,SEARCH("Karcher",Общий!B269,1),19),".",""),"-","")),SEARCH("Karcher",TRIM(SUBSTITUTE(SUBSTITUTE(MID(Общий!B269,SEARCH("Karcher",Общий!B269,1),19),".",""),"-","")),1)+8,8)),VALUE(LEFT(SUBSTITUTE(SUBSTITUTE(Общий!B269,".",""),"-",""),8))),"0"),IFERROR(VALUE(MID(TRIM(SUBSTITUTE(SUBSTITUTE(MID(Общий!B269,SEARCH("Karcher",Общий!B269,1),19),".",""),"-","")),SEARCH("Karcher",TRIM(SUBSTITUTE(SUBSTITUTE(MID(Общий!B269,SEARCH("Karcher",Общий!B269,1),19),".",""),"-","")),1)+8,8)),VALUE(LEFT(SUBSTITUTE(SUBSTITUTE(Общий!B269,".",""),"-",""),8))))),0)</f>
        <v>0</v>
      </c>
      <c r="B269" s="25">
        <f>IFERROR(CONCATENATE(VALUE(IF(LEN(IFERROR(VALUE(MID(TRIM(SUBSTITUTE(SUBSTITUTE(MID(Общий!B269,SEARCH("Karcher",Общий!B269,1),19),".",""),"-","")),SEARCH("Karcher",TRIM(SUBSTITUTE(SUBSTITUTE(MID(Общий!B269,SEARCH("Karcher",Общий!B269,1),19),".",""),"-","")),1)+8,8)),VALUE(LEFT(SUBSTITUTE(SUBSTITUTE(Общий!B269,".",""),"-",""),8))))=7,CONCATENATE(IFERROR(VALUE(MID(TRIM(SUBSTITUTE(SUBSTITUTE(MID(Общий!B269,SEARCH("Karcher",Общий!B269,1),19),".",""),"-","")),SEARCH("Karcher",TRIM(SUBSTITUTE(SUBSTITUTE(MID(Общий!B269,SEARCH("Karcher",Общий!B269,1),19),".",""),"-","")),1)+8,8)),VALUE(LEFT(SUBSTITUTE(SUBSTITUTE(Общий!B269,".",""),"-",""),8))),"0"),IFERROR(VALUE(MID(TRIM(SUBSTITUTE(SUBSTITUTE(MID(Общий!B269,SEARCH("Karcher",Общий!B269,1),19),".",""),"-","")),SEARCH("Karcher",TRIM(SUBSTITUTE(SUBSTITUTE(MID(Общий!B269,SEARCH("Karcher",Общий!B269,1),19),".",""),"-","")),1)+8,8)),VALUE(LEFT(SUBSTITUTE(SUBSTITUTE(Общий!B269,".",""),"-",""),8)))))," ",Общий!C269),0)</f>
        <v>0</v>
      </c>
      <c r="C269" s="29" t="str">
        <f>Общий!A269</f>
        <v>261</v>
      </c>
      <c r="D269" s="27">
        <f>Общий!B269</f>
        <v>0</v>
      </c>
      <c r="E269" s="28">
        <f>Общий!C269</f>
        <v>0</v>
      </c>
      <c r="F269" s="16"/>
      <c r="G269" s="44"/>
      <c r="H269" s="44"/>
      <c r="I269" s="44"/>
      <c r="J269" s="35"/>
      <c r="K269" s="16"/>
    </row>
    <row r="270" spans="1:11">
      <c r="A270" s="31">
        <f>IFERROR(VALUE(IF(LEN(IFERROR(VALUE(MID(TRIM(SUBSTITUTE(SUBSTITUTE(MID(Общий!B270,SEARCH("Karcher",Общий!B270,1),19),".",""),"-","")),SEARCH("Karcher",TRIM(SUBSTITUTE(SUBSTITUTE(MID(Общий!B270,SEARCH("Karcher",Общий!B270,1),19),".",""),"-","")),1)+8,8)),VALUE(LEFT(SUBSTITUTE(SUBSTITUTE(Общий!B270,".",""),"-",""),8))))=7,CONCATENATE(IFERROR(VALUE(MID(TRIM(SUBSTITUTE(SUBSTITUTE(MID(Общий!B270,SEARCH("Karcher",Общий!B270,1),19),".",""),"-","")),SEARCH("Karcher",TRIM(SUBSTITUTE(SUBSTITUTE(MID(Общий!B270,SEARCH("Karcher",Общий!B270,1),19),".",""),"-","")),1)+8,8)),VALUE(LEFT(SUBSTITUTE(SUBSTITUTE(Общий!B270,".",""),"-",""),8))),"0"),IFERROR(VALUE(MID(TRIM(SUBSTITUTE(SUBSTITUTE(MID(Общий!B270,SEARCH("Karcher",Общий!B270,1),19),".",""),"-","")),SEARCH("Karcher",TRIM(SUBSTITUTE(SUBSTITUTE(MID(Общий!B270,SEARCH("Karcher",Общий!B270,1),19),".",""),"-","")),1)+8,8)),VALUE(LEFT(SUBSTITUTE(SUBSTITUTE(Общий!B270,".",""),"-",""),8))))),0)</f>
        <v>0</v>
      </c>
      <c r="B270" s="25">
        <f>IFERROR(CONCATENATE(VALUE(IF(LEN(IFERROR(VALUE(MID(TRIM(SUBSTITUTE(SUBSTITUTE(MID(Общий!B270,SEARCH("Karcher",Общий!B270,1),19),".",""),"-","")),SEARCH("Karcher",TRIM(SUBSTITUTE(SUBSTITUTE(MID(Общий!B270,SEARCH("Karcher",Общий!B270,1),19),".",""),"-","")),1)+8,8)),VALUE(LEFT(SUBSTITUTE(SUBSTITUTE(Общий!B270,".",""),"-",""),8))))=7,CONCATENATE(IFERROR(VALUE(MID(TRIM(SUBSTITUTE(SUBSTITUTE(MID(Общий!B270,SEARCH("Karcher",Общий!B270,1),19),".",""),"-","")),SEARCH("Karcher",TRIM(SUBSTITUTE(SUBSTITUTE(MID(Общий!B270,SEARCH("Karcher",Общий!B270,1),19),".",""),"-","")),1)+8,8)),VALUE(LEFT(SUBSTITUTE(SUBSTITUTE(Общий!B270,".",""),"-",""),8))),"0"),IFERROR(VALUE(MID(TRIM(SUBSTITUTE(SUBSTITUTE(MID(Общий!B270,SEARCH("Karcher",Общий!B270,1),19),".",""),"-","")),SEARCH("Karcher",TRIM(SUBSTITUTE(SUBSTITUTE(MID(Общий!B270,SEARCH("Karcher",Общий!B270,1),19),".",""),"-","")),1)+8,8)),VALUE(LEFT(SUBSTITUTE(SUBSTITUTE(Общий!B270,".",""),"-",""),8)))))," ",Общий!C270),0)</f>
        <v>0</v>
      </c>
      <c r="C270" s="29" t="str">
        <f>Общий!A270</f>
        <v>262</v>
      </c>
      <c r="D270" s="27">
        <f>Общий!B270</f>
        <v>0</v>
      </c>
      <c r="E270" s="28">
        <f>Общий!C270</f>
        <v>0</v>
      </c>
      <c r="F270" s="16"/>
      <c r="G270" s="44"/>
      <c r="H270" s="44"/>
      <c r="I270" s="44"/>
      <c r="J270" s="35"/>
      <c r="K270" s="16"/>
    </row>
    <row r="271" spans="1:11">
      <c r="A271" s="31">
        <f>IFERROR(VALUE(IF(LEN(IFERROR(VALUE(MID(TRIM(SUBSTITUTE(SUBSTITUTE(MID(Общий!B271,SEARCH("Karcher",Общий!B271,1),19),".",""),"-","")),SEARCH("Karcher",TRIM(SUBSTITUTE(SUBSTITUTE(MID(Общий!B271,SEARCH("Karcher",Общий!B271,1),19),".",""),"-","")),1)+8,8)),VALUE(LEFT(SUBSTITUTE(SUBSTITUTE(Общий!B271,".",""),"-",""),8))))=7,CONCATENATE(IFERROR(VALUE(MID(TRIM(SUBSTITUTE(SUBSTITUTE(MID(Общий!B271,SEARCH("Karcher",Общий!B271,1),19),".",""),"-","")),SEARCH("Karcher",TRIM(SUBSTITUTE(SUBSTITUTE(MID(Общий!B271,SEARCH("Karcher",Общий!B271,1),19),".",""),"-","")),1)+8,8)),VALUE(LEFT(SUBSTITUTE(SUBSTITUTE(Общий!B271,".",""),"-",""),8))),"0"),IFERROR(VALUE(MID(TRIM(SUBSTITUTE(SUBSTITUTE(MID(Общий!B271,SEARCH("Karcher",Общий!B271,1),19),".",""),"-","")),SEARCH("Karcher",TRIM(SUBSTITUTE(SUBSTITUTE(MID(Общий!B271,SEARCH("Karcher",Общий!B271,1),19),".",""),"-","")),1)+8,8)),VALUE(LEFT(SUBSTITUTE(SUBSTITUTE(Общий!B271,".",""),"-",""),8))))),0)</f>
        <v>0</v>
      </c>
      <c r="B271" s="25">
        <f>IFERROR(CONCATENATE(VALUE(IF(LEN(IFERROR(VALUE(MID(TRIM(SUBSTITUTE(SUBSTITUTE(MID(Общий!B271,SEARCH("Karcher",Общий!B271,1),19),".",""),"-","")),SEARCH("Karcher",TRIM(SUBSTITUTE(SUBSTITUTE(MID(Общий!B271,SEARCH("Karcher",Общий!B271,1),19),".",""),"-","")),1)+8,8)),VALUE(LEFT(SUBSTITUTE(SUBSTITUTE(Общий!B271,".",""),"-",""),8))))=7,CONCATENATE(IFERROR(VALUE(MID(TRIM(SUBSTITUTE(SUBSTITUTE(MID(Общий!B271,SEARCH("Karcher",Общий!B271,1),19),".",""),"-","")),SEARCH("Karcher",TRIM(SUBSTITUTE(SUBSTITUTE(MID(Общий!B271,SEARCH("Karcher",Общий!B271,1),19),".",""),"-","")),1)+8,8)),VALUE(LEFT(SUBSTITUTE(SUBSTITUTE(Общий!B271,".",""),"-",""),8))),"0"),IFERROR(VALUE(MID(TRIM(SUBSTITUTE(SUBSTITUTE(MID(Общий!B271,SEARCH("Karcher",Общий!B271,1),19),".",""),"-","")),SEARCH("Karcher",TRIM(SUBSTITUTE(SUBSTITUTE(MID(Общий!B271,SEARCH("Karcher",Общий!B271,1),19),".",""),"-","")),1)+8,8)),VALUE(LEFT(SUBSTITUTE(SUBSTITUTE(Общий!B271,".",""),"-",""),8)))))," ",Общий!C271),0)</f>
        <v>0</v>
      </c>
      <c r="C271" s="29" t="str">
        <f>Общий!A271</f>
        <v>263</v>
      </c>
      <c r="D271" s="27">
        <f>Общий!B271</f>
        <v>0</v>
      </c>
      <c r="E271" s="28">
        <f>Общий!C271</f>
        <v>0</v>
      </c>
      <c r="F271" s="16"/>
      <c r="G271" s="44"/>
      <c r="H271" s="44"/>
      <c r="I271" s="44"/>
      <c r="J271" s="35"/>
      <c r="K271" s="16"/>
    </row>
    <row r="272" spans="1:11">
      <c r="A272" s="31">
        <f>IFERROR(VALUE(IF(LEN(IFERROR(VALUE(MID(TRIM(SUBSTITUTE(SUBSTITUTE(MID(Общий!B272,SEARCH("Karcher",Общий!B272,1),19),".",""),"-","")),SEARCH("Karcher",TRIM(SUBSTITUTE(SUBSTITUTE(MID(Общий!B272,SEARCH("Karcher",Общий!B272,1),19),".",""),"-","")),1)+8,8)),VALUE(LEFT(SUBSTITUTE(SUBSTITUTE(Общий!B272,".",""),"-",""),8))))=7,CONCATENATE(IFERROR(VALUE(MID(TRIM(SUBSTITUTE(SUBSTITUTE(MID(Общий!B272,SEARCH("Karcher",Общий!B272,1),19),".",""),"-","")),SEARCH("Karcher",TRIM(SUBSTITUTE(SUBSTITUTE(MID(Общий!B272,SEARCH("Karcher",Общий!B272,1),19),".",""),"-","")),1)+8,8)),VALUE(LEFT(SUBSTITUTE(SUBSTITUTE(Общий!B272,".",""),"-",""),8))),"0"),IFERROR(VALUE(MID(TRIM(SUBSTITUTE(SUBSTITUTE(MID(Общий!B272,SEARCH("Karcher",Общий!B272,1),19),".",""),"-","")),SEARCH("Karcher",TRIM(SUBSTITUTE(SUBSTITUTE(MID(Общий!B272,SEARCH("Karcher",Общий!B272,1),19),".",""),"-","")),1)+8,8)),VALUE(LEFT(SUBSTITUTE(SUBSTITUTE(Общий!B272,".",""),"-",""),8))))),0)</f>
        <v>0</v>
      </c>
      <c r="B272" s="25">
        <f>IFERROR(CONCATENATE(VALUE(IF(LEN(IFERROR(VALUE(MID(TRIM(SUBSTITUTE(SUBSTITUTE(MID(Общий!B272,SEARCH("Karcher",Общий!B272,1),19),".",""),"-","")),SEARCH("Karcher",TRIM(SUBSTITUTE(SUBSTITUTE(MID(Общий!B272,SEARCH("Karcher",Общий!B272,1),19),".",""),"-","")),1)+8,8)),VALUE(LEFT(SUBSTITUTE(SUBSTITUTE(Общий!B272,".",""),"-",""),8))))=7,CONCATENATE(IFERROR(VALUE(MID(TRIM(SUBSTITUTE(SUBSTITUTE(MID(Общий!B272,SEARCH("Karcher",Общий!B272,1),19),".",""),"-","")),SEARCH("Karcher",TRIM(SUBSTITUTE(SUBSTITUTE(MID(Общий!B272,SEARCH("Karcher",Общий!B272,1),19),".",""),"-","")),1)+8,8)),VALUE(LEFT(SUBSTITUTE(SUBSTITUTE(Общий!B272,".",""),"-",""),8))),"0"),IFERROR(VALUE(MID(TRIM(SUBSTITUTE(SUBSTITUTE(MID(Общий!B272,SEARCH("Karcher",Общий!B272,1),19),".",""),"-","")),SEARCH("Karcher",TRIM(SUBSTITUTE(SUBSTITUTE(MID(Общий!B272,SEARCH("Karcher",Общий!B272,1),19),".",""),"-","")),1)+8,8)),VALUE(LEFT(SUBSTITUTE(SUBSTITUTE(Общий!B272,".",""),"-",""),8)))))," ",Общий!C272),0)</f>
        <v>0</v>
      </c>
      <c r="C272" s="29" t="str">
        <f>Общий!A272</f>
        <v>264</v>
      </c>
      <c r="D272" s="27">
        <f>Общий!B272</f>
        <v>0</v>
      </c>
      <c r="E272" s="28">
        <f>Общий!C272</f>
        <v>0</v>
      </c>
      <c r="F272" s="16"/>
      <c r="G272" s="44"/>
      <c r="H272" s="44"/>
      <c r="I272" s="44"/>
      <c r="J272" s="35"/>
      <c r="K272" s="16"/>
    </row>
    <row r="273" spans="1:11">
      <c r="A273" s="31">
        <f>IFERROR(VALUE(IF(LEN(IFERROR(VALUE(MID(TRIM(SUBSTITUTE(SUBSTITUTE(MID(Общий!B273,SEARCH("Karcher",Общий!B273,1),19),".",""),"-","")),SEARCH("Karcher",TRIM(SUBSTITUTE(SUBSTITUTE(MID(Общий!B273,SEARCH("Karcher",Общий!B273,1),19),".",""),"-","")),1)+8,8)),VALUE(LEFT(SUBSTITUTE(SUBSTITUTE(Общий!B273,".",""),"-",""),8))))=7,CONCATENATE(IFERROR(VALUE(MID(TRIM(SUBSTITUTE(SUBSTITUTE(MID(Общий!B273,SEARCH("Karcher",Общий!B273,1),19),".",""),"-","")),SEARCH("Karcher",TRIM(SUBSTITUTE(SUBSTITUTE(MID(Общий!B273,SEARCH("Karcher",Общий!B273,1),19),".",""),"-","")),1)+8,8)),VALUE(LEFT(SUBSTITUTE(SUBSTITUTE(Общий!B273,".",""),"-",""),8))),"0"),IFERROR(VALUE(MID(TRIM(SUBSTITUTE(SUBSTITUTE(MID(Общий!B273,SEARCH("Karcher",Общий!B273,1),19),".",""),"-","")),SEARCH("Karcher",TRIM(SUBSTITUTE(SUBSTITUTE(MID(Общий!B273,SEARCH("Karcher",Общий!B273,1),19),".",""),"-","")),1)+8,8)),VALUE(LEFT(SUBSTITUTE(SUBSTITUTE(Общий!B273,".",""),"-",""),8))))),0)</f>
        <v>0</v>
      </c>
      <c r="B273" s="25">
        <f>IFERROR(CONCATENATE(VALUE(IF(LEN(IFERROR(VALUE(MID(TRIM(SUBSTITUTE(SUBSTITUTE(MID(Общий!B273,SEARCH("Karcher",Общий!B273,1),19),".",""),"-","")),SEARCH("Karcher",TRIM(SUBSTITUTE(SUBSTITUTE(MID(Общий!B273,SEARCH("Karcher",Общий!B273,1),19),".",""),"-","")),1)+8,8)),VALUE(LEFT(SUBSTITUTE(SUBSTITUTE(Общий!B273,".",""),"-",""),8))))=7,CONCATENATE(IFERROR(VALUE(MID(TRIM(SUBSTITUTE(SUBSTITUTE(MID(Общий!B273,SEARCH("Karcher",Общий!B273,1),19),".",""),"-","")),SEARCH("Karcher",TRIM(SUBSTITUTE(SUBSTITUTE(MID(Общий!B273,SEARCH("Karcher",Общий!B273,1),19),".",""),"-","")),1)+8,8)),VALUE(LEFT(SUBSTITUTE(SUBSTITUTE(Общий!B273,".",""),"-",""),8))),"0"),IFERROR(VALUE(MID(TRIM(SUBSTITUTE(SUBSTITUTE(MID(Общий!B273,SEARCH("Karcher",Общий!B273,1),19),".",""),"-","")),SEARCH("Karcher",TRIM(SUBSTITUTE(SUBSTITUTE(MID(Общий!B273,SEARCH("Karcher",Общий!B273,1),19),".",""),"-","")),1)+8,8)),VALUE(LEFT(SUBSTITUTE(SUBSTITUTE(Общий!B273,".",""),"-",""),8)))))," ",Общий!C273),0)</f>
        <v>0</v>
      </c>
      <c r="C273" s="29" t="str">
        <f>Общий!A273</f>
        <v>265</v>
      </c>
      <c r="D273" s="27">
        <f>Общий!B273</f>
        <v>0</v>
      </c>
      <c r="E273" s="28">
        <f>Общий!C273</f>
        <v>0</v>
      </c>
      <c r="F273" s="16"/>
      <c r="G273" s="44"/>
      <c r="H273" s="44"/>
      <c r="I273" s="44"/>
      <c r="J273" s="35"/>
      <c r="K273" s="16"/>
    </row>
    <row r="274" spans="1:11">
      <c r="A274" s="31">
        <f>IFERROR(VALUE(IF(LEN(IFERROR(VALUE(MID(TRIM(SUBSTITUTE(SUBSTITUTE(MID(Общий!B274,SEARCH("Karcher",Общий!B274,1),19),".",""),"-","")),SEARCH("Karcher",TRIM(SUBSTITUTE(SUBSTITUTE(MID(Общий!B274,SEARCH("Karcher",Общий!B274,1),19),".",""),"-","")),1)+8,8)),VALUE(LEFT(SUBSTITUTE(SUBSTITUTE(Общий!B274,".",""),"-",""),8))))=7,CONCATENATE(IFERROR(VALUE(MID(TRIM(SUBSTITUTE(SUBSTITUTE(MID(Общий!B274,SEARCH("Karcher",Общий!B274,1),19),".",""),"-","")),SEARCH("Karcher",TRIM(SUBSTITUTE(SUBSTITUTE(MID(Общий!B274,SEARCH("Karcher",Общий!B274,1),19),".",""),"-","")),1)+8,8)),VALUE(LEFT(SUBSTITUTE(SUBSTITUTE(Общий!B274,".",""),"-",""),8))),"0"),IFERROR(VALUE(MID(TRIM(SUBSTITUTE(SUBSTITUTE(MID(Общий!B274,SEARCH("Karcher",Общий!B274,1),19),".",""),"-","")),SEARCH("Karcher",TRIM(SUBSTITUTE(SUBSTITUTE(MID(Общий!B274,SEARCH("Karcher",Общий!B274,1),19),".",""),"-","")),1)+8,8)),VALUE(LEFT(SUBSTITUTE(SUBSTITUTE(Общий!B274,".",""),"-",""),8))))),0)</f>
        <v>0</v>
      </c>
      <c r="B274" s="25">
        <f>IFERROR(CONCATENATE(VALUE(IF(LEN(IFERROR(VALUE(MID(TRIM(SUBSTITUTE(SUBSTITUTE(MID(Общий!B274,SEARCH("Karcher",Общий!B274,1),19),".",""),"-","")),SEARCH("Karcher",TRIM(SUBSTITUTE(SUBSTITUTE(MID(Общий!B274,SEARCH("Karcher",Общий!B274,1),19),".",""),"-","")),1)+8,8)),VALUE(LEFT(SUBSTITUTE(SUBSTITUTE(Общий!B274,".",""),"-",""),8))))=7,CONCATENATE(IFERROR(VALUE(MID(TRIM(SUBSTITUTE(SUBSTITUTE(MID(Общий!B274,SEARCH("Karcher",Общий!B274,1),19),".",""),"-","")),SEARCH("Karcher",TRIM(SUBSTITUTE(SUBSTITUTE(MID(Общий!B274,SEARCH("Karcher",Общий!B274,1),19),".",""),"-","")),1)+8,8)),VALUE(LEFT(SUBSTITUTE(SUBSTITUTE(Общий!B274,".",""),"-",""),8))),"0"),IFERROR(VALUE(MID(TRIM(SUBSTITUTE(SUBSTITUTE(MID(Общий!B274,SEARCH("Karcher",Общий!B274,1),19),".",""),"-","")),SEARCH("Karcher",TRIM(SUBSTITUTE(SUBSTITUTE(MID(Общий!B274,SEARCH("Karcher",Общий!B274,1),19),".",""),"-","")),1)+8,8)),VALUE(LEFT(SUBSTITUTE(SUBSTITUTE(Общий!B274,".",""),"-",""),8)))))," ",Общий!C274),0)</f>
        <v>0</v>
      </c>
      <c r="C274" s="29" t="str">
        <f>Общий!A274</f>
        <v>266</v>
      </c>
      <c r="D274" s="27">
        <f>Общий!B274</f>
        <v>0</v>
      </c>
      <c r="E274" s="28">
        <f>Общий!C274</f>
        <v>0</v>
      </c>
      <c r="F274" s="16"/>
      <c r="G274" s="44"/>
      <c r="H274" s="44"/>
      <c r="I274" s="44"/>
      <c r="J274" s="35"/>
      <c r="K274" s="16"/>
    </row>
    <row r="275" spans="1:11">
      <c r="A275" s="31">
        <f>IFERROR(VALUE(IF(LEN(IFERROR(VALUE(MID(TRIM(SUBSTITUTE(SUBSTITUTE(MID(Общий!B275,SEARCH("Karcher",Общий!B275,1),19),".",""),"-","")),SEARCH("Karcher",TRIM(SUBSTITUTE(SUBSTITUTE(MID(Общий!B275,SEARCH("Karcher",Общий!B275,1),19),".",""),"-","")),1)+8,8)),VALUE(LEFT(SUBSTITUTE(SUBSTITUTE(Общий!B275,".",""),"-",""),8))))=7,CONCATENATE(IFERROR(VALUE(MID(TRIM(SUBSTITUTE(SUBSTITUTE(MID(Общий!B275,SEARCH("Karcher",Общий!B275,1),19),".",""),"-","")),SEARCH("Karcher",TRIM(SUBSTITUTE(SUBSTITUTE(MID(Общий!B275,SEARCH("Karcher",Общий!B275,1),19),".",""),"-","")),1)+8,8)),VALUE(LEFT(SUBSTITUTE(SUBSTITUTE(Общий!B275,".",""),"-",""),8))),"0"),IFERROR(VALUE(MID(TRIM(SUBSTITUTE(SUBSTITUTE(MID(Общий!B275,SEARCH("Karcher",Общий!B275,1),19),".",""),"-","")),SEARCH("Karcher",TRIM(SUBSTITUTE(SUBSTITUTE(MID(Общий!B275,SEARCH("Karcher",Общий!B275,1),19),".",""),"-","")),1)+8,8)),VALUE(LEFT(SUBSTITUTE(SUBSTITUTE(Общий!B275,".",""),"-",""),8))))),0)</f>
        <v>0</v>
      </c>
      <c r="B275" s="25">
        <f>IFERROR(CONCATENATE(VALUE(IF(LEN(IFERROR(VALUE(MID(TRIM(SUBSTITUTE(SUBSTITUTE(MID(Общий!B275,SEARCH("Karcher",Общий!B275,1),19),".",""),"-","")),SEARCH("Karcher",TRIM(SUBSTITUTE(SUBSTITUTE(MID(Общий!B275,SEARCH("Karcher",Общий!B275,1),19),".",""),"-","")),1)+8,8)),VALUE(LEFT(SUBSTITUTE(SUBSTITUTE(Общий!B275,".",""),"-",""),8))))=7,CONCATENATE(IFERROR(VALUE(MID(TRIM(SUBSTITUTE(SUBSTITUTE(MID(Общий!B275,SEARCH("Karcher",Общий!B275,1),19),".",""),"-","")),SEARCH("Karcher",TRIM(SUBSTITUTE(SUBSTITUTE(MID(Общий!B275,SEARCH("Karcher",Общий!B275,1),19),".",""),"-","")),1)+8,8)),VALUE(LEFT(SUBSTITUTE(SUBSTITUTE(Общий!B275,".",""),"-",""),8))),"0"),IFERROR(VALUE(MID(TRIM(SUBSTITUTE(SUBSTITUTE(MID(Общий!B275,SEARCH("Karcher",Общий!B275,1),19),".",""),"-","")),SEARCH("Karcher",TRIM(SUBSTITUTE(SUBSTITUTE(MID(Общий!B275,SEARCH("Karcher",Общий!B275,1),19),".",""),"-","")),1)+8,8)),VALUE(LEFT(SUBSTITUTE(SUBSTITUTE(Общий!B275,".",""),"-",""),8)))))," ",Общий!C275),0)</f>
        <v>0</v>
      </c>
      <c r="C275" s="29" t="str">
        <f>Общий!A275</f>
        <v>267</v>
      </c>
      <c r="D275" s="27">
        <f>Общий!B275</f>
        <v>0</v>
      </c>
      <c r="E275" s="28">
        <f>Общий!C275</f>
        <v>0</v>
      </c>
      <c r="F275" s="16"/>
      <c r="G275" s="44"/>
      <c r="H275" s="44"/>
      <c r="I275" s="44"/>
      <c r="J275" s="35"/>
      <c r="K275" s="16"/>
    </row>
    <row r="276" spans="1:11">
      <c r="A276" s="31">
        <f>IFERROR(VALUE(IF(LEN(IFERROR(VALUE(MID(TRIM(SUBSTITUTE(SUBSTITUTE(MID(Общий!B276,SEARCH("Karcher",Общий!B276,1),19),".",""),"-","")),SEARCH("Karcher",TRIM(SUBSTITUTE(SUBSTITUTE(MID(Общий!B276,SEARCH("Karcher",Общий!B276,1),19),".",""),"-","")),1)+8,8)),VALUE(LEFT(SUBSTITUTE(SUBSTITUTE(Общий!B276,".",""),"-",""),8))))=7,CONCATENATE(IFERROR(VALUE(MID(TRIM(SUBSTITUTE(SUBSTITUTE(MID(Общий!B276,SEARCH("Karcher",Общий!B276,1),19),".",""),"-","")),SEARCH("Karcher",TRIM(SUBSTITUTE(SUBSTITUTE(MID(Общий!B276,SEARCH("Karcher",Общий!B276,1),19),".",""),"-","")),1)+8,8)),VALUE(LEFT(SUBSTITUTE(SUBSTITUTE(Общий!B276,".",""),"-",""),8))),"0"),IFERROR(VALUE(MID(TRIM(SUBSTITUTE(SUBSTITUTE(MID(Общий!B276,SEARCH("Karcher",Общий!B276,1),19),".",""),"-","")),SEARCH("Karcher",TRIM(SUBSTITUTE(SUBSTITUTE(MID(Общий!B276,SEARCH("Karcher",Общий!B276,1),19),".",""),"-","")),1)+8,8)),VALUE(LEFT(SUBSTITUTE(SUBSTITUTE(Общий!B276,".",""),"-",""),8))))),0)</f>
        <v>0</v>
      </c>
      <c r="B276" s="25">
        <f>IFERROR(CONCATENATE(VALUE(IF(LEN(IFERROR(VALUE(MID(TRIM(SUBSTITUTE(SUBSTITUTE(MID(Общий!B276,SEARCH("Karcher",Общий!B276,1),19),".",""),"-","")),SEARCH("Karcher",TRIM(SUBSTITUTE(SUBSTITUTE(MID(Общий!B276,SEARCH("Karcher",Общий!B276,1),19),".",""),"-","")),1)+8,8)),VALUE(LEFT(SUBSTITUTE(SUBSTITUTE(Общий!B276,".",""),"-",""),8))))=7,CONCATENATE(IFERROR(VALUE(MID(TRIM(SUBSTITUTE(SUBSTITUTE(MID(Общий!B276,SEARCH("Karcher",Общий!B276,1),19),".",""),"-","")),SEARCH("Karcher",TRIM(SUBSTITUTE(SUBSTITUTE(MID(Общий!B276,SEARCH("Karcher",Общий!B276,1),19),".",""),"-","")),1)+8,8)),VALUE(LEFT(SUBSTITUTE(SUBSTITUTE(Общий!B276,".",""),"-",""),8))),"0"),IFERROR(VALUE(MID(TRIM(SUBSTITUTE(SUBSTITUTE(MID(Общий!B276,SEARCH("Karcher",Общий!B276,1),19),".",""),"-","")),SEARCH("Karcher",TRIM(SUBSTITUTE(SUBSTITUTE(MID(Общий!B276,SEARCH("Karcher",Общий!B276,1),19),".",""),"-","")),1)+8,8)),VALUE(LEFT(SUBSTITUTE(SUBSTITUTE(Общий!B276,".",""),"-",""),8)))))," ",Общий!C276),0)</f>
        <v>0</v>
      </c>
      <c r="C276" s="29" t="str">
        <f>Общий!A276</f>
        <v>268</v>
      </c>
      <c r="D276" s="27">
        <f>Общий!B276</f>
        <v>0</v>
      </c>
      <c r="E276" s="28">
        <f>Общий!C276</f>
        <v>0</v>
      </c>
      <c r="F276" s="16"/>
      <c r="G276" s="44"/>
      <c r="H276" s="44"/>
      <c r="I276" s="44"/>
      <c r="J276" s="35"/>
      <c r="K276" s="16"/>
    </row>
    <row r="277" spans="1:11">
      <c r="A277" s="31">
        <f>IFERROR(VALUE(IF(LEN(IFERROR(VALUE(MID(TRIM(SUBSTITUTE(SUBSTITUTE(MID(Общий!B277,SEARCH("Karcher",Общий!B277,1),19),".",""),"-","")),SEARCH("Karcher",TRIM(SUBSTITUTE(SUBSTITUTE(MID(Общий!B277,SEARCH("Karcher",Общий!B277,1),19),".",""),"-","")),1)+8,8)),VALUE(LEFT(SUBSTITUTE(SUBSTITUTE(Общий!B277,".",""),"-",""),8))))=7,CONCATENATE(IFERROR(VALUE(MID(TRIM(SUBSTITUTE(SUBSTITUTE(MID(Общий!B277,SEARCH("Karcher",Общий!B277,1),19),".",""),"-","")),SEARCH("Karcher",TRIM(SUBSTITUTE(SUBSTITUTE(MID(Общий!B277,SEARCH("Karcher",Общий!B277,1),19),".",""),"-","")),1)+8,8)),VALUE(LEFT(SUBSTITUTE(SUBSTITUTE(Общий!B277,".",""),"-",""),8))),"0"),IFERROR(VALUE(MID(TRIM(SUBSTITUTE(SUBSTITUTE(MID(Общий!B277,SEARCH("Karcher",Общий!B277,1),19),".",""),"-","")),SEARCH("Karcher",TRIM(SUBSTITUTE(SUBSTITUTE(MID(Общий!B277,SEARCH("Karcher",Общий!B277,1),19),".",""),"-","")),1)+8,8)),VALUE(LEFT(SUBSTITUTE(SUBSTITUTE(Общий!B277,".",""),"-",""),8))))),0)</f>
        <v>0</v>
      </c>
      <c r="B277" s="25">
        <f>IFERROR(CONCATENATE(VALUE(IF(LEN(IFERROR(VALUE(MID(TRIM(SUBSTITUTE(SUBSTITUTE(MID(Общий!B277,SEARCH("Karcher",Общий!B277,1),19),".",""),"-","")),SEARCH("Karcher",TRIM(SUBSTITUTE(SUBSTITUTE(MID(Общий!B277,SEARCH("Karcher",Общий!B277,1),19),".",""),"-","")),1)+8,8)),VALUE(LEFT(SUBSTITUTE(SUBSTITUTE(Общий!B277,".",""),"-",""),8))))=7,CONCATENATE(IFERROR(VALUE(MID(TRIM(SUBSTITUTE(SUBSTITUTE(MID(Общий!B277,SEARCH("Karcher",Общий!B277,1),19),".",""),"-","")),SEARCH("Karcher",TRIM(SUBSTITUTE(SUBSTITUTE(MID(Общий!B277,SEARCH("Karcher",Общий!B277,1),19),".",""),"-","")),1)+8,8)),VALUE(LEFT(SUBSTITUTE(SUBSTITUTE(Общий!B277,".",""),"-",""),8))),"0"),IFERROR(VALUE(MID(TRIM(SUBSTITUTE(SUBSTITUTE(MID(Общий!B277,SEARCH("Karcher",Общий!B277,1),19),".",""),"-","")),SEARCH("Karcher",TRIM(SUBSTITUTE(SUBSTITUTE(MID(Общий!B277,SEARCH("Karcher",Общий!B277,1),19),".",""),"-","")),1)+8,8)),VALUE(LEFT(SUBSTITUTE(SUBSTITUTE(Общий!B277,".",""),"-",""),8)))))," ",Общий!C277),0)</f>
        <v>0</v>
      </c>
      <c r="C277" s="29" t="str">
        <f>Общий!A277</f>
        <v>269</v>
      </c>
      <c r="D277" s="27">
        <f>Общий!B277</f>
        <v>0</v>
      </c>
      <c r="E277" s="28">
        <f>Общий!C277</f>
        <v>0</v>
      </c>
      <c r="F277" s="16"/>
      <c r="G277" s="44"/>
      <c r="H277" s="44"/>
      <c r="I277" s="44"/>
      <c r="J277" s="35"/>
      <c r="K277" s="16"/>
    </row>
    <row r="278" spans="1:11">
      <c r="A278" s="31">
        <f>IFERROR(VALUE(IF(LEN(IFERROR(VALUE(MID(TRIM(SUBSTITUTE(SUBSTITUTE(MID(Общий!B278,SEARCH("Karcher",Общий!B278,1),19),".",""),"-","")),SEARCH("Karcher",TRIM(SUBSTITUTE(SUBSTITUTE(MID(Общий!B278,SEARCH("Karcher",Общий!B278,1),19),".",""),"-","")),1)+8,8)),VALUE(LEFT(SUBSTITUTE(SUBSTITUTE(Общий!B278,".",""),"-",""),8))))=7,CONCATENATE(IFERROR(VALUE(MID(TRIM(SUBSTITUTE(SUBSTITUTE(MID(Общий!B278,SEARCH("Karcher",Общий!B278,1),19),".",""),"-","")),SEARCH("Karcher",TRIM(SUBSTITUTE(SUBSTITUTE(MID(Общий!B278,SEARCH("Karcher",Общий!B278,1),19),".",""),"-","")),1)+8,8)),VALUE(LEFT(SUBSTITUTE(SUBSTITUTE(Общий!B278,".",""),"-",""),8))),"0"),IFERROR(VALUE(MID(TRIM(SUBSTITUTE(SUBSTITUTE(MID(Общий!B278,SEARCH("Karcher",Общий!B278,1),19),".",""),"-","")),SEARCH("Karcher",TRIM(SUBSTITUTE(SUBSTITUTE(MID(Общий!B278,SEARCH("Karcher",Общий!B278,1),19),".",""),"-","")),1)+8,8)),VALUE(LEFT(SUBSTITUTE(SUBSTITUTE(Общий!B278,".",""),"-",""),8))))),0)</f>
        <v>0</v>
      </c>
      <c r="B278" s="25">
        <f>IFERROR(CONCATENATE(VALUE(IF(LEN(IFERROR(VALUE(MID(TRIM(SUBSTITUTE(SUBSTITUTE(MID(Общий!B278,SEARCH("Karcher",Общий!B278,1),19),".",""),"-","")),SEARCH("Karcher",TRIM(SUBSTITUTE(SUBSTITUTE(MID(Общий!B278,SEARCH("Karcher",Общий!B278,1),19),".",""),"-","")),1)+8,8)),VALUE(LEFT(SUBSTITUTE(SUBSTITUTE(Общий!B278,".",""),"-",""),8))))=7,CONCATENATE(IFERROR(VALUE(MID(TRIM(SUBSTITUTE(SUBSTITUTE(MID(Общий!B278,SEARCH("Karcher",Общий!B278,1),19),".",""),"-","")),SEARCH("Karcher",TRIM(SUBSTITUTE(SUBSTITUTE(MID(Общий!B278,SEARCH("Karcher",Общий!B278,1),19),".",""),"-","")),1)+8,8)),VALUE(LEFT(SUBSTITUTE(SUBSTITUTE(Общий!B278,".",""),"-",""),8))),"0"),IFERROR(VALUE(MID(TRIM(SUBSTITUTE(SUBSTITUTE(MID(Общий!B278,SEARCH("Karcher",Общий!B278,1),19),".",""),"-","")),SEARCH("Karcher",TRIM(SUBSTITUTE(SUBSTITUTE(MID(Общий!B278,SEARCH("Karcher",Общий!B278,1),19),".",""),"-","")),1)+8,8)),VALUE(LEFT(SUBSTITUTE(SUBSTITUTE(Общий!B278,".",""),"-",""),8)))))," ",Общий!C278),0)</f>
        <v>0</v>
      </c>
      <c r="C278" s="29" t="str">
        <f>Общий!A278</f>
        <v>270</v>
      </c>
      <c r="D278" s="27">
        <f>Общий!B278</f>
        <v>0</v>
      </c>
      <c r="E278" s="28">
        <f>Общий!C278</f>
        <v>0</v>
      </c>
      <c r="F278" s="16"/>
      <c r="G278" s="44"/>
      <c r="H278" s="44"/>
      <c r="I278" s="44"/>
      <c r="J278" s="35"/>
      <c r="K278" s="16"/>
    </row>
    <row r="279" spans="1:11">
      <c r="A279" s="31">
        <f>IFERROR(VALUE(IF(LEN(IFERROR(VALUE(MID(TRIM(SUBSTITUTE(SUBSTITUTE(MID(Общий!B279,SEARCH("Karcher",Общий!B279,1),19),".",""),"-","")),SEARCH("Karcher",TRIM(SUBSTITUTE(SUBSTITUTE(MID(Общий!B279,SEARCH("Karcher",Общий!B279,1),19),".",""),"-","")),1)+8,8)),VALUE(LEFT(SUBSTITUTE(SUBSTITUTE(Общий!B279,".",""),"-",""),8))))=7,CONCATENATE(IFERROR(VALUE(MID(TRIM(SUBSTITUTE(SUBSTITUTE(MID(Общий!B279,SEARCH("Karcher",Общий!B279,1),19),".",""),"-","")),SEARCH("Karcher",TRIM(SUBSTITUTE(SUBSTITUTE(MID(Общий!B279,SEARCH("Karcher",Общий!B279,1),19),".",""),"-","")),1)+8,8)),VALUE(LEFT(SUBSTITUTE(SUBSTITUTE(Общий!B279,".",""),"-",""),8))),"0"),IFERROR(VALUE(MID(TRIM(SUBSTITUTE(SUBSTITUTE(MID(Общий!B279,SEARCH("Karcher",Общий!B279,1),19),".",""),"-","")),SEARCH("Karcher",TRIM(SUBSTITUTE(SUBSTITUTE(MID(Общий!B279,SEARCH("Karcher",Общий!B279,1),19),".",""),"-","")),1)+8,8)),VALUE(LEFT(SUBSTITUTE(SUBSTITUTE(Общий!B279,".",""),"-",""),8))))),0)</f>
        <v>0</v>
      </c>
      <c r="B279" s="25">
        <f>IFERROR(CONCATENATE(VALUE(IF(LEN(IFERROR(VALUE(MID(TRIM(SUBSTITUTE(SUBSTITUTE(MID(Общий!B279,SEARCH("Karcher",Общий!B279,1),19),".",""),"-","")),SEARCH("Karcher",TRIM(SUBSTITUTE(SUBSTITUTE(MID(Общий!B279,SEARCH("Karcher",Общий!B279,1),19),".",""),"-","")),1)+8,8)),VALUE(LEFT(SUBSTITUTE(SUBSTITUTE(Общий!B279,".",""),"-",""),8))))=7,CONCATENATE(IFERROR(VALUE(MID(TRIM(SUBSTITUTE(SUBSTITUTE(MID(Общий!B279,SEARCH("Karcher",Общий!B279,1),19),".",""),"-","")),SEARCH("Karcher",TRIM(SUBSTITUTE(SUBSTITUTE(MID(Общий!B279,SEARCH("Karcher",Общий!B279,1),19),".",""),"-","")),1)+8,8)),VALUE(LEFT(SUBSTITUTE(SUBSTITUTE(Общий!B279,".",""),"-",""),8))),"0"),IFERROR(VALUE(MID(TRIM(SUBSTITUTE(SUBSTITUTE(MID(Общий!B279,SEARCH("Karcher",Общий!B279,1),19),".",""),"-","")),SEARCH("Karcher",TRIM(SUBSTITUTE(SUBSTITUTE(MID(Общий!B279,SEARCH("Karcher",Общий!B279,1),19),".",""),"-","")),1)+8,8)),VALUE(LEFT(SUBSTITUTE(SUBSTITUTE(Общий!B279,".",""),"-",""),8)))))," ",Общий!C279),0)</f>
        <v>0</v>
      </c>
      <c r="C279" s="29" t="str">
        <f>Общий!A279</f>
        <v>271</v>
      </c>
      <c r="D279" s="27">
        <f>Общий!B279</f>
        <v>0</v>
      </c>
      <c r="E279" s="28">
        <f>Общий!C279</f>
        <v>0</v>
      </c>
      <c r="F279" s="16"/>
      <c r="G279" s="44"/>
      <c r="H279" s="44"/>
      <c r="I279" s="44"/>
      <c r="J279" s="35"/>
      <c r="K279" s="16"/>
    </row>
    <row r="280" spans="1:11">
      <c r="A280" s="31">
        <f>IFERROR(VALUE(IF(LEN(IFERROR(VALUE(MID(TRIM(SUBSTITUTE(SUBSTITUTE(MID(Общий!B280,SEARCH("Karcher",Общий!B280,1),19),".",""),"-","")),SEARCH("Karcher",TRIM(SUBSTITUTE(SUBSTITUTE(MID(Общий!B280,SEARCH("Karcher",Общий!B280,1),19),".",""),"-","")),1)+8,8)),VALUE(LEFT(SUBSTITUTE(SUBSTITUTE(Общий!B280,".",""),"-",""),8))))=7,CONCATENATE(IFERROR(VALUE(MID(TRIM(SUBSTITUTE(SUBSTITUTE(MID(Общий!B280,SEARCH("Karcher",Общий!B280,1),19),".",""),"-","")),SEARCH("Karcher",TRIM(SUBSTITUTE(SUBSTITUTE(MID(Общий!B280,SEARCH("Karcher",Общий!B280,1),19),".",""),"-","")),1)+8,8)),VALUE(LEFT(SUBSTITUTE(SUBSTITUTE(Общий!B280,".",""),"-",""),8))),"0"),IFERROR(VALUE(MID(TRIM(SUBSTITUTE(SUBSTITUTE(MID(Общий!B280,SEARCH("Karcher",Общий!B280,1),19),".",""),"-","")),SEARCH("Karcher",TRIM(SUBSTITUTE(SUBSTITUTE(MID(Общий!B280,SEARCH("Karcher",Общий!B280,1),19),".",""),"-","")),1)+8,8)),VALUE(LEFT(SUBSTITUTE(SUBSTITUTE(Общий!B280,".",""),"-",""),8))))),0)</f>
        <v>0</v>
      </c>
      <c r="B280" s="25">
        <f>IFERROR(CONCATENATE(VALUE(IF(LEN(IFERROR(VALUE(MID(TRIM(SUBSTITUTE(SUBSTITUTE(MID(Общий!B280,SEARCH("Karcher",Общий!B280,1),19),".",""),"-","")),SEARCH("Karcher",TRIM(SUBSTITUTE(SUBSTITUTE(MID(Общий!B280,SEARCH("Karcher",Общий!B280,1),19),".",""),"-","")),1)+8,8)),VALUE(LEFT(SUBSTITUTE(SUBSTITUTE(Общий!B280,".",""),"-",""),8))))=7,CONCATENATE(IFERROR(VALUE(MID(TRIM(SUBSTITUTE(SUBSTITUTE(MID(Общий!B280,SEARCH("Karcher",Общий!B280,1),19),".",""),"-","")),SEARCH("Karcher",TRIM(SUBSTITUTE(SUBSTITUTE(MID(Общий!B280,SEARCH("Karcher",Общий!B280,1),19),".",""),"-","")),1)+8,8)),VALUE(LEFT(SUBSTITUTE(SUBSTITUTE(Общий!B280,".",""),"-",""),8))),"0"),IFERROR(VALUE(MID(TRIM(SUBSTITUTE(SUBSTITUTE(MID(Общий!B280,SEARCH("Karcher",Общий!B280,1),19),".",""),"-","")),SEARCH("Karcher",TRIM(SUBSTITUTE(SUBSTITUTE(MID(Общий!B280,SEARCH("Karcher",Общий!B280,1),19),".",""),"-","")),1)+8,8)),VALUE(LEFT(SUBSTITUTE(SUBSTITUTE(Общий!B280,".",""),"-",""),8)))))," ",Общий!C280),0)</f>
        <v>0</v>
      </c>
      <c r="C280" s="29" t="str">
        <f>Общий!A280</f>
        <v>272</v>
      </c>
      <c r="D280" s="27">
        <f>Общий!B280</f>
        <v>0</v>
      </c>
      <c r="E280" s="28">
        <f>Общий!C280</f>
        <v>0</v>
      </c>
      <c r="F280" s="16"/>
      <c r="G280" s="44"/>
      <c r="H280" s="44"/>
      <c r="I280" s="44"/>
      <c r="J280" s="35"/>
      <c r="K280" s="16"/>
    </row>
    <row r="281" spans="1:11">
      <c r="A281" s="31">
        <f>IFERROR(VALUE(IF(LEN(IFERROR(VALUE(MID(TRIM(SUBSTITUTE(SUBSTITUTE(MID(Общий!B281,SEARCH("Karcher",Общий!B281,1),19),".",""),"-","")),SEARCH("Karcher",TRIM(SUBSTITUTE(SUBSTITUTE(MID(Общий!B281,SEARCH("Karcher",Общий!B281,1),19),".",""),"-","")),1)+8,8)),VALUE(LEFT(SUBSTITUTE(SUBSTITUTE(Общий!B281,".",""),"-",""),8))))=7,CONCATENATE(IFERROR(VALUE(MID(TRIM(SUBSTITUTE(SUBSTITUTE(MID(Общий!B281,SEARCH("Karcher",Общий!B281,1),19),".",""),"-","")),SEARCH("Karcher",TRIM(SUBSTITUTE(SUBSTITUTE(MID(Общий!B281,SEARCH("Karcher",Общий!B281,1),19),".",""),"-","")),1)+8,8)),VALUE(LEFT(SUBSTITUTE(SUBSTITUTE(Общий!B281,".",""),"-",""),8))),"0"),IFERROR(VALUE(MID(TRIM(SUBSTITUTE(SUBSTITUTE(MID(Общий!B281,SEARCH("Karcher",Общий!B281,1),19),".",""),"-","")),SEARCH("Karcher",TRIM(SUBSTITUTE(SUBSTITUTE(MID(Общий!B281,SEARCH("Karcher",Общий!B281,1),19),".",""),"-","")),1)+8,8)),VALUE(LEFT(SUBSTITUTE(SUBSTITUTE(Общий!B281,".",""),"-",""),8))))),0)</f>
        <v>0</v>
      </c>
      <c r="B281" s="25">
        <f>IFERROR(CONCATENATE(VALUE(IF(LEN(IFERROR(VALUE(MID(TRIM(SUBSTITUTE(SUBSTITUTE(MID(Общий!B281,SEARCH("Karcher",Общий!B281,1),19),".",""),"-","")),SEARCH("Karcher",TRIM(SUBSTITUTE(SUBSTITUTE(MID(Общий!B281,SEARCH("Karcher",Общий!B281,1),19),".",""),"-","")),1)+8,8)),VALUE(LEFT(SUBSTITUTE(SUBSTITUTE(Общий!B281,".",""),"-",""),8))))=7,CONCATENATE(IFERROR(VALUE(MID(TRIM(SUBSTITUTE(SUBSTITUTE(MID(Общий!B281,SEARCH("Karcher",Общий!B281,1),19),".",""),"-","")),SEARCH("Karcher",TRIM(SUBSTITUTE(SUBSTITUTE(MID(Общий!B281,SEARCH("Karcher",Общий!B281,1),19),".",""),"-","")),1)+8,8)),VALUE(LEFT(SUBSTITUTE(SUBSTITUTE(Общий!B281,".",""),"-",""),8))),"0"),IFERROR(VALUE(MID(TRIM(SUBSTITUTE(SUBSTITUTE(MID(Общий!B281,SEARCH("Karcher",Общий!B281,1),19),".",""),"-","")),SEARCH("Karcher",TRIM(SUBSTITUTE(SUBSTITUTE(MID(Общий!B281,SEARCH("Karcher",Общий!B281,1),19),".",""),"-","")),1)+8,8)),VALUE(LEFT(SUBSTITUTE(SUBSTITUTE(Общий!B281,".",""),"-",""),8)))))," ",Общий!C281),0)</f>
        <v>0</v>
      </c>
      <c r="C281" s="29" t="str">
        <f>Общий!A281</f>
        <v>273</v>
      </c>
      <c r="D281" s="27">
        <f>Общий!B281</f>
        <v>0</v>
      </c>
      <c r="E281" s="28">
        <f>Общий!C281</f>
        <v>0</v>
      </c>
      <c r="F281" s="16"/>
      <c r="G281" s="44"/>
      <c r="H281" s="44"/>
      <c r="I281" s="44"/>
      <c r="J281" s="35"/>
      <c r="K281" s="16"/>
    </row>
    <row r="282" spans="1:11">
      <c r="A282" s="31">
        <f>IFERROR(VALUE(IF(LEN(IFERROR(VALUE(MID(TRIM(SUBSTITUTE(SUBSTITUTE(MID(Общий!B282,SEARCH("Karcher",Общий!B282,1),19),".",""),"-","")),SEARCH("Karcher",TRIM(SUBSTITUTE(SUBSTITUTE(MID(Общий!B282,SEARCH("Karcher",Общий!B282,1),19),".",""),"-","")),1)+8,8)),VALUE(LEFT(SUBSTITUTE(SUBSTITUTE(Общий!B282,".",""),"-",""),8))))=7,CONCATENATE(IFERROR(VALUE(MID(TRIM(SUBSTITUTE(SUBSTITUTE(MID(Общий!B282,SEARCH("Karcher",Общий!B282,1),19),".",""),"-","")),SEARCH("Karcher",TRIM(SUBSTITUTE(SUBSTITUTE(MID(Общий!B282,SEARCH("Karcher",Общий!B282,1),19),".",""),"-","")),1)+8,8)),VALUE(LEFT(SUBSTITUTE(SUBSTITUTE(Общий!B282,".",""),"-",""),8))),"0"),IFERROR(VALUE(MID(TRIM(SUBSTITUTE(SUBSTITUTE(MID(Общий!B282,SEARCH("Karcher",Общий!B282,1),19),".",""),"-","")),SEARCH("Karcher",TRIM(SUBSTITUTE(SUBSTITUTE(MID(Общий!B282,SEARCH("Karcher",Общий!B282,1),19),".",""),"-","")),1)+8,8)),VALUE(LEFT(SUBSTITUTE(SUBSTITUTE(Общий!B282,".",""),"-",""),8))))),0)</f>
        <v>0</v>
      </c>
      <c r="B282" s="25">
        <f>IFERROR(CONCATENATE(VALUE(IF(LEN(IFERROR(VALUE(MID(TRIM(SUBSTITUTE(SUBSTITUTE(MID(Общий!B282,SEARCH("Karcher",Общий!B282,1),19),".",""),"-","")),SEARCH("Karcher",TRIM(SUBSTITUTE(SUBSTITUTE(MID(Общий!B282,SEARCH("Karcher",Общий!B282,1),19),".",""),"-","")),1)+8,8)),VALUE(LEFT(SUBSTITUTE(SUBSTITUTE(Общий!B282,".",""),"-",""),8))))=7,CONCATENATE(IFERROR(VALUE(MID(TRIM(SUBSTITUTE(SUBSTITUTE(MID(Общий!B282,SEARCH("Karcher",Общий!B282,1),19),".",""),"-","")),SEARCH("Karcher",TRIM(SUBSTITUTE(SUBSTITUTE(MID(Общий!B282,SEARCH("Karcher",Общий!B282,1),19),".",""),"-","")),1)+8,8)),VALUE(LEFT(SUBSTITUTE(SUBSTITUTE(Общий!B282,".",""),"-",""),8))),"0"),IFERROR(VALUE(MID(TRIM(SUBSTITUTE(SUBSTITUTE(MID(Общий!B282,SEARCH("Karcher",Общий!B282,1),19),".",""),"-","")),SEARCH("Karcher",TRIM(SUBSTITUTE(SUBSTITUTE(MID(Общий!B282,SEARCH("Karcher",Общий!B282,1),19),".",""),"-","")),1)+8,8)),VALUE(LEFT(SUBSTITUTE(SUBSTITUTE(Общий!B282,".",""),"-",""),8)))))," ",Общий!C282),0)</f>
        <v>0</v>
      </c>
      <c r="C282" s="29" t="str">
        <f>Общий!A282</f>
        <v>274</v>
      </c>
      <c r="D282" s="27">
        <f>Общий!B282</f>
        <v>0</v>
      </c>
      <c r="E282" s="28">
        <f>Общий!C282</f>
        <v>0</v>
      </c>
      <c r="F282" s="16"/>
      <c r="G282" s="44"/>
      <c r="H282" s="44"/>
      <c r="I282" s="44"/>
      <c r="J282" s="35"/>
      <c r="K282" s="16"/>
    </row>
    <row r="283" spans="1:11">
      <c r="A283" s="31">
        <f>IFERROR(VALUE(IF(LEN(IFERROR(VALUE(MID(TRIM(SUBSTITUTE(SUBSTITUTE(MID(Общий!B283,SEARCH("Karcher",Общий!B283,1),19),".",""),"-","")),SEARCH("Karcher",TRIM(SUBSTITUTE(SUBSTITUTE(MID(Общий!B283,SEARCH("Karcher",Общий!B283,1),19),".",""),"-","")),1)+8,8)),VALUE(LEFT(SUBSTITUTE(SUBSTITUTE(Общий!B283,".",""),"-",""),8))))=7,CONCATENATE(IFERROR(VALUE(MID(TRIM(SUBSTITUTE(SUBSTITUTE(MID(Общий!B283,SEARCH("Karcher",Общий!B283,1),19),".",""),"-","")),SEARCH("Karcher",TRIM(SUBSTITUTE(SUBSTITUTE(MID(Общий!B283,SEARCH("Karcher",Общий!B283,1),19),".",""),"-","")),1)+8,8)),VALUE(LEFT(SUBSTITUTE(SUBSTITUTE(Общий!B283,".",""),"-",""),8))),"0"),IFERROR(VALUE(MID(TRIM(SUBSTITUTE(SUBSTITUTE(MID(Общий!B283,SEARCH("Karcher",Общий!B283,1),19),".",""),"-","")),SEARCH("Karcher",TRIM(SUBSTITUTE(SUBSTITUTE(MID(Общий!B283,SEARCH("Karcher",Общий!B283,1),19),".",""),"-","")),1)+8,8)),VALUE(LEFT(SUBSTITUTE(SUBSTITUTE(Общий!B283,".",""),"-",""),8))))),0)</f>
        <v>0</v>
      </c>
      <c r="B283" s="25">
        <f>IFERROR(CONCATENATE(VALUE(IF(LEN(IFERROR(VALUE(MID(TRIM(SUBSTITUTE(SUBSTITUTE(MID(Общий!B283,SEARCH("Karcher",Общий!B283,1),19),".",""),"-","")),SEARCH("Karcher",TRIM(SUBSTITUTE(SUBSTITUTE(MID(Общий!B283,SEARCH("Karcher",Общий!B283,1),19),".",""),"-","")),1)+8,8)),VALUE(LEFT(SUBSTITUTE(SUBSTITUTE(Общий!B283,".",""),"-",""),8))))=7,CONCATENATE(IFERROR(VALUE(MID(TRIM(SUBSTITUTE(SUBSTITUTE(MID(Общий!B283,SEARCH("Karcher",Общий!B283,1),19),".",""),"-","")),SEARCH("Karcher",TRIM(SUBSTITUTE(SUBSTITUTE(MID(Общий!B283,SEARCH("Karcher",Общий!B283,1),19),".",""),"-","")),1)+8,8)),VALUE(LEFT(SUBSTITUTE(SUBSTITUTE(Общий!B283,".",""),"-",""),8))),"0"),IFERROR(VALUE(MID(TRIM(SUBSTITUTE(SUBSTITUTE(MID(Общий!B283,SEARCH("Karcher",Общий!B283,1),19),".",""),"-","")),SEARCH("Karcher",TRIM(SUBSTITUTE(SUBSTITUTE(MID(Общий!B283,SEARCH("Karcher",Общий!B283,1),19),".",""),"-","")),1)+8,8)),VALUE(LEFT(SUBSTITUTE(SUBSTITUTE(Общий!B283,".",""),"-",""),8)))))," ",Общий!C283),0)</f>
        <v>0</v>
      </c>
      <c r="C283" s="29" t="str">
        <f>Общий!A283</f>
        <v>275</v>
      </c>
      <c r="D283" s="27">
        <f>Общий!B283</f>
        <v>0</v>
      </c>
      <c r="E283" s="28">
        <f>Общий!C283</f>
        <v>0</v>
      </c>
      <c r="F283" s="16"/>
      <c r="G283" s="44"/>
      <c r="H283" s="44"/>
      <c r="I283" s="44"/>
      <c r="J283" s="35"/>
      <c r="K283" s="16"/>
    </row>
    <row r="284" spans="1:11">
      <c r="A284" s="31">
        <f>IFERROR(VALUE(IF(LEN(IFERROR(VALUE(MID(TRIM(SUBSTITUTE(SUBSTITUTE(MID(Общий!B284,SEARCH("Karcher",Общий!B284,1),19),".",""),"-","")),SEARCH("Karcher",TRIM(SUBSTITUTE(SUBSTITUTE(MID(Общий!B284,SEARCH("Karcher",Общий!B284,1),19),".",""),"-","")),1)+8,8)),VALUE(LEFT(SUBSTITUTE(SUBSTITUTE(Общий!B284,".",""),"-",""),8))))=7,CONCATENATE(IFERROR(VALUE(MID(TRIM(SUBSTITUTE(SUBSTITUTE(MID(Общий!B284,SEARCH("Karcher",Общий!B284,1),19),".",""),"-","")),SEARCH("Karcher",TRIM(SUBSTITUTE(SUBSTITUTE(MID(Общий!B284,SEARCH("Karcher",Общий!B284,1),19),".",""),"-","")),1)+8,8)),VALUE(LEFT(SUBSTITUTE(SUBSTITUTE(Общий!B284,".",""),"-",""),8))),"0"),IFERROR(VALUE(MID(TRIM(SUBSTITUTE(SUBSTITUTE(MID(Общий!B284,SEARCH("Karcher",Общий!B284,1),19),".",""),"-","")),SEARCH("Karcher",TRIM(SUBSTITUTE(SUBSTITUTE(MID(Общий!B284,SEARCH("Karcher",Общий!B284,1),19),".",""),"-","")),1)+8,8)),VALUE(LEFT(SUBSTITUTE(SUBSTITUTE(Общий!B284,".",""),"-",""),8))))),0)</f>
        <v>0</v>
      </c>
      <c r="B284" s="25">
        <f>IFERROR(CONCATENATE(VALUE(IF(LEN(IFERROR(VALUE(MID(TRIM(SUBSTITUTE(SUBSTITUTE(MID(Общий!B284,SEARCH("Karcher",Общий!B284,1),19),".",""),"-","")),SEARCH("Karcher",TRIM(SUBSTITUTE(SUBSTITUTE(MID(Общий!B284,SEARCH("Karcher",Общий!B284,1),19),".",""),"-","")),1)+8,8)),VALUE(LEFT(SUBSTITUTE(SUBSTITUTE(Общий!B284,".",""),"-",""),8))))=7,CONCATENATE(IFERROR(VALUE(MID(TRIM(SUBSTITUTE(SUBSTITUTE(MID(Общий!B284,SEARCH("Karcher",Общий!B284,1),19),".",""),"-","")),SEARCH("Karcher",TRIM(SUBSTITUTE(SUBSTITUTE(MID(Общий!B284,SEARCH("Karcher",Общий!B284,1),19),".",""),"-","")),1)+8,8)),VALUE(LEFT(SUBSTITUTE(SUBSTITUTE(Общий!B284,".",""),"-",""),8))),"0"),IFERROR(VALUE(MID(TRIM(SUBSTITUTE(SUBSTITUTE(MID(Общий!B284,SEARCH("Karcher",Общий!B284,1),19),".",""),"-","")),SEARCH("Karcher",TRIM(SUBSTITUTE(SUBSTITUTE(MID(Общий!B284,SEARCH("Karcher",Общий!B284,1),19),".",""),"-","")),1)+8,8)),VALUE(LEFT(SUBSTITUTE(SUBSTITUTE(Общий!B284,".",""),"-",""),8)))))," ",Общий!C284),0)</f>
        <v>0</v>
      </c>
      <c r="C284" s="29" t="str">
        <f>Общий!A284</f>
        <v>276</v>
      </c>
      <c r="D284" s="27">
        <f>Общий!B284</f>
        <v>0</v>
      </c>
      <c r="E284" s="28">
        <f>Общий!C284</f>
        <v>0</v>
      </c>
      <c r="F284" s="16"/>
      <c r="G284" s="44"/>
      <c r="H284" s="44"/>
      <c r="I284" s="44"/>
      <c r="J284" s="35"/>
      <c r="K284" s="16"/>
    </row>
    <row r="285" spans="1:11">
      <c r="A285" s="31">
        <f>IFERROR(VALUE(IF(LEN(IFERROR(VALUE(MID(TRIM(SUBSTITUTE(SUBSTITUTE(MID(Общий!B285,SEARCH("Karcher",Общий!B285,1),19),".",""),"-","")),SEARCH("Karcher",TRIM(SUBSTITUTE(SUBSTITUTE(MID(Общий!B285,SEARCH("Karcher",Общий!B285,1),19),".",""),"-","")),1)+8,8)),VALUE(LEFT(SUBSTITUTE(SUBSTITUTE(Общий!B285,".",""),"-",""),8))))=7,CONCATENATE(IFERROR(VALUE(MID(TRIM(SUBSTITUTE(SUBSTITUTE(MID(Общий!B285,SEARCH("Karcher",Общий!B285,1),19),".",""),"-","")),SEARCH("Karcher",TRIM(SUBSTITUTE(SUBSTITUTE(MID(Общий!B285,SEARCH("Karcher",Общий!B285,1),19),".",""),"-","")),1)+8,8)),VALUE(LEFT(SUBSTITUTE(SUBSTITUTE(Общий!B285,".",""),"-",""),8))),"0"),IFERROR(VALUE(MID(TRIM(SUBSTITUTE(SUBSTITUTE(MID(Общий!B285,SEARCH("Karcher",Общий!B285,1),19),".",""),"-","")),SEARCH("Karcher",TRIM(SUBSTITUTE(SUBSTITUTE(MID(Общий!B285,SEARCH("Karcher",Общий!B285,1),19),".",""),"-","")),1)+8,8)),VALUE(LEFT(SUBSTITUTE(SUBSTITUTE(Общий!B285,".",""),"-",""),8))))),0)</f>
        <v>0</v>
      </c>
      <c r="B285" s="25">
        <f>IFERROR(CONCATENATE(VALUE(IF(LEN(IFERROR(VALUE(MID(TRIM(SUBSTITUTE(SUBSTITUTE(MID(Общий!B285,SEARCH("Karcher",Общий!B285,1),19),".",""),"-","")),SEARCH("Karcher",TRIM(SUBSTITUTE(SUBSTITUTE(MID(Общий!B285,SEARCH("Karcher",Общий!B285,1),19),".",""),"-","")),1)+8,8)),VALUE(LEFT(SUBSTITUTE(SUBSTITUTE(Общий!B285,".",""),"-",""),8))))=7,CONCATENATE(IFERROR(VALUE(MID(TRIM(SUBSTITUTE(SUBSTITUTE(MID(Общий!B285,SEARCH("Karcher",Общий!B285,1),19),".",""),"-","")),SEARCH("Karcher",TRIM(SUBSTITUTE(SUBSTITUTE(MID(Общий!B285,SEARCH("Karcher",Общий!B285,1),19),".",""),"-","")),1)+8,8)),VALUE(LEFT(SUBSTITUTE(SUBSTITUTE(Общий!B285,".",""),"-",""),8))),"0"),IFERROR(VALUE(MID(TRIM(SUBSTITUTE(SUBSTITUTE(MID(Общий!B285,SEARCH("Karcher",Общий!B285,1),19),".",""),"-","")),SEARCH("Karcher",TRIM(SUBSTITUTE(SUBSTITUTE(MID(Общий!B285,SEARCH("Karcher",Общий!B285,1),19),".",""),"-","")),1)+8,8)),VALUE(LEFT(SUBSTITUTE(SUBSTITUTE(Общий!B285,".",""),"-",""),8)))))," ",Общий!C285),0)</f>
        <v>0</v>
      </c>
      <c r="C285" s="29" t="str">
        <f>Общий!A285</f>
        <v>277</v>
      </c>
      <c r="D285" s="27">
        <f>Общий!B285</f>
        <v>0</v>
      </c>
      <c r="E285" s="28">
        <f>Общий!C285</f>
        <v>0</v>
      </c>
      <c r="F285" s="16"/>
      <c r="G285" s="44"/>
      <c r="H285" s="44"/>
      <c r="I285" s="44"/>
      <c r="J285" s="35"/>
      <c r="K285" s="16"/>
    </row>
    <row r="286" spans="1:11">
      <c r="A286" s="31">
        <f>IFERROR(VALUE(IF(LEN(IFERROR(VALUE(MID(TRIM(SUBSTITUTE(SUBSTITUTE(MID(Общий!B286,SEARCH("Karcher",Общий!B286,1),19),".",""),"-","")),SEARCH("Karcher",TRIM(SUBSTITUTE(SUBSTITUTE(MID(Общий!B286,SEARCH("Karcher",Общий!B286,1),19),".",""),"-","")),1)+8,8)),VALUE(LEFT(SUBSTITUTE(SUBSTITUTE(Общий!B286,".",""),"-",""),8))))=7,CONCATENATE(IFERROR(VALUE(MID(TRIM(SUBSTITUTE(SUBSTITUTE(MID(Общий!B286,SEARCH("Karcher",Общий!B286,1),19),".",""),"-","")),SEARCH("Karcher",TRIM(SUBSTITUTE(SUBSTITUTE(MID(Общий!B286,SEARCH("Karcher",Общий!B286,1),19),".",""),"-","")),1)+8,8)),VALUE(LEFT(SUBSTITUTE(SUBSTITUTE(Общий!B286,".",""),"-",""),8))),"0"),IFERROR(VALUE(MID(TRIM(SUBSTITUTE(SUBSTITUTE(MID(Общий!B286,SEARCH("Karcher",Общий!B286,1),19),".",""),"-","")),SEARCH("Karcher",TRIM(SUBSTITUTE(SUBSTITUTE(MID(Общий!B286,SEARCH("Karcher",Общий!B286,1),19),".",""),"-","")),1)+8,8)),VALUE(LEFT(SUBSTITUTE(SUBSTITUTE(Общий!B286,".",""),"-",""),8))))),0)</f>
        <v>0</v>
      </c>
      <c r="B286" s="25">
        <f>IFERROR(CONCATENATE(VALUE(IF(LEN(IFERROR(VALUE(MID(TRIM(SUBSTITUTE(SUBSTITUTE(MID(Общий!B286,SEARCH("Karcher",Общий!B286,1),19),".",""),"-","")),SEARCH("Karcher",TRIM(SUBSTITUTE(SUBSTITUTE(MID(Общий!B286,SEARCH("Karcher",Общий!B286,1),19),".",""),"-","")),1)+8,8)),VALUE(LEFT(SUBSTITUTE(SUBSTITUTE(Общий!B286,".",""),"-",""),8))))=7,CONCATENATE(IFERROR(VALUE(MID(TRIM(SUBSTITUTE(SUBSTITUTE(MID(Общий!B286,SEARCH("Karcher",Общий!B286,1),19),".",""),"-","")),SEARCH("Karcher",TRIM(SUBSTITUTE(SUBSTITUTE(MID(Общий!B286,SEARCH("Karcher",Общий!B286,1),19),".",""),"-","")),1)+8,8)),VALUE(LEFT(SUBSTITUTE(SUBSTITUTE(Общий!B286,".",""),"-",""),8))),"0"),IFERROR(VALUE(MID(TRIM(SUBSTITUTE(SUBSTITUTE(MID(Общий!B286,SEARCH("Karcher",Общий!B286,1),19),".",""),"-","")),SEARCH("Karcher",TRIM(SUBSTITUTE(SUBSTITUTE(MID(Общий!B286,SEARCH("Karcher",Общий!B286,1),19),".",""),"-","")),1)+8,8)),VALUE(LEFT(SUBSTITUTE(SUBSTITUTE(Общий!B286,".",""),"-",""),8)))))," ",Общий!C286),0)</f>
        <v>0</v>
      </c>
      <c r="C286" s="29" t="str">
        <f>Общий!A286</f>
        <v>278</v>
      </c>
      <c r="D286" s="27">
        <f>Общий!B286</f>
        <v>0</v>
      </c>
      <c r="E286" s="28">
        <f>Общий!C286</f>
        <v>0</v>
      </c>
      <c r="F286" s="16"/>
      <c r="G286" s="44"/>
      <c r="H286" s="44"/>
      <c r="I286" s="44"/>
      <c r="J286" s="35"/>
      <c r="K286" s="16"/>
    </row>
    <row r="287" spans="1:11">
      <c r="A287" s="31">
        <f>IFERROR(VALUE(IF(LEN(IFERROR(VALUE(MID(TRIM(SUBSTITUTE(SUBSTITUTE(MID(Общий!B287,SEARCH("Karcher",Общий!B287,1),19),".",""),"-","")),SEARCH("Karcher",TRIM(SUBSTITUTE(SUBSTITUTE(MID(Общий!B287,SEARCH("Karcher",Общий!B287,1),19),".",""),"-","")),1)+8,8)),VALUE(LEFT(SUBSTITUTE(SUBSTITUTE(Общий!B287,".",""),"-",""),8))))=7,CONCATENATE(IFERROR(VALUE(MID(TRIM(SUBSTITUTE(SUBSTITUTE(MID(Общий!B287,SEARCH("Karcher",Общий!B287,1),19),".",""),"-","")),SEARCH("Karcher",TRIM(SUBSTITUTE(SUBSTITUTE(MID(Общий!B287,SEARCH("Karcher",Общий!B287,1),19),".",""),"-","")),1)+8,8)),VALUE(LEFT(SUBSTITUTE(SUBSTITUTE(Общий!B287,".",""),"-",""),8))),"0"),IFERROR(VALUE(MID(TRIM(SUBSTITUTE(SUBSTITUTE(MID(Общий!B287,SEARCH("Karcher",Общий!B287,1),19),".",""),"-","")),SEARCH("Karcher",TRIM(SUBSTITUTE(SUBSTITUTE(MID(Общий!B287,SEARCH("Karcher",Общий!B287,1),19),".",""),"-","")),1)+8,8)),VALUE(LEFT(SUBSTITUTE(SUBSTITUTE(Общий!B287,".",""),"-",""),8))))),0)</f>
        <v>0</v>
      </c>
      <c r="B287" s="25">
        <f>IFERROR(CONCATENATE(VALUE(IF(LEN(IFERROR(VALUE(MID(TRIM(SUBSTITUTE(SUBSTITUTE(MID(Общий!B287,SEARCH("Karcher",Общий!B287,1),19),".",""),"-","")),SEARCH("Karcher",TRIM(SUBSTITUTE(SUBSTITUTE(MID(Общий!B287,SEARCH("Karcher",Общий!B287,1),19),".",""),"-","")),1)+8,8)),VALUE(LEFT(SUBSTITUTE(SUBSTITUTE(Общий!B287,".",""),"-",""),8))))=7,CONCATENATE(IFERROR(VALUE(MID(TRIM(SUBSTITUTE(SUBSTITUTE(MID(Общий!B287,SEARCH("Karcher",Общий!B287,1),19),".",""),"-","")),SEARCH("Karcher",TRIM(SUBSTITUTE(SUBSTITUTE(MID(Общий!B287,SEARCH("Karcher",Общий!B287,1),19),".",""),"-","")),1)+8,8)),VALUE(LEFT(SUBSTITUTE(SUBSTITUTE(Общий!B287,".",""),"-",""),8))),"0"),IFERROR(VALUE(MID(TRIM(SUBSTITUTE(SUBSTITUTE(MID(Общий!B287,SEARCH("Karcher",Общий!B287,1),19),".",""),"-","")),SEARCH("Karcher",TRIM(SUBSTITUTE(SUBSTITUTE(MID(Общий!B287,SEARCH("Karcher",Общий!B287,1),19),".",""),"-","")),1)+8,8)),VALUE(LEFT(SUBSTITUTE(SUBSTITUTE(Общий!B287,".",""),"-",""),8)))))," ",Общий!C287),0)</f>
        <v>0</v>
      </c>
      <c r="C287" s="29" t="str">
        <f>Общий!A287</f>
        <v>279</v>
      </c>
      <c r="D287" s="27">
        <f>Общий!B287</f>
        <v>0</v>
      </c>
      <c r="E287" s="28">
        <f>Общий!C287</f>
        <v>0</v>
      </c>
      <c r="F287" s="16"/>
      <c r="G287" s="44"/>
      <c r="H287" s="44"/>
      <c r="I287" s="44"/>
      <c r="J287" s="35"/>
      <c r="K287" s="16"/>
    </row>
    <row r="288" spans="1:11">
      <c r="A288" s="31">
        <f>IFERROR(VALUE(IF(LEN(IFERROR(VALUE(MID(TRIM(SUBSTITUTE(SUBSTITUTE(MID(Общий!B288,SEARCH("Karcher",Общий!B288,1),19),".",""),"-","")),SEARCH("Karcher",TRIM(SUBSTITUTE(SUBSTITUTE(MID(Общий!B288,SEARCH("Karcher",Общий!B288,1),19),".",""),"-","")),1)+8,8)),VALUE(LEFT(SUBSTITUTE(SUBSTITUTE(Общий!B288,".",""),"-",""),8))))=7,CONCATENATE(IFERROR(VALUE(MID(TRIM(SUBSTITUTE(SUBSTITUTE(MID(Общий!B288,SEARCH("Karcher",Общий!B288,1),19),".",""),"-","")),SEARCH("Karcher",TRIM(SUBSTITUTE(SUBSTITUTE(MID(Общий!B288,SEARCH("Karcher",Общий!B288,1),19),".",""),"-","")),1)+8,8)),VALUE(LEFT(SUBSTITUTE(SUBSTITUTE(Общий!B288,".",""),"-",""),8))),"0"),IFERROR(VALUE(MID(TRIM(SUBSTITUTE(SUBSTITUTE(MID(Общий!B288,SEARCH("Karcher",Общий!B288,1),19),".",""),"-","")),SEARCH("Karcher",TRIM(SUBSTITUTE(SUBSTITUTE(MID(Общий!B288,SEARCH("Karcher",Общий!B288,1),19),".",""),"-","")),1)+8,8)),VALUE(LEFT(SUBSTITUTE(SUBSTITUTE(Общий!B288,".",""),"-",""),8))))),0)</f>
        <v>0</v>
      </c>
      <c r="B288" s="25">
        <f>IFERROR(CONCATENATE(VALUE(IF(LEN(IFERROR(VALUE(MID(TRIM(SUBSTITUTE(SUBSTITUTE(MID(Общий!B288,SEARCH("Karcher",Общий!B288,1),19),".",""),"-","")),SEARCH("Karcher",TRIM(SUBSTITUTE(SUBSTITUTE(MID(Общий!B288,SEARCH("Karcher",Общий!B288,1),19),".",""),"-","")),1)+8,8)),VALUE(LEFT(SUBSTITUTE(SUBSTITUTE(Общий!B288,".",""),"-",""),8))))=7,CONCATENATE(IFERROR(VALUE(MID(TRIM(SUBSTITUTE(SUBSTITUTE(MID(Общий!B288,SEARCH("Karcher",Общий!B288,1),19),".",""),"-","")),SEARCH("Karcher",TRIM(SUBSTITUTE(SUBSTITUTE(MID(Общий!B288,SEARCH("Karcher",Общий!B288,1),19),".",""),"-","")),1)+8,8)),VALUE(LEFT(SUBSTITUTE(SUBSTITUTE(Общий!B288,".",""),"-",""),8))),"0"),IFERROR(VALUE(MID(TRIM(SUBSTITUTE(SUBSTITUTE(MID(Общий!B288,SEARCH("Karcher",Общий!B288,1),19),".",""),"-","")),SEARCH("Karcher",TRIM(SUBSTITUTE(SUBSTITUTE(MID(Общий!B288,SEARCH("Karcher",Общий!B288,1),19),".",""),"-","")),1)+8,8)),VALUE(LEFT(SUBSTITUTE(SUBSTITUTE(Общий!B288,".",""),"-",""),8)))))," ",Общий!C288),0)</f>
        <v>0</v>
      </c>
      <c r="C288" s="29" t="str">
        <f>Общий!A288</f>
        <v>280</v>
      </c>
      <c r="D288" s="27">
        <f>Общий!B288</f>
        <v>0</v>
      </c>
      <c r="E288" s="28">
        <f>Общий!C288</f>
        <v>0</v>
      </c>
      <c r="F288" s="16"/>
      <c r="G288" s="44"/>
      <c r="H288" s="44"/>
      <c r="I288" s="44"/>
      <c r="J288" s="35"/>
      <c r="K288" s="16"/>
    </row>
    <row r="289" spans="1:11">
      <c r="A289" s="31">
        <f>IFERROR(VALUE(IF(LEN(IFERROR(VALUE(MID(TRIM(SUBSTITUTE(SUBSTITUTE(MID(Общий!B289,SEARCH("Karcher",Общий!B289,1),19),".",""),"-","")),SEARCH("Karcher",TRIM(SUBSTITUTE(SUBSTITUTE(MID(Общий!B289,SEARCH("Karcher",Общий!B289,1),19),".",""),"-","")),1)+8,8)),VALUE(LEFT(SUBSTITUTE(SUBSTITUTE(Общий!B289,".",""),"-",""),8))))=7,CONCATENATE(IFERROR(VALUE(MID(TRIM(SUBSTITUTE(SUBSTITUTE(MID(Общий!B289,SEARCH("Karcher",Общий!B289,1),19),".",""),"-","")),SEARCH("Karcher",TRIM(SUBSTITUTE(SUBSTITUTE(MID(Общий!B289,SEARCH("Karcher",Общий!B289,1),19),".",""),"-","")),1)+8,8)),VALUE(LEFT(SUBSTITUTE(SUBSTITUTE(Общий!B289,".",""),"-",""),8))),"0"),IFERROR(VALUE(MID(TRIM(SUBSTITUTE(SUBSTITUTE(MID(Общий!B289,SEARCH("Karcher",Общий!B289,1),19),".",""),"-","")),SEARCH("Karcher",TRIM(SUBSTITUTE(SUBSTITUTE(MID(Общий!B289,SEARCH("Karcher",Общий!B289,1),19),".",""),"-","")),1)+8,8)),VALUE(LEFT(SUBSTITUTE(SUBSTITUTE(Общий!B289,".",""),"-",""),8))))),0)</f>
        <v>0</v>
      </c>
      <c r="B289" s="25">
        <f>IFERROR(CONCATENATE(VALUE(IF(LEN(IFERROR(VALUE(MID(TRIM(SUBSTITUTE(SUBSTITUTE(MID(Общий!B289,SEARCH("Karcher",Общий!B289,1),19),".",""),"-","")),SEARCH("Karcher",TRIM(SUBSTITUTE(SUBSTITUTE(MID(Общий!B289,SEARCH("Karcher",Общий!B289,1),19),".",""),"-","")),1)+8,8)),VALUE(LEFT(SUBSTITUTE(SUBSTITUTE(Общий!B289,".",""),"-",""),8))))=7,CONCATENATE(IFERROR(VALUE(MID(TRIM(SUBSTITUTE(SUBSTITUTE(MID(Общий!B289,SEARCH("Karcher",Общий!B289,1),19),".",""),"-","")),SEARCH("Karcher",TRIM(SUBSTITUTE(SUBSTITUTE(MID(Общий!B289,SEARCH("Karcher",Общий!B289,1),19),".",""),"-","")),1)+8,8)),VALUE(LEFT(SUBSTITUTE(SUBSTITUTE(Общий!B289,".",""),"-",""),8))),"0"),IFERROR(VALUE(MID(TRIM(SUBSTITUTE(SUBSTITUTE(MID(Общий!B289,SEARCH("Karcher",Общий!B289,1),19),".",""),"-","")),SEARCH("Karcher",TRIM(SUBSTITUTE(SUBSTITUTE(MID(Общий!B289,SEARCH("Karcher",Общий!B289,1),19),".",""),"-","")),1)+8,8)),VALUE(LEFT(SUBSTITUTE(SUBSTITUTE(Общий!B289,".",""),"-",""),8)))))," ",Общий!C289),0)</f>
        <v>0</v>
      </c>
      <c r="C289" s="29" t="str">
        <f>Общий!A289</f>
        <v>281</v>
      </c>
      <c r="D289" s="27">
        <f>Общий!B289</f>
        <v>0</v>
      </c>
      <c r="E289" s="28">
        <f>Общий!C289</f>
        <v>0</v>
      </c>
      <c r="F289" s="16"/>
      <c r="G289" s="44"/>
      <c r="H289" s="44"/>
      <c r="I289" s="44"/>
      <c r="J289" s="35"/>
      <c r="K289" s="16"/>
    </row>
    <row r="290" spans="1:11">
      <c r="A290" s="31">
        <f>IFERROR(VALUE(IF(LEN(IFERROR(VALUE(MID(TRIM(SUBSTITUTE(SUBSTITUTE(MID(Общий!B290,SEARCH("Karcher",Общий!B290,1),19),".",""),"-","")),SEARCH("Karcher",TRIM(SUBSTITUTE(SUBSTITUTE(MID(Общий!B290,SEARCH("Karcher",Общий!B290,1),19),".",""),"-","")),1)+8,8)),VALUE(LEFT(SUBSTITUTE(SUBSTITUTE(Общий!B290,".",""),"-",""),8))))=7,CONCATENATE(IFERROR(VALUE(MID(TRIM(SUBSTITUTE(SUBSTITUTE(MID(Общий!B290,SEARCH("Karcher",Общий!B290,1),19),".",""),"-","")),SEARCH("Karcher",TRIM(SUBSTITUTE(SUBSTITUTE(MID(Общий!B290,SEARCH("Karcher",Общий!B290,1),19),".",""),"-","")),1)+8,8)),VALUE(LEFT(SUBSTITUTE(SUBSTITUTE(Общий!B290,".",""),"-",""),8))),"0"),IFERROR(VALUE(MID(TRIM(SUBSTITUTE(SUBSTITUTE(MID(Общий!B290,SEARCH("Karcher",Общий!B290,1),19),".",""),"-","")),SEARCH("Karcher",TRIM(SUBSTITUTE(SUBSTITUTE(MID(Общий!B290,SEARCH("Karcher",Общий!B290,1),19),".",""),"-","")),1)+8,8)),VALUE(LEFT(SUBSTITUTE(SUBSTITUTE(Общий!B290,".",""),"-",""),8))))),0)</f>
        <v>0</v>
      </c>
      <c r="B290" s="25">
        <f>IFERROR(CONCATENATE(VALUE(IF(LEN(IFERROR(VALUE(MID(TRIM(SUBSTITUTE(SUBSTITUTE(MID(Общий!B290,SEARCH("Karcher",Общий!B290,1),19),".",""),"-","")),SEARCH("Karcher",TRIM(SUBSTITUTE(SUBSTITUTE(MID(Общий!B290,SEARCH("Karcher",Общий!B290,1),19),".",""),"-","")),1)+8,8)),VALUE(LEFT(SUBSTITUTE(SUBSTITUTE(Общий!B290,".",""),"-",""),8))))=7,CONCATENATE(IFERROR(VALUE(MID(TRIM(SUBSTITUTE(SUBSTITUTE(MID(Общий!B290,SEARCH("Karcher",Общий!B290,1),19),".",""),"-","")),SEARCH("Karcher",TRIM(SUBSTITUTE(SUBSTITUTE(MID(Общий!B290,SEARCH("Karcher",Общий!B290,1),19),".",""),"-","")),1)+8,8)),VALUE(LEFT(SUBSTITUTE(SUBSTITUTE(Общий!B290,".",""),"-",""),8))),"0"),IFERROR(VALUE(MID(TRIM(SUBSTITUTE(SUBSTITUTE(MID(Общий!B290,SEARCH("Karcher",Общий!B290,1),19),".",""),"-","")),SEARCH("Karcher",TRIM(SUBSTITUTE(SUBSTITUTE(MID(Общий!B290,SEARCH("Karcher",Общий!B290,1),19),".",""),"-","")),1)+8,8)),VALUE(LEFT(SUBSTITUTE(SUBSTITUTE(Общий!B290,".",""),"-",""),8)))))," ",Общий!C290),0)</f>
        <v>0</v>
      </c>
      <c r="C290" s="29" t="str">
        <f>Общий!A290</f>
        <v>282</v>
      </c>
      <c r="D290" s="27">
        <f>Общий!B290</f>
        <v>0</v>
      </c>
      <c r="E290" s="28">
        <f>Общий!C290</f>
        <v>0</v>
      </c>
      <c r="F290" s="16"/>
      <c r="G290" s="44"/>
      <c r="H290" s="44"/>
      <c r="I290" s="44"/>
      <c r="J290" s="35"/>
      <c r="K290" s="16"/>
    </row>
    <row r="291" spans="1:11">
      <c r="A291" s="31">
        <f>IFERROR(VALUE(IF(LEN(IFERROR(VALUE(MID(TRIM(SUBSTITUTE(SUBSTITUTE(MID(Общий!B291,SEARCH("Karcher",Общий!B291,1),19),".",""),"-","")),SEARCH("Karcher",TRIM(SUBSTITUTE(SUBSTITUTE(MID(Общий!B291,SEARCH("Karcher",Общий!B291,1),19),".",""),"-","")),1)+8,8)),VALUE(LEFT(SUBSTITUTE(SUBSTITUTE(Общий!B291,".",""),"-",""),8))))=7,CONCATENATE(IFERROR(VALUE(MID(TRIM(SUBSTITUTE(SUBSTITUTE(MID(Общий!B291,SEARCH("Karcher",Общий!B291,1),19),".",""),"-","")),SEARCH("Karcher",TRIM(SUBSTITUTE(SUBSTITUTE(MID(Общий!B291,SEARCH("Karcher",Общий!B291,1),19),".",""),"-","")),1)+8,8)),VALUE(LEFT(SUBSTITUTE(SUBSTITUTE(Общий!B291,".",""),"-",""),8))),"0"),IFERROR(VALUE(MID(TRIM(SUBSTITUTE(SUBSTITUTE(MID(Общий!B291,SEARCH("Karcher",Общий!B291,1),19),".",""),"-","")),SEARCH("Karcher",TRIM(SUBSTITUTE(SUBSTITUTE(MID(Общий!B291,SEARCH("Karcher",Общий!B291,1),19),".",""),"-","")),1)+8,8)),VALUE(LEFT(SUBSTITUTE(SUBSTITUTE(Общий!B291,".",""),"-",""),8))))),0)</f>
        <v>0</v>
      </c>
      <c r="B291" s="25">
        <f>IFERROR(CONCATENATE(VALUE(IF(LEN(IFERROR(VALUE(MID(TRIM(SUBSTITUTE(SUBSTITUTE(MID(Общий!B291,SEARCH("Karcher",Общий!B291,1),19),".",""),"-","")),SEARCH("Karcher",TRIM(SUBSTITUTE(SUBSTITUTE(MID(Общий!B291,SEARCH("Karcher",Общий!B291,1),19),".",""),"-","")),1)+8,8)),VALUE(LEFT(SUBSTITUTE(SUBSTITUTE(Общий!B291,".",""),"-",""),8))))=7,CONCATENATE(IFERROR(VALUE(MID(TRIM(SUBSTITUTE(SUBSTITUTE(MID(Общий!B291,SEARCH("Karcher",Общий!B291,1),19),".",""),"-","")),SEARCH("Karcher",TRIM(SUBSTITUTE(SUBSTITUTE(MID(Общий!B291,SEARCH("Karcher",Общий!B291,1),19),".",""),"-","")),1)+8,8)),VALUE(LEFT(SUBSTITUTE(SUBSTITUTE(Общий!B291,".",""),"-",""),8))),"0"),IFERROR(VALUE(MID(TRIM(SUBSTITUTE(SUBSTITUTE(MID(Общий!B291,SEARCH("Karcher",Общий!B291,1),19),".",""),"-","")),SEARCH("Karcher",TRIM(SUBSTITUTE(SUBSTITUTE(MID(Общий!B291,SEARCH("Karcher",Общий!B291,1),19),".",""),"-","")),1)+8,8)),VALUE(LEFT(SUBSTITUTE(SUBSTITUTE(Общий!B291,".",""),"-",""),8)))))," ",Общий!C291),0)</f>
        <v>0</v>
      </c>
      <c r="C291" s="29" t="str">
        <f>Общий!A291</f>
        <v>283</v>
      </c>
      <c r="D291" s="27">
        <f>Общий!B291</f>
        <v>0</v>
      </c>
      <c r="E291" s="28">
        <f>Общий!C291</f>
        <v>0</v>
      </c>
      <c r="F291" s="16"/>
      <c r="G291" s="44"/>
      <c r="H291" s="44"/>
      <c r="I291" s="44"/>
      <c r="J291" s="35"/>
      <c r="K291" s="16"/>
    </row>
    <row r="292" spans="1:11">
      <c r="A292" s="31">
        <f>IFERROR(VALUE(IF(LEN(IFERROR(VALUE(MID(TRIM(SUBSTITUTE(SUBSTITUTE(MID(Общий!B292,SEARCH("Karcher",Общий!B292,1),19),".",""),"-","")),SEARCH("Karcher",TRIM(SUBSTITUTE(SUBSTITUTE(MID(Общий!B292,SEARCH("Karcher",Общий!B292,1),19),".",""),"-","")),1)+8,8)),VALUE(LEFT(SUBSTITUTE(SUBSTITUTE(Общий!B292,".",""),"-",""),8))))=7,CONCATENATE(IFERROR(VALUE(MID(TRIM(SUBSTITUTE(SUBSTITUTE(MID(Общий!B292,SEARCH("Karcher",Общий!B292,1),19),".",""),"-","")),SEARCH("Karcher",TRIM(SUBSTITUTE(SUBSTITUTE(MID(Общий!B292,SEARCH("Karcher",Общий!B292,1),19),".",""),"-","")),1)+8,8)),VALUE(LEFT(SUBSTITUTE(SUBSTITUTE(Общий!B292,".",""),"-",""),8))),"0"),IFERROR(VALUE(MID(TRIM(SUBSTITUTE(SUBSTITUTE(MID(Общий!B292,SEARCH("Karcher",Общий!B292,1),19),".",""),"-","")),SEARCH("Karcher",TRIM(SUBSTITUTE(SUBSTITUTE(MID(Общий!B292,SEARCH("Karcher",Общий!B292,1),19),".",""),"-","")),1)+8,8)),VALUE(LEFT(SUBSTITUTE(SUBSTITUTE(Общий!B292,".",""),"-",""),8))))),0)</f>
        <v>0</v>
      </c>
      <c r="B292" s="25">
        <f>IFERROR(CONCATENATE(VALUE(IF(LEN(IFERROR(VALUE(MID(TRIM(SUBSTITUTE(SUBSTITUTE(MID(Общий!B292,SEARCH("Karcher",Общий!B292,1),19),".",""),"-","")),SEARCH("Karcher",TRIM(SUBSTITUTE(SUBSTITUTE(MID(Общий!B292,SEARCH("Karcher",Общий!B292,1),19),".",""),"-","")),1)+8,8)),VALUE(LEFT(SUBSTITUTE(SUBSTITUTE(Общий!B292,".",""),"-",""),8))))=7,CONCATENATE(IFERROR(VALUE(MID(TRIM(SUBSTITUTE(SUBSTITUTE(MID(Общий!B292,SEARCH("Karcher",Общий!B292,1),19),".",""),"-","")),SEARCH("Karcher",TRIM(SUBSTITUTE(SUBSTITUTE(MID(Общий!B292,SEARCH("Karcher",Общий!B292,1),19),".",""),"-","")),1)+8,8)),VALUE(LEFT(SUBSTITUTE(SUBSTITUTE(Общий!B292,".",""),"-",""),8))),"0"),IFERROR(VALUE(MID(TRIM(SUBSTITUTE(SUBSTITUTE(MID(Общий!B292,SEARCH("Karcher",Общий!B292,1),19),".",""),"-","")),SEARCH("Karcher",TRIM(SUBSTITUTE(SUBSTITUTE(MID(Общий!B292,SEARCH("Karcher",Общий!B292,1),19),".",""),"-","")),1)+8,8)),VALUE(LEFT(SUBSTITUTE(SUBSTITUTE(Общий!B292,".",""),"-",""),8)))))," ",Общий!C292),0)</f>
        <v>0</v>
      </c>
      <c r="C292" s="29" t="str">
        <f>Общий!A292</f>
        <v>284</v>
      </c>
      <c r="D292" s="27">
        <f>Общий!B292</f>
        <v>0</v>
      </c>
      <c r="E292" s="28">
        <f>Общий!C292</f>
        <v>0</v>
      </c>
      <c r="F292" s="16"/>
      <c r="G292" s="44"/>
      <c r="H292" s="44"/>
      <c r="I292" s="44"/>
      <c r="J292" s="35"/>
      <c r="K292" s="16"/>
    </row>
    <row r="293" spans="1:11">
      <c r="A293" s="31">
        <f>IFERROR(VALUE(IF(LEN(IFERROR(VALUE(MID(TRIM(SUBSTITUTE(SUBSTITUTE(MID(Общий!B293,SEARCH("Karcher",Общий!B293,1),19),".",""),"-","")),SEARCH("Karcher",TRIM(SUBSTITUTE(SUBSTITUTE(MID(Общий!B293,SEARCH("Karcher",Общий!B293,1),19),".",""),"-","")),1)+8,8)),VALUE(LEFT(SUBSTITUTE(SUBSTITUTE(Общий!B293,".",""),"-",""),8))))=7,CONCATENATE(IFERROR(VALUE(MID(TRIM(SUBSTITUTE(SUBSTITUTE(MID(Общий!B293,SEARCH("Karcher",Общий!B293,1),19),".",""),"-","")),SEARCH("Karcher",TRIM(SUBSTITUTE(SUBSTITUTE(MID(Общий!B293,SEARCH("Karcher",Общий!B293,1),19),".",""),"-","")),1)+8,8)),VALUE(LEFT(SUBSTITUTE(SUBSTITUTE(Общий!B293,".",""),"-",""),8))),"0"),IFERROR(VALUE(MID(TRIM(SUBSTITUTE(SUBSTITUTE(MID(Общий!B293,SEARCH("Karcher",Общий!B293,1),19),".",""),"-","")),SEARCH("Karcher",TRIM(SUBSTITUTE(SUBSTITUTE(MID(Общий!B293,SEARCH("Karcher",Общий!B293,1),19),".",""),"-","")),1)+8,8)),VALUE(LEFT(SUBSTITUTE(SUBSTITUTE(Общий!B293,".",""),"-",""),8))))),0)</f>
        <v>0</v>
      </c>
      <c r="B293" s="25">
        <f>IFERROR(CONCATENATE(VALUE(IF(LEN(IFERROR(VALUE(MID(TRIM(SUBSTITUTE(SUBSTITUTE(MID(Общий!B293,SEARCH("Karcher",Общий!B293,1),19),".",""),"-","")),SEARCH("Karcher",TRIM(SUBSTITUTE(SUBSTITUTE(MID(Общий!B293,SEARCH("Karcher",Общий!B293,1),19),".",""),"-","")),1)+8,8)),VALUE(LEFT(SUBSTITUTE(SUBSTITUTE(Общий!B293,".",""),"-",""),8))))=7,CONCATENATE(IFERROR(VALUE(MID(TRIM(SUBSTITUTE(SUBSTITUTE(MID(Общий!B293,SEARCH("Karcher",Общий!B293,1),19),".",""),"-","")),SEARCH("Karcher",TRIM(SUBSTITUTE(SUBSTITUTE(MID(Общий!B293,SEARCH("Karcher",Общий!B293,1),19),".",""),"-","")),1)+8,8)),VALUE(LEFT(SUBSTITUTE(SUBSTITUTE(Общий!B293,".",""),"-",""),8))),"0"),IFERROR(VALUE(MID(TRIM(SUBSTITUTE(SUBSTITUTE(MID(Общий!B293,SEARCH("Karcher",Общий!B293,1),19),".",""),"-","")),SEARCH("Karcher",TRIM(SUBSTITUTE(SUBSTITUTE(MID(Общий!B293,SEARCH("Karcher",Общий!B293,1),19),".",""),"-","")),1)+8,8)),VALUE(LEFT(SUBSTITUTE(SUBSTITUTE(Общий!B293,".",""),"-",""),8)))))," ",Общий!C293),0)</f>
        <v>0</v>
      </c>
      <c r="C293" s="29" t="str">
        <f>Общий!A293</f>
        <v>285</v>
      </c>
      <c r="D293" s="27">
        <f>Общий!B293</f>
        <v>0</v>
      </c>
      <c r="E293" s="28">
        <f>Общий!C293</f>
        <v>0</v>
      </c>
      <c r="F293" s="16"/>
      <c r="G293" s="44"/>
      <c r="H293" s="44"/>
      <c r="I293" s="44"/>
      <c r="J293" s="35"/>
      <c r="K293" s="16"/>
    </row>
    <row r="294" spans="1:11">
      <c r="A294" s="31">
        <f>IFERROR(VALUE(IF(LEN(IFERROR(VALUE(MID(TRIM(SUBSTITUTE(SUBSTITUTE(MID(Общий!B294,SEARCH("Karcher",Общий!B294,1),19),".",""),"-","")),SEARCH("Karcher",TRIM(SUBSTITUTE(SUBSTITUTE(MID(Общий!B294,SEARCH("Karcher",Общий!B294,1),19),".",""),"-","")),1)+8,8)),VALUE(LEFT(SUBSTITUTE(SUBSTITUTE(Общий!B294,".",""),"-",""),8))))=7,CONCATENATE(IFERROR(VALUE(MID(TRIM(SUBSTITUTE(SUBSTITUTE(MID(Общий!B294,SEARCH("Karcher",Общий!B294,1),19),".",""),"-","")),SEARCH("Karcher",TRIM(SUBSTITUTE(SUBSTITUTE(MID(Общий!B294,SEARCH("Karcher",Общий!B294,1),19),".",""),"-","")),1)+8,8)),VALUE(LEFT(SUBSTITUTE(SUBSTITUTE(Общий!B294,".",""),"-",""),8))),"0"),IFERROR(VALUE(MID(TRIM(SUBSTITUTE(SUBSTITUTE(MID(Общий!B294,SEARCH("Karcher",Общий!B294,1),19),".",""),"-","")),SEARCH("Karcher",TRIM(SUBSTITUTE(SUBSTITUTE(MID(Общий!B294,SEARCH("Karcher",Общий!B294,1),19),".",""),"-","")),1)+8,8)),VALUE(LEFT(SUBSTITUTE(SUBSTITUTE(Общий!B294,".",""),"-",""),8))))),0)</f>
        <v>0</v>
      </c>
      <c r="B294" s="25">
        <f>IFERROR(CONCATENATE(VALUE(IF(LEN(IFERROR(VALUE(MID(TRIM(SUBSTITUTE(SUBSTITUTE(MID(Общий!B294,SEARCH("Karcher",Общий!B294,1),19),".",""),"-","")),SEARCH("Karcher",TRIM(SUBSTITUTE(SUBSTITUTE(MID(Общий!B294,SEARCH("Karcher",Общий!B294,1),19),".",""),"-","")),1)+8,8)),VALUE(LEFT(SUBSTITUTE(SUBSTITUTE(Общий!B294,".",""),"-",""),8))))=7,CONCATENATE(IFERROR(VALUE(MID(TRIM(SUBSTITUTE(SUBSTITUTE(MID(Общий!B294,SEARCH("Karcher",Общий!B294,1),19),".",""),"-","")),SEARCH("Karcher",TRIM(SUBSTITUTE(SUBSTITUTE(MID(Общий!B294,SEARCH("Karcher",Общий!B294,1),19),".",""),"-","")),1)+8,8)),VALUE(LEFT(SUBSTITUTE(SUBSTITUTE(Общий!B294,".",""),"-",""),8))),"0"),IFERROR(VALUE(MID(TRIM(SUBSTITUTE(SUBSTITUTE(MID(Общий!B294,SEARCH("Karcher",Общий!B294,1),19),".",""),"-","")),SEARCH("Karcher",TRIM(SUBSTITUTE(SUBSTITUTE(MID(Общий!B294,SEARCH("Karcher",Общий!B294,1),19),".",""),"-","")),1)+8,8)),VALUE(LEFT(SUBSTITUTE(SUBSTITUTE(Общий!B294,".",""),"-",""),8)))))," ",Общий!C294),0)</f>
        <v>0</v>
      </c>
      <c r="C294" s="29" t="str">
        <f>Общий!A294</f>
        <v>286</v>
      </c>
      <c r="D294" s="27">
        <f>Общий!B294</f>
        <v>0</v>
      </c>
      <c r="E294" s="28">
        <f>Общий!C294</f>
        <v>0</v>
      </c>
      <c r="F294" s="16"/>
      <c r="G294" s="44"/>
      <c r="H294" s="44"/>
      <c r="I294" s="44"/>
      <c r="J294" s="35"/>
      <c r="K294" s="16"/>
    </row>
    <row r="295" spans="1:11">
      <c r="A295" s="31">
        <f>IFERROR(VALUE(IF(LEN(IFERROR(VALUE(MID(TRIM(SUBSTITUTE(SUBSTITUTE(MID(Общий!B295,SEARCH("Karcher",Общий!B295,1),19),".",""),"-","")),SEARCH("Karcher",TRIM(SUBSTITUTE(SUBSTITUTE(MID(Общий!B295,SEARCH("Karcher",Общий!B295,1),19),".",""),"-","")),1)+8,8)),VALUE(LEFT(SUBSTITUTE(SUBSTITUTE(Общий!B295,".",""),"-",""),8))))=7,CONCATENATE(IFERROR(VALUE(MID(TRIM(SUBSTITUTE(SUBSTITUTE(MID(Общий!B295,SEARCH("Karcher",Общий!B295,1),19),".",""),"-","")),SEARCH("Karcher",TRIM(SUBSTITUTE(SUBSTITUTE(MID(Общий!B295,SEARCH("Karcher",Общий!B295,1),19),".",""),"-","")),1)+8,8)),VALUE(LEFT(SUBSTITUTE(SUBSTITUTE(Общий!B295,".",""),"-",""),8))),"0"),IFERROR(VALUE(MID(TRIM(SUBSTITUTE(SUBSTITUTE(MID(Общий!B295,SEARCH("Karcher",Общий!B295,1),19),".",""),"-","")),SEARCH("Karcher",TRIM(SUBSTITUTE(SUBSTITUTE(MID(Общий!B295,SEARCH("Karcher",Общий!B295,1),19),".",""),"-","")),1)+8,8)),VALUE(LEFT(SUBSTITUTE(SUBSTITUTE(Общий!B295,".",""),"-",""),8))))),0)</f>
        <v>0</v>
      </c>
      <c r="B295" s="25">
        <f>IFERROR(CONCATENATE(VALUE(IF(LEN(IFERROR(VALUE(MID(TRIM(SUBSTITUTE(SUBSTITUTE(MID(Общий!B295,SEARCH("Karcher",Общий!B295,1),19),".",""),"-","")),SEARCH("Karcher",TRIM(SUBSTITUTE(SUBSTITUTE(MID(Общий!B295,SEARCH("Karcher",Общий!B295,1),19),".",""),"-","")),1)+8,8)),VALUE(LEFT(SUBSTITUTE(SUBSTITUTE(Общий!B295,".",""),"-",""),8))))=7,CONCATENATE(IFERROR(VALUE(MID(TRIM(SUBSTITUTE(SUBSTITUTE(MID(Общий!B295,SEARCH("Karcher",Общий!B295,1),19),".",""),"-","")),SEARCH("Karcher",TRIM(SUBSTITUTE(SUBSTITUTE(MID(Общий!B295,SEARCH("Karcher",Общий!B295,1),19),".",""),"-","")),1)+8,8)),VALUE(LEFT(SUBSTITUTE(SUBSTITUTE(Общий!B295,".",""),"-",""),8))),"0"),IFERROR(VALUE(MID(TRIM(SUBSTITUTE(SUBSTITUTE(MID(Общий!B295,SEARCH("Karcher",Общий!B295,1),19),".",""),"-","")),SEARCH("Karcher",TRIM(SUBSTITUTE(SUBSTITUTE(MID(Общий!B295,SEARCH("Karcher",Общий!B295,1),19),".",""),"-","")),1)+8,8)),VALUE(LEFT(SUBSTITUTE(SUBSTITUTE(Общий!B295,".",""),"-",""),8)))))," ",Общий!C295),0)</f>
        <v>0</v>
      </c>
      <c r="C295" s="29" t="str">
        <f>Общий!A295</f>
        <v>287</v>
      </c>
      <c r="D295" s="27">
        <f>Общий!B295</f>
        <v>0</v>
      </c>
      <c r="E295" s="28">
        <f>Общий!C295</f>
        <v>0</v>
      </c>
      <c r="F295" s="16"/>
      <c r="G295" s="44"/>
      <c r="H295" s="44"/>
      <c r="I295" s="44"/>
      <c r="J295" s="35"/>
      <c r="K295" s="16"/>
    </row>
    <row r="296" spans="1:11">
      <c r="A296" s="31">
        <f>IFERROR(VALUE(IF(LEN(IFERROR(VALUE(MID(TRIM(SUBSTITUTE(SUBSTITUTE(MID(Общий!B296,SEARCH("Karcher",Общий!B296,1),19),".",""),"-","")),SEARCH("Karcher",TRIM(SUBSTITUTE(SUBSTITUTE(MID(Общий!B296,SEARCH("Karcher",Общий!B296,1),19),".",""),"-","")),1)+8,8)),VALUE(LEFT(SUBSTITUTE(SUBSTITUTE(Общий!B296,".",""),"-",""),8))))=7,CONCATENATE(IFERROR(VALUE(MID(TRIM(SUBSTITUTE(SUBSTITUTE(MID(Общий!B296,SEARCH("Karcher",Общий!B296,1),19),".",""),"-","")),SEARCH("Karcher",TRIM(SUBSTITUTE(SUBSTITUTE(MID(Общий!B296,SEARCH("Karcher",Общий!B296,1),19),".",""),"-","")),1)+8,8)),VALUE(LEFT(SUBSTITUTE(SUBSTITUTE(Общий!B296,".",""),"-",""),8))),"0"),IFERROR(VALUE(MID(TRIM(SUBSTITUTE(SUBSTITUTE(MID(Общий!B296,SEARCH("Karcher",Общий!B296,1),19),".",""),"-","")),SEARCH("Karcher",TRIM(SUBSTITUTE(SUBSTITUTE(MID(Общий!B296,SEARCH("Karcher",Общий!B296,1),19),".",""),"-","")),1)+8,8)),VALUE(LEFT(SUBSTITUTE(SUBSTITUTE(Общий!B296,".",""),"-",""),8))))),0)</f>
        <v>0</v>
      </c>
      <c r="B296" s="25">
        <f>IFERROR(CONCATENATE(VALUE(IF(LEN(IFERROR(VALUE(MID(TRIM(SUBSTITUTE(SUBSTITUTE(MID(Общий!B296,SEARCH("Karcher",Общий!B296,1),19),".",""),"-","")),SEARCH("Karcher",TRIM(SUBSTITUTE(SUBSTITUTE(MID(Общий!B296,SEARCH("Karcher",Общий!B296,1),19),".",""),"-","")),1)+8,8)),VALUE(LEFT(SUBSTITUTE(SUBSTITUTE(Общий!B296,".",""),"-",""),8))))=7,CONCATENATE(IFERROR(VALUE(MID(TRIM(SUBSTITUTE(SUBSTITUTE(MID(Общий!B296,SEARCH("Karcher",Общий!B296,1),19),".",""),"-","")),SEARCH("Karcher",TRIM(SUBSTITUTE(SUBSTITUTE(MID(Общий!B296,SEARCH("Karcher",Общий!B296,1),19),".",""),"-","")),1)+8,8)),VALUE(LEFT(SUBSTITUTE(SUBSTITUTE(Общий!B296,".",""),"-",""),8))),"0"),IFERROR(VALUE(MID(TRIM(SUBSTITUTE(SUBSTITUTE(MID(Общий!B296,SEARCH("Karcher",Общий!B296,1),19),".",""),"-","")),SEARCH("Karcher",TRIM(SUBSTITUTE(SUBSTITUTE(MID(Общий!B296,SEARCH("Karcher",Общий!B296,1),19),".",""),"-","")),1)+8,8)),VALUE(LEFT(SUBSTITUTE(SUBSTITUTE(Общий!B296,".",""),"-",""),8)))))," ",Общий!C296),0)</f>
        <v>0</v>
      </c>
      <c r="C296" s="29" t="str">
        <f>Общий!A296</f>
        <v>288</v>
      </c>
      <c r="D296" s="27">
        <f>Общий!B296</f>
        <v>0</v>
      </c>
      <c r="E296" s="28">
        <f>Общий!C296</f>
        <v>0</v>
      </c>
      <c r="F296" s="16"/>
      <c r="G296" s="44"/>
      <c r="H296" s="44"/>
      <c r="I296" s="44"/>
      <c r="J296" s="35"/>
      <c r="K296" s="16"/>
    </row>
    <row r="297" spans="1:11">
      <c r="A297" s="31">
        <f>IFERROR(VALUE(IF(LEN(IFERROR(VALUE(MID(TRIM(SUBSTITUTE(SUBSTITUTE(MID(Общий!B297,SEARCH("Karcher",Общий!B297,1),19),".",""),"-","")),SEARCH("Karcher",TRIM(SUBSTITUTE(SUBSTITUTE(MID(Общий!B297,SEARCH("Karcher",Общий!B297,1),19),".",""),"-","")),1)+8,8)),VALUE(LEFT(SUBSTITUTE(SUBSTITUTE(Общий!B297,".",""),"-",""),8))))=7,CONCATENATE(IFERROR(VALUE(MID(TRIM(SUBSTITUTE(SUBSTITUTE(MID(Общий!B297,SEARCH("Karcher",Общий!B297,1),19),".",""),"-","")),SEARCH("Karcher",TRIM(SUBSTITUTE(SUBSTITUTE(MID(Общий!B297,SEARCH("Karcher",Общий!B297,1),19),".",""),"-","")),1)+8,8)),VALUE(LEFT(SUBSTITUTE(SUBSTITUTE(Общий!B297,".",""),"-",""),8))),"0"),IFERROR(VALUE(MID(TRIM(SUBSTITUTE(SUBSTITUTE(MID(Общий!B297,SEARCH("Karcher",Общий!B297,1),19),".",""),"-","")),SEARCH("Karcher",TRIM(SUBSTITUTE(SUBSTITUTE(MID(Общий!B297,SEARCH("Karcher",Общий!B297,1),19),".",""),"-","")),1)+8,8)),VALUE(LEFT(SUBSTITUTE(SUBSTITUTE(Общий!B297,".",""),"-",""),8))))),0)</f>
        <v>0</v>
      </c>
      <c r="B297" s="25">
        <f>IFERROR(CONCATENATE(VALUE(IF(LEN(IFERROR(VALUE(MID(TRIM(SUBSTITUTE(SUBSTITUTE(MID(Общий!B297,SEARCH("Karcher",Общий!B297,1),19),".",""),"-","")),SEARCH("Karcher",TRIM(SUBSTITUTE(SUBSTITUTE(MID(Общий!B297,SEARCH("Karcher",Общий!B297,1),19),".",""),"-","")),1)+8,8)),VALUE(LEFT(SUBSTITUTE(SUBSTITUTE(Общий!B297,".",""),"-",""),8))))=7,CONCATENATE(IFERROR(VALUE(MID(TRIM(SUBSTITUTE(SUBSTITUTE(MID(Общий!B297,SEARCH("Karcher",Общий!B297,1),19),".",""),"-","")),SEARCH("Karcher",TRIM(SUBSTITUTE(SUBSTITUTE(MID(Общий!B297,SEARCH("Karcher",Общий!B297,1),19),".",""),"-","")),1)+8,8)),VALUE(LEFT(SUBSTITUTE(SUBSTITUTE(Общий!B297,".",""),"-",""),8))),"0"),IFERROR(VALUE(MID(TRIM(SUBSTITUTE(SUBSTITUTE(MID(Общий!B297,SEARCH("Karcher",Общий!B297,1),19),".",""),"-","")),SEARCH("Karcher",TRIM(SUBSTITUTE(SUBSTITUTE(MID(Общий!B297,SEARCH("Karcher",Общий!B297,1),19),".",""),"-","")),1)+8,8)),VALUE(LEFT(SUBSTITUTE(SUBSTITUTE(Общий!B297,".",""),"-",""),8)))))," ",Общий!C297),0)</f>
        <v>0</v>
      </c>
      <c r="C297" s="29" t="str">
        <f>Общий!A297</f>
        <v>289</v>
      </c>
      <c r="D297" s="27">
        <f>Общий!B297</f>
        <v>0</v>
      </c>
      <c r="E297" s="28">
        <f>Общий!C297</f>
        <v>0</v>
      </c>
      <c r="F297" s="16"/>
      <c r="G297" s="44"/>
      <c r="H297" s="44"/>
      <c r="I297" s="44"/>
      <c r="J297" s="35"/>
      <c r="K297" s="16"/>
    </row>
    <row r="298" spans="1:11">
      <c r="A298" s="31">
        <f>IFERROR(VALUE(IF(LEN(IFERROR(VALUE(MID(TRIM(SUBSTITUTE(SUBSTITUTE(MID(Общий!B298,SEARCH("Karcher",Общий!B298,1),19),".",""),"-","")),SEARCH("Karcher",TRIM(SUBSTITUTE(SUBSTITUTE(MID(Общий!B298,SEARCH("Karcher",Общий!B298,1),19),".",""),"-","")),1)+8,8)),VALUE(LEFT(SUBSTITUTE(SUBSTITUTE(Общий!B298,".",""),"-",""),8))))=7,CONCATENATE(IFERROR(VALUE(MID(TRIM(SUBSTITUTE(SUBSTITUTE(MID(Общий!B298,SEARCH("Karcher",Общий!B298,1),19),".",""),"-","")),SEARCH("Karcher",TRIM(SUBSTITUTE(SUBSTITUTE(MID(Общий!B298,SEARCH("Karcher",Общий!B298,1),19),".",""),"-","")),1)+8,8)),VALUE(LEFT(SUBSTITUTE(SUBSTITUTE(Общий!B298,".",""),"-",""),8))),"0"),IFERROR(VALUE(MID(TRIM(SUBSTITUTE(SUBSTITUTE(MID(Общий!B298,SEARCH("Karcher",Общий!B298,1),19),".",""),"-","")),SEARCH("Karcher",TRIM(SUBSTITUTE(SUBSTITUTE(MID(Общий!B298,SEARCH("Karcher",Общий!B298,1),19),".",""),"-","")),1)+8,8)),VALUE(LEFT(SUBSTITUTE(SUBSTITUTE(Общий!B298,".",""),"-",""),8))))),0)</f>
        <v>0</v>
      </c>
      <c r="B298" s="25">
        <f>IFERROR(CONCATENATE(VALUE(IF(LEN(IFERROR(VALUE(MID(TRIM(SUBSTITUTE(SUBSTITUTE(MID(Общий!B298,SEARCH("Karcher",Общий!B298,1),19),".",""),"-","")),SEARCH("Karcher",TRIM(SUBSTITUTE(SUBSTITUTE(MID(Общий!B298,SEARCH("Karcher",Общий!B298,1),19),".",""),"-","")),1)+8,8)),VALUE(LEFT(SUBSTITUTE(SUBSTITUTE(Общий!B298,".",""),"-",""),8))))=7,CONCATENATE(IFERROR(VALUE(MID(TRIM(SUBSTITUTE(SUBSTITUTE(MID(Общий!B298,SEARCH("Karcher",Общий!B298,1),19),".",""),"-","")),SEARCH("Karcher",TRIM(SUBSTITUTE(SUBSTITUTE(MID(Общий!B298,SEARCH("Karcher",Общий!B298,1),19),".",""),"-","")),1)+8,8)),VALUE(LEFT(SUBSTITUTE(SUBSTITUTE(Общий!B298,".",""),"-",""),8))),"0"),IFERROR(VALUE(MID(TRIM(SUBSTITUTE(SUBSTITUTE(MID(Общий!B298,SEARCH("Karcher",Общий!B298,1),19),".",""),"-","")),SEARCH("Karcher",TRIM(SUBSTITUTE(SUBSTITUTE(MID(Общий!B298,SEARCH("Karcher",Общий!B298,1),19),".",""),"-","")),1)+8,8)),VALUE(LEFT(SUBSTITUTE(SUBSTITUTE(Общий!B298,".",""),"-",""),8)))))," ",Общий!C298),0)</f>
        <v>0</v>
      </c>
      <c r="C298" s="29" t="str">
        <f>Общий!A298</f>
        <v>290</v>
      </c>
      <c r="D298" s="27">
        <f>Общий!B298</f>
        <v>0</v>
      </c>
      <c r="E298" s="28">
        <f>Общий!C298</f>
        <v>0</v>
      </c>
      <c r="F298" s="16"/>
      <c r="G298" s="44"/>
      <c r="H298" s="44"/>
      <c r="I298" s="44"/>
      <c r="J298" s="35"/>
      <c r="K298" s="16"/>
    </row>
    <row r="299" spans="1:11">
      <c r="A299" s="31">
        <f>IFERROR(VALUE(IF(LEN(IFERROR(VALUE(MID(TRIM(SUBSTITUTE(SUBSTITUTE(MID(Общий!B299,SEARCH("Karcher",Общий!B299,1),19),".",""),"-","")),SEARCH("Karcher",TRIM(SUBSTITUTE(SUBSTITUTE(MID(Общий!B299,SEARCH("Karcher",Общий!B299,1),19),".",""),"-","")),1)+8,8)),VALUE(LEFT(SUBSTITUTE(SUBSTITUTE(Общий!B299,".",""),"-",""),8))))=7,CONCATENATE(IFERROR(VALUE(MID(TRIM(SUBSTITUTE(SUBSTITUTE(MID(Общий!B299,SEARCH("Karcher",Общий!B299,1),19),".",""),"-","")),SEARCH("Karcher",TRIM(SUBSTITUTE(SUBSTITUTE(MID(Общий!B299,SEARCH("Karcher",Общий!B299,1),19),".",""),"-","")),1)+8,8)),VALUE(LEFT(SUBSTITUTE(SUBSTITUTE(Общий!B299,".",""),"-",""),8))),"0"),IFERROR(VALUE(MID(TRIM(SUBSTITUTE(SUBSTITUTE(MID(Общий!B299,SEARCH("Karcher",Общий!B299,1),19),".",""),"-","")),SEARCH("Karcher",TRIM(SUBSTITUTE(SUBSTITUTE(MID(Общий!B299,SEARCH("Karcher",Общий!B299,1),19),".",""),"-","")),1)+8,8)),VALUE(LEFT(SUBSTITUTE(SUBSTITUTE(Общий!B299,".",""),"-",""),8))))),0)</f>
        <v>0</v>
      </c>
      <c r="B299" s="25">
        <f>IFERROR(CONCATENATE(VALUE(IF(LEN(IFERROR(VALUE(MID(TRIM(SUBSTITUTE(SUBSTITUTE(MID(Общий!B299,SEARCH("Karcher",Общий!B299,1),19),".",""),"-","")),SEARCH("Karcher",TRIM(SUBSTITUTE(SUBSTITUTE(MID(Общий!B299,SEARCH("Karcher",Общий!B299,1),19),".",""),"-","")),1)+8,8)),VALUE(LEFT(SUBSTITUTE(SUBSTITUTE(Общий!B299,".",""),"-",""),8))))=7,CONCATENATE(IFERROR(VALUE(MID(TRIM(SUBSTITUTE(SUBSTITUTE(MID(Общий!B299,SEARCH("Karcher",Общий!B299,1),19),".",""),"-","")),SEARCH("Karcher",TRIM(SUBSTITUTE(SUBSTITUTE(MID(Общий!B299,SEARCH("Karcher",Общий!B299,1),19),".",""),"-","")),1)+8,8)),VALUE(LEFT(SUBSTITUTE(SUBSTITUTE(Общий!B299,".",""),"-",""),8))),"0"),IFERROR(VALUE(MID(TRIM(SUBSTITUTE(SUBSTITUTE(MID(Общий!B299,SEARCH("Karcher",Общий!B299,1),19),".",""),"-","")),SEARCH("Karcher",TRIM(SUBSTITUTE(SUBSTITUTE(MID(Общий!B299,SEARCH("Karcher",Общий!B299,1),19),".",""),"-","")),1)+8,8)),VALUE(LEFT(SUBSTITUTE(SUBSTITUTE(Общий!B299,".",""),"-",""),8)))))," ",Общий!C299),0)</f>
        <v>0</v>
      </c>
      <c r="C299" s="29" t="str">
        <f>Общий!A299</f>
        <v>291</v>
      </c>
      <c r="D299" s="27">
        <f>Общий!B299</f>
        <v>0</v>
      </c>
      <c r="E299" s="28">
        <f>Общий!C299</f>
        <v>0</v>
      </c>
      <c r="F299" s="16"/>
      <c r="G299" s="44"/>
      <c r="H299" s="44"/>
      <c r="I299" s="44"/>
      <c r="J299" s="35"/>
      <c r="K299" s="16"/>
    </row>
    <row r="300" spans="1:11">
      <c r="A300" s="31">
        <f>IFERROR(VALUE(IF(LEN(IFERROR(VALUE(MID(TRIM(SUBSTITUTE(SUBSTITUTE(MID(Общий!B300,SEARCH("Karcher",Общий!B300,1),19),".",""),"-","")),SEARCH("Karcher",TRIM(SUBSTITUTE(SUBSTITUTE(MID(Общий!B300,SEARCH("Karcher",Общий!B300,1),19),".",""),"-","")),1)+8,8)),VALUE(LEFT(SUBSTITUTE(SUBSTITUTE(Общий!B300,".",""),"-",""),8))))=7,CONCATENATE(IFERROR(VALUE(MID(TRIM(SUBSTITUTE(SUBSTITUTE(MID(Общий!B300,SEARCH("Karcher",Общий!B300,1),19),".",""),"-","")),SEARCH("Karcher",TRIM(SUBSTITUTE(SUBSTITUTE(MID(Общий!B300,SEARCH("Karcher",Общий!B300,1),19),".",""),"-","")),1)+8,8)),VALUE(LEFT(SUBSTITUTE(SUBSTITUTE(Общий!B300,".",""),"-",""),8))),"0"),IFERROR(VALUE(MID(TRIM(SUBSTITUTE(SUBSTITUTE(MID(Общий!B300,SEARCH("Karcher",Общий!B300,1),19),".",""),"-","")),SEARCH("Karcher",TRIM(SUBSTITUTE(SUBSTITUTE(MID(Общий!B300,SEARCH("Karcher",Общий!B300,1),19),".",""),"-","")),1)+8,8)),VALUE(LEFT(SUBSTITUTE(SUBSTITUTE(Общий!B300,".",""),"-",""),8))))),0)</f>
        <v>0</v>
      </c>
      <c r="B300" s="25">
        <f>IFERROR(CONCATENATE(VALUE(IF(LEN(IFERROR(VALUE(MID(TRIM(SUBSTITUTE(SUBSTITUTE(MID(Общий!B300,SEARCH("Karcher",Общий!B300,1),19),".",""),"-","")),SEARCH("Karcher",TRIM(SUBSTITUTE(SUBSTITUTE(MID(Общий!B300,SEARCH("Karcher",Общий!B300,1),19),".",""),"-","")),1)+8,8)),VALUE(LEFT(SUBSTITUTE(SUBSTITUTE(Общий!B300,".",""),"-",""),8))))=7,CONCATENATE(IFERROR(VALUE(MID(TRIM(SUBSTITUTE(SUBSTITUTE(MID(Общий!B300,SEARCH("Karcher",Общий!B300,1),19),".",""),"-","")),SEARCH("Karcher",TRIM(SUBSTITUTE(SUBSTITUTE(MID(Общий!B300,SEARCH("Karcher",Общий!B300,1),19),".",""),"-","")),1)+8,8)),VALUE(LEFT(SUBSTITUTE(SUBSTITUTE(Общий!B300,".",""),"-",""),8))),"0"),IFERROR(VALUE(MID(TRIM(SUBSTITUTE(SUBSTITUTE(MID(Общий!B300,SEARCH("Karcher",Общий!B300,1),19),".",""),"-","")),SEARCH("Karcher",TRIM(SUBSTITUTE(SUBSTITUTE(MID(Общий!B300,SEARCH("Karcher",Общий!B300,1),19),".",""),"-","")),1)+8,8)),VALUE(LEFT(SUBSTITUTE(SUBSTITUTE(Общий!B300,".",""),"-",""),8)))))," ",Общий!C300),0)</f>
        <v>0</v>
      </c>
      <c r="C300" s="29" t="str">
        <f>Общий!A300</f>
        <v>292</v>
      </c>
      <c r="D300" s="27">
        <f>Общий!B300</f>
        <v>0</v>
      </c>
      <c r="E300" s="28">
        <f>Общий!C300</f>
        <v>0</v>
      </c>
      <c r="F300" s="16"/>
      <c r="G300" s="44"/>
      <c r="H300" s="44"/>
      <c r="I300" s="44"/>
      <c r="J300" s="35"/>
      <c r="K300" s="16"/>
    </row>
    <row r="301" spans="1:11">
      <c r="A301" s="31">
        <f>IFERROR(VALUE(IF(LEN(IFERROR(VALUE(MID(TRIM(SUBSTITUTE(SUBSTITUTE(MID(Общий!B301,SEARCH("Karcher",Общий!B301,1),19),".",""),"-","")),SEARCH("Karcher",TRIM(SUBSTITUTE(SUBSTITUTE(MID(Общий!B301,SEARCH("Karcher",Общий!B301,1),19),".",""),"-","")),1)+8,8)),VALUE(LEFT(SUBSTITUTE(SUBSTITUTE(Общий!B301,".",""),"-",""),8))))=7,CONCATENATE(IFERROR(VALUE(MID(TRIM(SUBSTITUTE(SUBSTITUTE(MID(Общий!B301,SEARCH("Karcher",Общий!B301,1),19),".",""),"-","")),SEARCH("Karcher",TRIM(SUBSTITUTE(SUBSTITUTE(MID(Общий!B301,SEARCH("Karcher",Общий!B301,1),19),".",""),"-","")),1)+8,8)),VALUE(LEFT(SUBSTITUTE(SUBSTITUTE(Общий!B301,".",""),"-",""),8))),"0"),IFERROR(VALUE(MID(TRIM(SUBSTITUTE(SUBSTITUTE(MID(Общий!B301,SEARCH("Karcher",Общий!B301,1),19),".",""),"-","")),SEARCH("Karcher",TRIM(SUBSTITUTE(SUBSTITUTE(MID(Общий!B301,SEARCH("Karcher",Общий!B301,1),19),".",""),"-","")),1)+8,8)),VALUE(LEFT(SUBSTITUTE(SUBSTITUTE(Общий!B301,".",""),"-",""),8))))),0)</f>
        <v>0</v>
      </c>
      <c r="B301" s="25">
        <f>IFERROR(CONCATENATE(VALUE(IF(LEN(IFERROR(VALUE(MID(TRIM(SUBSTITUTE(SUBSTITUTE(MID(Общий!B301,SEARCH("Karcher",Общий!B301,1),19),".",""),"-","")),SEARCH("Karcher",TRIM(SUBSTITUTE(SUBSTITUTE(MID(Общий!B301,SEARCH("Karcher",Общий!B301,1),19),".",""),"-","")),1)+8,8)),VALUE(LEFT(SUBSTITUTE(SUBSTITUTE(Общий!B301,".",""),"-",""),8))))=7,CONCATENATE(IFERROR(VALUE(MID(TRIM(SUBSTITUTE(SUBSTITUTE(MID(Общий!B301,SEARCH("Karcher",Общий!B301,1),19),".",""),"-","")),SEARCH("Karcher",TRIM(SUBSTITUTE(SUBSTITUTE(MID(Общий!B301,SEARCH("Karcher",Общий!B301,1),19),".",""),"-","")),1)+8,8)),VALUE(LEFT(SUBSTITUTE(SUBSTITUTE(Общий!B301,".",""),"-",""),8))),"0"),IFERROR(VALUE(MID(TRIM(SUBSTITUTE(SUBSTITUTE(MID(Общий!B301,SEARCH("Karcher",Общий!B301,1),19),".",""),"-","")),SEARCH("Karcher",TRIM(SUBSTITUTE(SUBSTITUTE(MID(Общий!B301,SEARCH("Karcher",Общий!B301,1),19),".",""),"-","")),1)+8,8)),VALUE(LEFT(SUBSTITUTE(SUBSTITUTE(Общий!B301,".",""),"-",""),8)))))," ",Общий!C301),0)</f>
        <v>0</v>
      </c>
      <c r="C301" s="29" t="str">
        <f>Общий!A301</f>
        <v>293</v>
      </c>
      <c r="D301" s="27">
        <f>Общий!B301</f>
        <v>0</v>
      </c>
      <c r="E301" s="28">
        <f>Общий!C301</f>
        <v>0</v>
      </c>
      <c r="F301" s="16"/>
      <c r="G301" s="44"/>
      <c r="H301" s="44"/>
      <c r="I301" s="44"/>
      <c r="J301" s="35"/>
      <c r="K301" s="16"/>
    </row>
    <row r="302" spans="1:11">
      <c r="A302" s="31">
        <f>IFERROR(VALUE(IF(LEN(IFERROR(VALUE(MID(TRIM(SUBSTITUTE(SUBSTITUTE(MID(Общий!B302,SEARCH("Karcher",Общий!B302,1),19),".",""),"-","")),SEARCH("Karcher",TRIM(SUBSTITUTE(SUBSTITUTE(MID(Общий!B302,SEARCH("Karcher",Общий!B302,1),19),".",""),"-","")),1)+8,8)),VALUE(LEFT(SUBSTITUTE(SUBSTITUTE(Общий!B302,".",""),"-",""),8))))=7,CONCATENATE(IFERROR(VALUE(MID(TRIM(SUBSTITUTE(SUBSTITUTE(MID(Общий!B302,SEARCH("Karcher",Общий!B302,1),19),".",""),"-","")),SEARCH("Karcher",TRIM(SUBSTITUTE(SUBSTITUTE(MID(Общий!B302,SEARCH("Karcher",Общий!B302,1),19),".",""),"-","")),1)+8,8)),VALUE(LEFT(SUBSTITUTE(SUBSTITUTE(Общий!B302,".",""),"-",""),8))),"0"),IFERROR(VALUE(MID(TRIM(SUBSTITUTE(SUBSTITUTE(MID(Общий!B302,SEARCH("Karcher",Общий!B302,1),19),".",""),"-","")),SEARCH("Karcher",TRIM(SUBSTITUTE(SUBSTITUTE(MID(Общий!B302,SEARCH("Karcher",Общий!B302,1),19),".",""),"-","")),1)+8,8)),VALUE(LEFT(SUBSTITUTE(SUBSTITUTE(Общий!B302,".",""),"-",""),8))))),0)</f>
        <v>0</v>
      </c>
      <c r="B302" s="25">
        <f>IFERROR(CONCATENATE(VALUE(IF(LEN(IFERROR(VALUE(MID(TRIM(SUBSTITUTE(SUBSTITUTE(MID(Общий!B302,SEARCH("Karcher",Общий!B302,1),19),".",""),"-","")),SEARCH("Karcher",TRIM(SUBSTITUTE(SUBSTITUTE(MID(Общий!B302,SEARCH("Karcher",Общий!B302,1),19),".",""),"-","")),1)+8,8)),VALUE(LEFT(SUBSTITUTE(SUBSTITUTE(Общий!B302,".",""),"-",""),8))))=7,CONCATENATE(IFERROR(VALUE(MID(TRIM(SUBSTITUTE(SUBSTITUTE(MID(Общий!B302,SEARCH("Karcher",Общий!B302,1),19),".",""),"-","")),SEARCH("Karcher",TRIM(SUBSTITUTE(SUBSTITUTE(MID(Общий!B302,SEARCH("Karcher",Общий!B302,1),19),".",""),"-","")),1)+8,8)),VALUE(LEFT(SUBSTITUTE(SUBSTITUTE(Общий!B302,".",""),"-",""),8))),"0"),IFERROR(VALUE(MID(TRIM(SUBSTITUTE(SUBSTITUTE(MID(Общий!B302,SEARCH("Karcher",Общий!B302,1),19),".",""),"-","")),SEARCH("Karcher",TRIM(SUBSTITUTE(SUBSTITUTE(MID(Общий!B302,SEARCH("Karcher",Общий!B302,1),19),".",""),"-","")),1)+8,8)),VALUE(LEFT(SUBSTITUTE(SUBSTITUTE(Общий!B302,".",""),"-",""),8)))))," ",Общий!C302),0)</f>
        <v>0</v>
      </c>
      <c r="C302" s="29" t="str">
        <f>Общий!A302</f>
        <v>294</v>
      </c>
      <c r="D302" s="27">
        <f>Общий!B302</f>
        <v>0</v>
      </c>
      <c r="E302" s="28">
        <f>Общий!C302</f>
        <v>0</v>
      </c>
      <c r="F302" s="16"/>
      <c r="G302" s="44"/>
      <c r="H302" s="44"/>
      <c r="I302" s="44"/>
      <c r="J302" s="35"/>
      <c r="K302" s="16"/>
    </row>
    <row r="303" spans="1:11">
      <c r="A303" s="31">
        <f>IFERROR(VALUE(IF(LEN(IFERROR(VALUE(MID(TRIM(SUBSTITUTE(SUBSTITUTE(MID(Общий!B303,SEARCH("Karcher",Общий!B303,1),19),".",""),"-","")),SEARCH("Karcher",TRIM(SUBSTITUTE(SUBSTITUTE(MID(Общий!B303,SEARCH("Karcher",Общий!B303,1),19),".",""),"-","")),1)+8,8)),VALUE(LEFT(SUBSTITUTE(SUBSTITUTE(Общий!B303,".",""),"-",""),8))))=7,CONCATENATE(IFERROR(VALUE(MID(TRIM(SUBSTITUTE(SUBSTITUTE(MID(Общий!B303,SEARCH("Karcher",Общий!B303,1),19),".",""),"-","")),SEARCH("Karcher",TRIM(SUBSTITUTE(SUBSTITUTE(MID(Общий!B303,SEARCH("Karcher",Общий!B303,1),19),".",""),"-","")),1)+8,8)),VALUE(LEFT(SUBSTITUTE(SUBSTITUTE(Общий!B303,".",""),"-",""),8))),"0"),IFERROR(VALUE(MID(TRIM(SUBSTITUTE(SUBSTITUTE(MID(Общий!B303,SEARCH("Karcher",Общий!B303,1),19),".",""),"-","")),SEARCH("Karcher",TRIM(SUBSTITUTE(SUBSTITUTE(MID(Общий!B303,SEARCH("Karcher",Общий!B303,1),19),".",""),"-","")),1)+8,8)),VALUE(LEFT(SUBSTITUTE(SUBSTITUTE(Общий!B303,".",""),"-",""),8))))),0)</f>
        <v>0</v>
      </c>
      <c r="B303" s="25">
        <f>IFERROR(CONCATENATE(VALUE(IF(LEN(IFERROR(VALUE(MID(TRIM(SUBSTITUTE(SUBSTITUTE(MID(Общий!B303,SEARCH("Karcher",Общий!B303,1),19),".",""),"-","")),SEARCH("Karcher",TRIM(SUBSTITUTE(SUBSTITUTE(MID(Общий!B303,SEARCH("Karcher",Общий!B303,1),19),".",""),"-","")),1)+8,8)),VALUE(LEFT(SUBSTITUTE(SUBSTITUTE(Общий!B303,".",""),"-",""),8))))=7,CONCATENATE(IFERROR(VALUE(MID(TRIM(SUBSTITUTE(SUBSTITUTE(MID(Общий!B303,SEARCH("Karcher",Общий!B303,1),19),".",""),"-","")),SEARCH("Karcher",TRIM(SUBSTITUTE(SUBSTITUTE(MID(Общий!B303,SEARCH("Karcher",Общий!B303,1),19),".",""),"-","")),1)+8,8)),VALUE(LEFT(SUBSTITUTE(SUBSTITUTE(Общий!B303,".",""),"-",""),8))),"0"),IFERROR(VALUE(MID(TRIM(SUBSTITUTE(SUBSTITUTE(MID(Общий!B303,SEARCH("Karcher",Общий!B303,1),19),".",""),"-","")),SEARCH("Karcher",TRIM(SUBSTITUTE(SUBSTITUTE(MID(Общий!B303,SEARCH("Karcher",Общий!B303,1),19),".",""),"-","")),1)+8,8)),VALUE(LEFT(SUBSTITUTE(SUBSTITUTE(Общий!B303,".",""),"-",""),8)))))," ",Общий!C303),0)</f>
        <v>0</v>
      </c>
      <c r="C303" s="29" t="str">
        <f>Общий!A303</f>
        <v>295</v>
      </c>
      <c r="D303" s="27">
        <f>Общий!B303</f>
        <v>0</v>
      </c>
      <c r="E303" s="28">
        <f>Общий!C303</f>
        <v>0</v>
      </c>
      <c r="F303" s="16"/>
      <c r="G303" s="44"/>
      <c r="H303" s="44"/>
      <c r="I303" s="44"/>
      <c r="J303" s="35"/>
      <c r="K303" s="16"/>
    </row>
    <row r="304" spans="1:11">
      <c r="A304" s="31">
        <f>IFERROR(VALUE(IF(LEN(IFERROR(VALUE(MID(TRIM(SUBSTITUTE(SUBSTITUTE(MID(Общий!B304,SEARCH("Karcher",Общий!B304,1),19),".",""),"-","")),SEARCH("Karcher",TRIM(SUBSTITUTE(SUBSTITUTE(MID(Общий!B304,SEARCH("Karcher",Общий!B304,1),19),".",""),"-","")),1)+8,8)),VALUE(LEFT(SUBSTITUTE(SUBSTITUTE(Общий!B304,".",""),"-",""),8))))=7,CONCATENATE(IFERROR(VALUE(MID(TRIM(SUBSTITUTE(SUBSTITUTE(MID(Общий!B304,SEARCH("Karcher",Общий!B304,1),19),".",""),"-","")),SEARCH("Karcher",TRIM(SUBSTITUTE(SUBSTITUTE(MID(Общий!B304,SEARCH("Karcher",Общий!B304,1),19),".",""),"-","")),1)+8,8)),VALUE(LEFT(SUBSTITUTE(SUBSTITUTE(Общий!B304,".",""),"-",""),8))),"0"),IFERROR(VALUE(MID(TRIM(SUBSTITUTE(SUBSTITUTE(MID(Общий!B304,SEARCH("Karcher",Общий!B304,1),19),".",""),"-","")),SEARCH("Karcher",TRIM(SUBSTITUTE(SUBSTITUTE(MID(Общий!B304,SEARCH("Karcher",Общий!B304,1),19),".",""),"-","")),1)+8,8)),VALUE(LEFT(SUBSTITUTE(SUBSTITUTE(Общий!B304,".",""),"-",""),8))))),0)</f>
        <v>0</v>
      </c>
      <c r="B304" s="25">
        <f>IFERROR(CONCATENATE(VALUE(IF(LEN(IFERROR(VALUE(MID(TRIM(SUBSTITUTE(SUBSTITUTE(MID(Общий!B304,SEARCH("Karcher",Общий!B304,1),19),".",""),"-","")),SEARCH("Karcher",TRIM(SUBSTITUTE(SUBSTITUTE(MID(Общий!B304,SEARCH("Karcher",Общий!B304,1),19),".",""),"-","")),1)+8,8)),VALUE(LEFT(SUBSTITUTE(SUBSTITUTE(Общий!B304,".",""),"-",""),8))))=7,CONCATENATE(IFERROR(VALUE(MID(TRIM(SUBSTITUTE(SUBSTITUTE(MID(Общий!B304,SEARCH("Karcher",Общий!B304,1),19),".",""),"-","")),SEARCH("Karcher",TRIM(SUBSTITUTE(SUBSTITUTE(MID(Общий!B304,SEARCH("Karcher",Общий!B304,1),19),".",""),"-","")),1)+8,8)),VALUE(LEFT(SUBSTITUTE(SUBSTITUTE(Общий!B304,".",""),"-",""),8))),"0"),IFERROR(VALUE(MID(TRIM(SUBSTITUTE(SUBSTITUTE(MID(Общий!B304,SEARCH("Karcher",Общий!B304,1),19),".",""),"-","")),SEARCH("Karcher",TRIM(SUBSTITUTE(SUBSTITUTE(MID(Общий!B304,SEARCH("Karcher",Общий!B304,1),19),".",""),"-","")),1)+8,8)),VALUE(LEFT(SUBSTITUTE(SUBSTITUTE(Общий!B304,".",""),"-",""),8)))))," ",Общий!C304),0)</f>
        <v>0</v>
      </c>
      <c r="C304" s="29" t="str">
        <f>Общий!A304</f>
        <v>296</v>
      </c>
      <c r="D304" s="27">
        <f>Общий!B304</f>
        <v>0</v>
      </c>
      <c r="E304" s="28">
        <f>Общий!C304</f>
        <v>0</v>
      </c>
      <c r="F304" s="16"/>
      <c r="G304" s="44"/>
      <c r="H304" s="44"/>
      <c r="I304" s="44"/>
      <c r="J304" s="35"/>
      <c r="K304" s="16"/>
    </row>
    <row r="305" spans="1:11">
      <c r="A305" s="31">
        <f>IFERROR(VALUE(IF(LEN(IFERROR(VALUE(MID(TRIM(SUBSTITUTE(SUBSTITUTE(MID(Общий!B305,SEARCH("Karcher",Общий!B305,1),19),".",""),"-","")),SEARCH("Karcher",TRIM(SUBSTITUTE(SUBSTITUTE(MID(Общий!B305,SEARCH("Karcher",Общий!B305,1),19),".",""),"-","")),1)+8,8)),VALUE(LEFT(SUBSTITUTE(SUBSTITUTE(Общий!B305,".",""),"-",""),8))))=7,CONCATENATE(IFERROR(VALUE(MID(TRIM(SUBSTITUTE(SUBSTITUTE(MID(Общий!B305,SEARCH("Karcher",Общий!B305,1),19),".",""),"-","")),SEARCH("Karcher",TRIM(SUBSTITUTE(SUBSTITUTE(MID(Общий!B305,SEARCH("Karcher",Общий!B305,1),19),".",""),"-","")),1)+8,8)),VALUE(LEFT(SUBSTITUTE(SUBSTITUTE(Общий!B305,".",""),"-",""),8))),"0"),IFERROR(VALUE(MID(TRIM(SUBSTITUTE(SUBSTITUTE(MID(Общий!B305,SEARCH("Karcher",Общий!B305,1),19),".",""),"-","")),SEARCH("Karcher",TRIM(SUBSTITUTE(SUBSTITUTE(MID(Общий!B305,SEARCH("Karcher",Общий!B305,1),19),".",""),"-","")),1)+8,8)),VALUE(LEFT(SUBSTITUTE(SUBSTITUTE(Общий!B305,".",""),"-",""),8))))),0)</f>
        <v>0</v>
      </c>
      <c r="B305" s="25">
        <f>IFERROR(CONCATENATE(VALUE(IF(LEN(IFERROR(VALUE(MID(TRIM(SUBSTITUTE(SUBSTITUTE(MID(Общий!B305,SEARCH("Karcher",Общий!B305,1),19),".",""),"-","")),SEARCH("Karcher",TRIM(SUBSTITUTE(SUBSTITUTE(MID(Общий!B305,SEARCH("Karcher",Общий!B305,1),19),".",""),"-","")),1)+8,8)),VALUE(LEFT(SUBSTITUTE(SUBSTITUTE(Общий!B305,".",""),"-",""),8))))=7,CONCATENATE(IFERROR(VALUE(MID(TRIM(SUBSTITUTE(SUBSTITUTE(MID(Общий!B305,SEARCH("Karcher",Общий!B305,1),19),".",""),"-","")),SEARCH("Karcher",TRIM(SUBSTITUTE(SUBSTITUTE(MID(Общий!B305,SEARCH("Karcher",Общий!B305,1),19),".",""),"-","")),1)+8,8)),VALUE(LEFT(SUBSTITUTE(SUBSTITUTE(Общий!B305,".",""),"-",""),8))),"0"),IFERROR(VALUE(MID(TRIM(SUBSTITUTE(SUBSTITUTE(MID(Общий!B305,SEARCH("Karcher",Общий!B305,1),19),".",""),"-","")),SEARCH("Karcher",TRIM(SUBSTITUTE(SUBSTITUTE(MID(Общий!B305,SEARCH("Karcher",Общий!B305,1),19),".",""),"-","")),1)+8,8)),VALUE(LEFT(SUBSTITUTE(SUBSTITUTE(Общий!B305,".",""),"-",""),8)))))," ",Общий!C305),0)</f>
        <v>0</v>
      </c>
      <c r="C305" s="29" t="str">
        <f>Общий!A305</f>
        <v>297</v>
      </c>
      <c r="D305" s="27">
        <f>Общий!B305</f>
        <v>0</v>
      </c>
      <c r="E305" s="28">
        <f>Общий!C305</f>
        <v>0</v>
      </c>
      <c r="F305" s="16"/>
      <c r="G305" s="44"/>
      <c r="H305" s="44"/>
      <c r="I305" s="44"/>
      <c r="J305" s="35"/>
      <c r="K305" s="16"/>
    </row>
    <row r="306" spans="1:11">
      <c r="A306" s="31">
        <f>IFERROR(VALUE(IF(LEN(IFERROR(VALUE(MID(TRIM(SUBSTITUTE(SUBSTITUTE(MID(Общий!B306,SEARCH("Karcher",Общий!B306,1),19),".",""),"-","")),SEARCH("Karcher",TRIM(SUBSTITUTE(SUBSTITUTE(MID(Общий!B306,SEARCH("Karcher",Общий!B306,1),19),".",""),"-","")),1)+8,8)),VALUE(LEFT(SUBSTITUTE(SUBSTITUTE(Общий!B306,".",""),"-",""),8))))=7,CONCATENATE(IFERROR(VALUE(MID(TRIM(SUBSTITUTE(SUBSTITUTE(MID(Общий!B306,SEARCH("Karcher",Общий!B306,1),19),".",""),"-","")),SEARCH("Karcher",TRIM(SUBSTITUTE(SUBSTITUTE(MID(Общий!B306,SEARCH("Karcher",Общий!B306,1),19),".",""),"-","")),1)+8,8)),VALUE(LEFT(SUBSTITUTE(SUBSTITUTE(Общий!B306,".",""),"-",""),8))),"0"),IFERROR(VALUE(MID(TRIM(SUBSTITUTE(SUBSTITUTE(MID(Общий!B306,SEARCH("Karcher",Общий!B306,1),19),".",""),"-","")),SEARCH("Karcher",TRIM(SUBSTITUTE(SUBSTITUTE(MID(Общий!B306,SEARCH("Karcher",Общий!B306,1),19),".",""),"-","")),1)+8,8)),VALUE(LEFT(SUBSTITUTE(SUBSTITUTE(Общий!B306,".",""),"-",""),8))))),0)</f>
        <v>0</v>
      </c>
      <c r="B306" s="25">
        <f>IFERROR(CONCATENATE(VALUE(IF(LEN(IFERROR(VALUE(MID(TRIM(SUBSTITUTE(SUBSTITUTE(MID(Общий!B306,SEARCH("Karcher",Общий!B306,1),19),".",""),"-","")),SEARCH("Karcher",TRIM(SUBSTITUTE(SUBSTITUTE(MID(Общий!B306,SEARCH("Karcher",Общий!B306,1),19),".",""),"-","")),1)+8,8)),VALUE(LEFT(SUBSTITUTE(SUBSTITUTE(Общий!B306,".",""),"-",""),8))))=7,CONCATENATE(IFERROR(VALUE(MID(TRIM(SUBSTITUTE(SUBSTITUTE(MID(Общий!B306,SEARCH("Karcher",Общий!B306,1),19),".",""),"-","")),SEARCH("Karcher",TRIM(SUBSTITUTE(SUBSTITUTE(MID(Общий!B306,SEARCH("Karcher",Общий!B306,1),19),".",""),"-","")),1)+8,8)),VALUE(LEFT(SUBSTITUTE(SUBSTITUTE(Общий!B306,".",""),"-",""),8))),"0"),IFERROR(VALUE(MID(TRIM(SUBSTITUTE(SUBSTITUTE(MID(Общий!B306,SEARCH("Karcher",Общий!B306,1),19),".",""),"-","")),SEARCH("Karcher",TRIM(SUBSTITUTE(SUBSTITUTE(MID(Общий!B306,SEARCH("Karcher",Общий!B306,1),19),".",""),"-","")),1)+8,8)),VALUE(LEFT(SUBSTITUTE(SUBSTITUTE(Общий!B306,".",""),"-",""),8)))))," ",Общий!C306),0)</f>
        <v>0</v>
      </c>
      <c r="C306" s="29" t="str">
        <f>Общий!A306</f>
        <v>298</v>
      </c>
      <c r="D306" s="27">
        <f>Общий!B306</f>
        <v>0</v>
      </c>
      <c r="E306" s="28">
        <f>Общий!C306</f>
        <v>0</v>
      </c>
      <c r="F306" s="16"/>
      <c r="G306" s="44"/>
      <c r="H306" s="44"/>
      <c r="I306" s="44"/>
      <c r="J306" s="35"/>
      <c r="K306" s="16"/>
    </row>
    <row r="307" spans="1:11">
      <c r="A307" s="31">
        <f>IFERROR(VALUE(IF(LEN(IFERROR(VALUE(MID(TRIM(SUBSTITUTE(SUBSTITUTE(MID(Общий!B307,SEARCH("Karcher",Общий!B307,1),19),".",""),"-","")),SEARCH("Karcher",TRIM(SUBSTITUTE(SUBSTITUTE(MID(Общий!B307,SEARCH("Karcher",Общий!B307,1),19),".",""),"-","")),1)+8,8)),VALUE(LEFT(SUBSTITUTE(SUBSTITUTE(Общий!B307,".",""),"-",""),8))))=7,CONCATENATE(IFERROR(VALUE(MID(TRIM(SUBSTITUTE(SUBSTITUTE(MID(Общий!B307,SEARCH("Karcher",Общий!B307,1),19),".",""),"-","")),SEARCH("Karcher",TRIM(SUBSTITUTE(SUBSTITUTE(MID(Общий!B307,SEARCH("Karcher",Общий!B307,1),19),".",""),"-","")),1)+8,8)),VALUE(LEFT(SUBSTITUTE(SUBSTITUTE(Общий!B307,".",""),"-",""),8))),"0"),IFERROR(VALUE(MID(TRIM(SUBSTITUTE(SUBSTITUTE(MID(Общий!B307,SEARCH("Karcher",Общий!B307,1),19),".",""),"-","")),SEARCH("Karcher",TRIM(SUBSTITUTE(SUBSTITUTE(MID(Общий!B307,SEARCH("Karcher",Общий!B307,1),19),".",""),"-","")),1)+8,8)),VALUE(LEFT(SUBSTITUTE(SUBSTITUTE(Общий!B307,".",""),"-",""),8))))),0)</f>
        <v>0</v>
      </c>
      <c r="B307" s="25">
        <f>IFERROR(CONCATENATE(VALUE(IF(LEN(IFERROR(VALUE(MID(TRIM(SUBSTITUTE(SUBSTITUTE(MID(Общий!B307,SEARCH("Karcher",Общий!B307,1),19),".",""),"-","")),SEARCH("Karcher",TRIM(SUBSTITUTE(SUBSTITUTE(MID(Общий!B307,SEARCH("Karcher",Общий!B307,1),19),".",""),"-","")),1)+8,8)),VALUE(LEFT(SUBSTITUTE(SUBSTITUTE(Общий!B307,".",""),"-",""),8))))=7,CONCATENATE(IFERROR(VALUE(MID(TRIM(SUBSTITUTE(SUBSTITUTE(MID(Общий!B307,SEARCH("Karcher",Общий!B307,1),19),".",""),"-","")),SEARCH("Karcher",TRIM(SUBSTITUTE(SUBSTITUTE(MID(Общий!B307,SEARCH("Karcher",Общий!B307,1),19),".",""),"-","")),1)+8,8)),VALUE(LEFT(SUBSTITUTE(SUBSTITUTE(Общий!B307,".",""),"-",""),8))),"0"),IFERROR(VALUE(MID(TRIM(SUBSTITUTE(SUBSTITUTE(MID(Общий!B307,SEARCH("Karcher",Общий!B307,1),19),".",""),"-","")),SEARCH("Karcher",TRIM(SUBSTITUTE(SUBSTITUTE(MID(Общий!B307,SEARCH("Karcher",Общий!B307,1),19),".",""),"-","")),1)+8,8)),VALUE(LEFT(SUBSTITUTE(SUBSTITUTE(Общий!B307,".",""),"-",""),8)))))," ",Общий!C307),0)</f>
        <v>0</v>
      </c>
      <c r="C307" s="29" t="str">
        <f>Общий!A307</f>
        <v>299</v>
      </c>
      <c r="D307" s="27">
        <f>Общий!B307</f>
        <v>0</v>
      </c>
      <c r="E307" s="28">
        <f>Общий!C307</f>
        <v>0</v>
      </c>
      <c r="F307" s="16"/>
      <c r="G307" s="44"/>
      <c r="H307" s="44"/>
      <c r="I307" s="44"/>
      <c r="J307" s="35"/>
      <c r="K307" s="16"/>
    </row>
    <row r="308" spans="1:11">
      <c r="A308" s="31">
        <f>IFERROR(VALUE(IF(LEN(IFERROR(VALUE(MID(TRIM(SUBSTITUTE(SUBSTITUTE(MID(Общий!B308,SEARCH("Karcher",Общий!B308,1),19),".",""),"-","")),SEARCH("Karcher",TRIM(SUBSTITUTE(SUBSTITUTE(MID(Общий!B308,SEARCH("Karcher",Общий!B308,1),19),".",""),"-","")),1)+8,8)),VALUE(LEFT(SUBSTITUTE(SUBSTITUTE(Общий!B308,".",""),"-",""),8))))=7,CONCATENATE(IFERROR(VALUE(MID(TRIM(SUBSTITUTE(SUBSTITUTE(MID(Общий!B308,SEARCH("Karcher",Общий!B308,1),19),".",""),"-","")),SEARCH("Karcher",TRIM(SUBSTITUTE(SUBSTITUTE(MID(Общий!B308,SEARCH("Karcher",Общий!B308,1),19),".",""),"-","")),1)+8,8)),VALUE(LEFT(SUBSTITUTE(SUBSTITUTE(Общий!B308,".",""),"-",""),8))),"0"),IFERROR(VALUE(MID(TRIM(SUBSTITUTE(SUBSTITUTE(MID(Общий!B308,SEARCH("Karcher",Общий!B308,1),19),".",""),"-","")),SEARCH("Karcher",TRIM(SUBSTITUTE(SUBSTITUTE(MID(Общий!B308,SEARCH("Karcher",Общий!B308,1),19),".",""),"-","")),1)+8,8)),VALUE(LEFT(SUBSTITUTE(SUBSTITUTE(Общий!B308,".",""),"-",""),8))))),0)</f>
        <v>0</v>
      </c>
      <c r="B308" s="25">
        <f>IFERROR(CONCATENATE(VALUE(IF(LEN(IFERROR(VALUE(MID(TRIM(SUBSTITUTE(SUBSTITUTE(MID(Общий!B308,SEARCH("Karcher",Общий!B308,1),19),".",""),"-","")),SEARCH("Karcher",TRIM(SUBSTITUTE(SUBSTITUTE(MID(Общий!B308,SEARCH("Karcher",Общий!B308,1),19),".",""),"-","")),1)+8,8)),VALUE(LEFT(SUBSTITUTE(SUBSTITUTE(Общий!B308,".",""),"-",""),8))))=7,CONCATENATE(IFERROR(VALUE(MID(TRIM(SUBSTITUTE(SUBSTITUTE(MID(Общий!B308,SEARCH("Karcher",Общий!B308,1),19),".",""),"-","")),SEARCH("Karcher",TRIM(SUBSTITUTE(SUBSTITUTE(MID(Общий!B308,SEARCH("Karcher",Общий!B308,1),19),".",""),"-","")),1)+8,8)),VALUE(LEFT(SUBSTITUTE(SUBSTITUTE(Общий!B308,".",""),"-",""),8))),"0"),IFERROR(VALUE(MID(TRIM(SUBSTITUTE(SUBSTITUTE(MID(Общий!B308,SEARCH("Karcher",Общий!B308,1),19),".",""),"-","")),SEARCH("Karcher",TRIM(SUBSTITUTE(SUBSTITUTE(MID(Общий!B308,SEARCH("Karcher",Общий!B308,1),19),".",""),"-","")),1)+8,8)),VALUE(LEFT(SUBSTITUTE(SUBSTITUTE(Общий!B308,".",""),"-",""),8)))))," ",Общий!C308),0)</f>
        <v>0</v>
      </c>
      <c r="C308" s="29" t="str">
        <f>Общий!A308</f>
        <v>300</v>
      </c>
      <c r="D308" s="27">
        <f>Общий!B308</f>
        <v>0</v>
      </c>
      <c r="E308" s="28">
        <f>Общий!C308</f>
        <v>0</v>
      </c>
      <c r="F308" s="16"/>
      <c r="G308" s="44"/>
      <c r="H308" s="44"/>
      <c r="I308" s="44"/>
      <c r="J308" s="35"/>
      <c r="K308" s="16"/>
    </row>
    <row r="309" spans="1:11">
      <c r="A309" s="31">
        <f>IFERROR(VALUE(IF(LEN(IFERROR(VALUE(MID(TRIM(SUBSTITUTE(SUBSTITUTE(MID(Общий!B309,SEARCH("Karcher",Общий!B309,1),19),".",""),"-","")),SEARCH("Karcher",TRIM(SUBSTITUTE(SUBSTITUTE(MID(Общий!B309,SEARCH("Karcher",Общий!B309,1),19),".",""),"-","")),1)+8,8)),VALUE(LEFT(SUBSTITUTE(SUBSTITUTE(Общий!B309,".",""),"-",""),8))))=7,CONCATENATE(IFERROR(VALUE(MID(TRIM(SUBSTITUTE(SUBSTITUTE(MID(Общий!B309,SEARCH("Karcher",Общий!B309,1),19),".",""),"-","")),SEARCH("Karcher",TRIM(SUBSTITUTE(SUBSTITUTE(MID(Общий!B309,SEARCH("Karcher",Общий!B309,1),19),".",""),"-","")),1)+8,8)),VALUE(LEFT(SUBSTITUTE(SUBSTITUTE(Общий!B309,".",""),"-",""),8))),"0"),IFERROR(VALUE(MID(TRIM(SUBSTITUTE(SUBSTITUTE(MID(Общий!B309,SEARCH("Karcher",Общий!B309,1),19),".",""),"-","")),SEARCH("Karcher",TRIM(SUBSTITUTE(SUBSTITUTE(MID(Общий!B309,SEARCH("Karcher",Общий!B309,1),19),".",""),"-","")),1)+8,8)),VALUE(LEFT(SUBSTITUTE(SUBSTITUTE(Общий!B309,".",""),"-",""),8))))),0)</f>
        <v>0</v>
      </c>
      <c r="B309" s="25">
        <f>IFERROR(CONCATENATE(VALUE(IF(LEN(IFERROR(VALUE(MID(TRIM(SUBSTITUTE(SUBSTITUTE(MID(Общий!B309,SEARCH("Karcher",Общий!B309,1),19),".",""),"-","")),SEARCH("Karcher",TRIM(SUBSTITUTE(SUBSTITUTE(MID(Общий!B309,SEARCH("Karcher",Общий!B309,1),19),".",""),"-","")),1)+8,8)),VALUE(LEFT(SUBSTITUTE(SUBSTITUTE(Общий!B309,".",""),"-",""),8))))=7,CONCATENATE(IFERROR(VALUE(MID(TRIM(SUBSTITUTE(SUBSTITUTE(MID(Общий!B309,SEARCH("Karcher",Общий!B309,1),19),".",""),"-","")),SEARCH("Karcher",TRIM(SUBSTITUTE(SUBSTITUTE(MID(Общий!B309,SEARCH("Karcher",Общий!B309,1),19),".",""),"-","")),1)+8,8)),VALUE(LEFT(SUBSTITUTE(SUBSTITUTE(Общий!B309,".",""),"-",""),8))),"0"),IFERROR(VALUE(MID(TRIM(SUBSTITUTE(SUBSTITUTE(MID(Общий!B309,SEARCH("Karcher",Общий!B309,1),19),".",""),"-","")),SEARCH("Karcher",TRIM(SUBSTITUTE(SUBSTITUTE(MID(Общий!B309,SEARCH("Karcher",Общий!B309,1),19),".",""),"-","")),1)+8,8)),VALUE(LEFT(SUBSTITUTE(SUBSTITUTE(Общий!B309,".",""),"-",""),8)))))," ",Общий!C309),0)</f>
        <v>0</v>
      </c>
      <c r="C309" s="29" t="str">
        <f>Общий!A309</f>
        <v>301</v>
      </c>
      <c r="D309" s="27">
        <f>Общий!B309</f>
        <v>0</v>
      </c>
      <c r="E309" s="28">
        <f>Общий!C309</f>
        <v>0</v>
      </c>
      <c r="F309" s="16"/>
      <c r="G309" s="44"/>
      <c r="H309" s="44"/>
      <c r="I309" s="44"/>
      <c r="J309" s="35"/>
      <c r="K309" s="16"/>
    </row>
    <row r="310" spans="1:11">
      <c r="A310" s="31">
        <f>IFERROR(VALUE(IF(LEN(IFERROR(VALUE(MID(TRIM(SUBSTITUTE(SUBSTITUTE(MID(Общий!B310,SEARCH("Karcher",Общий!B310,1),19),".",""),"-","")),SEARCH("Karcher",TRIM(SUBSTITUTE(SUBSTITUTE(MID(Общий!B310,SEARCH("Karcher",Общий!B310,1),19),".",""),"-","")),1)+8,8)),VALUE(LEFT(SUBSTITUTE(SUBSTITUTE(Общий!B310,".",""),"-",""),8))))=7,CONCATENATE(IFERROR(VALUE(MID(TRIM(SUBSTITUTE(SUBSTITUTE(MID(Общий!B310,SEARCH("Karcher",Общий!B310,1),19),".",""),"-","")),SEARCH("Karcher",TRIM(SUBSTITUTE(SUBSTITUTE(MID(Общий!B310,SEARCH("Karcher",Общий!B310,1),19),".",""),"-","")),1)+8,8)),VALUE(LEFT(SUBSTITUTE(SUBSTITUTE(Общий!B310,".",""),"-",""),8))),"0"),IFERROR(VALUE(MID(TRIM(SUBSTITUTE(SUBSTITUTE(MID(Общий!B310,SEARCH("Karcher",Общий!B310,1),19),".",""),"-","")),SEARCH("Karcher",TRIM(SUBSTITUTE(SUBSTITUTE(MID(Общий!B310,SEARCH("Karcher",Общий!B310,1),19),".",""),"-","")),1)+8,8)),VALUE(LEFT(SUBSTITUTE(SUBSTITUTE(Общий!B310,".",""),"-",""),8))))),0)</f>
        <v>0</v>
      </c>
      <c r="B310" s="25">
        <f>IFERROR(CONCATENATE(VALUE(IF(LEN(IFERROR(VALUE(MID(TRIM(SUBSTITUTE(SUBSTITUTE(MID(Общий!B310,SEARCH("Karcher",Общий!B310,1),19),".",""),"-","")),SEARCH("Karcher",TRIM(SUBSTITUTE(SUBSTITUTE(MID(Общий!B310,SEARCH("Karcher",Общий!B310,1),19),".",""),"-","")),1)+8,8)),VALUE(LEFT(SUBSTITUTE(SUBSTITUTE(Общий!B310,".",""),"-",""),8))))=7,CONCATENATE(IFERROR(VALUE(MID(TRIM(SUBSTITUTE(SUBSTITUTE(MID(Общий!B310,SEARCH("Karcher",Общий!B310,1),19),".",""),"-","")),SEARCH("Karcher",TRIM(SUBSTITUTE(SUBSTITUTE(MID(Общий!B310,SEARCH("Karcher",Общий!B310,1),19),".",""),"-","")),1)+8,8)),VALUE(LEFT(SUBSTITUTE(SUBSTITUTE(Общий!B310,".",""),"-",""),8))),"0"),IFERROR(VALUE(MID(TRIM(SUBSTITUTE(SUBSTITUTE(MID(Общий!B310,SEARCH("Karcher",Общий!B310,1),19),".",""),"-","")),SEARCH("Karcher",TRIM(SUBSTITUTE(SUBSTITUTE(MID(Общий!B310,SEARCH("Karcher",Общий!B310,1),19),".",""),"-","")),1)+8,8)),VALUE(LEFT(SUBSTITUTE(SUBSTITUTE(Общий!B310,".",""),"-",""),8)))))," ",Общий!C310),0)</f>
        <v>0</v>
      </c>
      <c r="C310" s="29" t="str">
        <f>Общий!A310</f>
        <v>302</v>
      </c>
      <c r="D310" s="27">
        <f>Общий!B310</f>
        <v>0</v>
      </c>
      <c r="E310" s="28">
        <f>Общий!C310</f>
        <v>0</v>
      </c>
      <c r="F310" s="16"/>
      <c r="G310" s="44"/>
      <c r="H310" s="44"/>
      <c r="I310" s="44"/>
      <c r="J310" s="35"/>
      <c r="K310" s="16"/>
    </row>
    <row r="311" spans="1:11">
      <c r="A311" s="31">
        <f>IFERROR(VALUE(IF(LEN(IFERROR(VALUE(MID(TRIM(SUBSTITUTE(SUBSTITUTE(MID(Общий!B311,SEARCH("Karcher",Общий!B311,1),19),".",""),"-","")),SEARCH("Karcher",TRIM(SUBSTITUTE(SUBSTITUTE(MID(Общий!B311,SEARCH("Karcher",Общий!B311,1),19),".",""),"-","")),1)+8,8)),VALUE(LEFT(SUBSTITUTE(SUBSTITUTE(Общий!B311,".",""),"-",""),8))))=7,CONCATENATE(IFERROR(VALUE(MID(TRIM(SUBSTITUTE(SUBSTITUTE(MID(Общий!B311,SEARCH("Karcher",Общий!B311,1),19),".",""),"-","")),SEARCH("Karcher",TRIM(SUBSTITUTE(SUBSTITUTE(MID(Общий!B311,SEARCH("Karcher",Общий!B311,1),19),".",""),"-","")),1)+8,8)),VALUE(LEFT(SUBSTITUTE(SUBSTITUTE(Общий!B311,".",""),"-",""),8))),"0"),IFERROR(VALUE(MID(TRIM(SUBSTITUTE(SUBSTITUTE(MID(Общий!B311,SEARCH("Karcher",Общий!B311,1),19),".",""),"-","")),SEARCH("Karcher",TRIM(SUBSTITUTE(SUBSTITUTE(MID(Общий!B311,SEARCH("Karcher",Общий!B311,1),19),".",""),"-","")),1)+8,8)),VALUE(LEFT(SUBSTITUTE(SUBSTITUTE(Общий!B311,".",""),"-",""),8))))),0)</f>
        <v>0</v>
      </c>
      <c r="B311" s="25">
        <f>IFERROR(CONCATENATE(VALUE(IF(LEN(IFERROR(VALUE(MID(TRIM(SUBSTITUTE(SUBSTITUTE(MID(Общий!B311,SEARCH("Karcher",Общий!B311,1),19),".",""),"-","")),SEARCH("Karcher",TRIM(SUBSTITUTE(SUBSTITUTE(MID(Общий!B311,SEARCH("Karcher",Общий!B311,1),19),".",""),"-","")),1)+8,8)),VALUE(LEFT(SUBSTITUTE(SUBSTITUTE(Общий!B311,".",""),"-",""),8))))=7,CONCATENATE(IFERROR(VALUE(MID(TRIM(SUBSTITUTE(SUBSTITUTE(MID(Общий!B311,SEARCH("Karcher",Общий!B311,1),19),".",""),"-","")),SEARCH("Karcher",TRIM(SUBSTITUTE(SUBSTITUTE(MID(Общий!B311,SEARCH("Karcher",Общий!B311,1),19),".",""),"-","")),1)+8,8)),VALUE(LEFT(SUBSTITUTE(SUBSTITUTE(Общий!B311,".",""),"-",""),8))),"0"),IFERROR(VALUE(MID(TRIM(SUBSTITUTE(SUBSTITUTE(MID(Общий!B311,SEARCH("Karcher",Общий!B311,1),19),".",""),"-","")),SEARCH("Karcher",TRIM(SUBSTITUTE(SUBSTITUTE(MID(Общий!B311,SEARCH("Karcher",Общий!B311,1),19),".",""),"-","")),1)+8,8)),VALUE(LEFT(SUBSTITUTE(SUBSTITUTE(Общий!B311,".",""),"-",""),8)))))," ",Общий!C311),0)</f>
        <v>0</v>
      </c>
      <c r="C311" s="29" t="str">
        <f>Общий!A311</f>
        <v>303</v>
      </c>
      <c r="D311" s="27">
        <f>Общий!B311</f>
        <v>0</v>
      </c>
      <c r="E311" s="28">
        <f>Общий!C311</f>
        <v>0</v>
      </c>
      <c r="F311" s="16"/>
      <c r="G311" s="44"/>
      <c r="H311" s="44"/>
      <c r="I311" s="44"/>
      <c r="J311" s="35"/>
      <c r="K311" s="16"/>
    </row>
    <row r="312" spans="1:11">
      <c r="A312" s="31">
        <f>IFERROR(VALUE(IF(LEN(IFERROR(VALUE(MID(TRIM(SUBSTITUTE(SUBSTITUTE(MID(Общий!B312,SEARCH("Karcher",Общий!B312,1),19),".",""),"-","")),SEARCH("Karcher",TRIM(SUBSTITUTE(SUBSTITUTE(MID(Общий!B312,SEARCH("Karcher",Общий!B312,1),19),".",""),"-","")),1)+8,8)),VALUE(LEFT(SUBSTITUTE(SUBSTITUTE(Общий!B312,".",""),"-",""),8))))=7,CONCATENATE(IFERROR(VALUE(MID(TRIM(SUBSTITUTE(SUBSTITUTE(MID(Общий!B312,SEARCH("Karcher",Общий!B312,1),19),".",""),"-","")),SEARCH("Karcher",TRIM(SUBSTITUTE(SUBSTITUTE(MID(Общий!B312,SEARCH("Karcher",Общий!B312,1),19),".",""),"-","")),1)+8,8)),VALUE(LEFT(SUBSTITUTE(SUBSTITUTE(Общий!B312,".",""),"-",""),8))),"0"),IFERROR(VALUE(MID(TRIM(SUBSTITUTE(SUBSTITUTE(MID(Общий!B312,SEARCH("Karcher",Общий!B312,1),19),".",""),"-","")),SEARCH("Karcher",TRIM(SUBSTITUTE(SUBSTITUTE(MID(Общий!B312,SEARCH("Karcher",Общий!B312,1),19),".",""),"-","")),1)+8,8)),VALUE(LEFT(SUBSTITUTE(SUBSTITUTE(Общий!B312,".",""),"-",""),8))))),0)</f>
        <v>0</v>
      </c>
      <c r="B312" s="25">
        <f>IFERROR(CONCATENATE(VALUE(IF(LEN(IFERROR(VALUE(MID(TRIM(SUBSTITUTE(SUBSTITUTE(MID(Общий!B312,SEARCH("Karcher",Общий!B312,1),19),".",""),"-","")),SEARCH("Karcher",TRIM(SUBSTITUTE(SUBSTITUTE(MID(Общий!B312,SEARCH("Karcher",Общий!B312,1),19),".",""),"-","")),1)+8,8)),VALUE(LEFT(SUBSTITUTE(SUBSTITUTE(Общий!B312,".",""),"-",""),8))))=7,CONCATENATE(IFERROR(VALUE(MID(TRIM(SUBSTITUTE(SUBSTITUTE(MID(Общий!B312,SEARCH("Karcher",Общий!B312,1),19),".",""),"-","")),SEARCH("Karcher",TRIM(SUBSTITUTE(SUBSTITUTE(MID(Общий!B312,SEARCH("Karcher",Общий!B312,1),19),".",""),"-","")),1)+8,8)),VALUE(LEFT(SUBSTITUTE(SUBSTITUTE(Общий!B312,".",""),"-",""),8))),"0"),IFERROR(VALUE(MID(TRIM(SUBSTITUTE(SUBSTITUTE(MID(Общий!B312,SEARCH("Karcher",Общий!B312,1),19),".",""),"-","")),SEARCH("Karcher",TRIM(SUBSTITUTE(SUBSTITUTE(MID(Общий!B312,SEARCH("Karcher",Общий!B312,1),19),".",""),"-","")),1)+8,8)),VALUE(LEFT(SUBSTITUTE(SUBSTITUTE(Общий!B312,".",""),"-",""),8)))))," ",Общий!C312),0)</f>
        <v>0</v>
      </c>
      <c r="C312" s="29" t="str">
        <f>Общий!A312</f>
        <v>304</v>
      </c>
      <c r="D312" s="27">
        <f>Общий!B312</f>
        <v>0</v>
      </c>
      <c r="E312" s="28">
        <f>Общий!C312</f>
        <v>0</v>
      </c>
      <c r="F312" s="16"/>
      <c r="G312" s="44"/>
      <c r="H312" s="44"/>
      <c r="I312" s="44"/>
      <c r="J312" s="35"/>
      <c r="K312" s="16"/>
    </row>
    <row r="313" spans="1:11">
      <c r="A313" s="31">
        <f>IFERROR(VALUE(IF(LEN(IFERROR(VALUE(MID(TRIM(SUBSTITUTE(SUBSTITUTE(MID(Общий!B313,SEARCH("Karcher",Общий!B313,1),19),".",""),"-","")),SEARCH("Karcher",TRIM(SUBSTITUTE(SUBSTITUTE(MID(Общий!B313,SEARCH("Karcher",Общий!B313,1),19),".",""),"-","")),1)+8,8)),VALUE(LEFT(SUBSTITUTE(SUBSTITUTE(Общий!B313,".",""),"-",""),8))))=7,CONCATENATE(IFERROR(VALUE(MID(TRIM(SUBSTITUTE(SUBSTITUTE(MID(Общий!B313,SEARCH("Karcher",Общий!B313,1),19),".",""),"-","")),SEARCH("Karcher",TRIM(SUBSTITUTE(SUBSTITUTE(MID(Общий!B313,SEARCH("Karcher",Общий!B313,1),19),".",""),"-","")),1)+8,8)),VALUE(LEFT(SUBSTITUTE(SUBSTITUTE(Общий!B313,".",""),"-",""),8))),"0"),IFERROR(VALUE(MID(TRIM(SUBSTITUTE(SUBSTITUTE(MID(Общий!B313,SEARCH("Karcher",Общий!B313,1),19),".",""),"-","")),SEARCH("Karcher",TRIM(SUBSTITUTE(SUBSTITUTE(MID(Общий!B313,SEARCH("Karcher",Общий!B313,1),19),".",""),"-","")),1)+8,8)),VALUE(LEFT(SUBSTITUTE(SUBSTITUTE(Общий!B313,".",""),"-",""),8))))),0)</f>
        <v>0</v>
      </c>
      <c r="B313" s="25">
        <f>IFERROR(CONCATENATE(VALUE(IF(LEN(IFERROR(VALUE(MID(TRIM(SUBSTITUTE(SUBSTITUTE(MID(Общий!B313,SEARCH("Karcher",Общий!B313,1),19),".",""),"-","")),SEARCH("Karcher",TRIM(SUBSTITUTE(SUBSTITUTE(MID(Общий!B313,SEARCH("Karcher",Общий!B313,1),19),".",""),"-","")),1)+8,8)),VALUE(LEFT(SUBSTITUTE(SUBSTITUTE(Общий!B313,".",""),"-",""),8))))=7,CONCATENATE(IFERROR(VALUE(MID(TRIM(SUBSTITUTE(SUBSTITUTE(MID(Общий!B313,SEARCH("Karcher",Общий!B313,1),19),".",""),"-","")),SEARCH("Karcher",TRIM(SUBSTITUTE(SUBSTITUTE(MID(Общий!B313,SEARCH("Karcher",Общий!B313,1),19),".",""),"-","")),1)+8,8)),VALUE(LEFT(SUBSTITUTE(SUBSTITUTE(Общий!B313,".",""),"-",""),8))),"0"),IFERROR(VALUE(MID(TRIM(SUBSTITUTE(SUBSTITUTE(MID(Общий!B313,SEARCH("Karcher",Общий!B313,1),19),".",""),"-","")),SEARCH("Karcher",TRIM(SUBSTITUTE(SUBSTITUTE(MID(Общий!B313,SEARCH("Karcher",Общий!B313,1),19),".",""),"-","")),1)+8,8)),VALUE(LEFT(SUBSTITUTE(SUBSTITUTE(Общий!B313,".",""),"-",""),8)))))," ",Общий!C313),0)</f>
        <v>0</v>
      </c>
      <c r="C313" s="29" t="str">
        <f>Общий!A313</f>
        <v>305</v>
      </c>
      <c r="D313" s="27">
        <f>Общий!B313</f>
        <v>0</v>
      </c>
      <c r="E313" s="28">
        <f>Общий!C313</f>
        <v>0</v>
      </c>
      <c r="F313" s="16"/>
      <c r="G313" s="44"/>
      <c r="H313" s="44"/>
      <c r="I313" s="44"/>
      <c r="J313" s="35"/>
      <c r="K313" s="16"/>
    </row>
    <row r="314" spans="1:11">
      <c r="A314" s="31">
        <f>IFERROR(VALUE(IF(LEN(IFERROR(VALUE(MID(TRIM(SUBSTITUTE(SUBSTITUTE(MID(Общий!B314,SEARCH("Karcher",Общий!B314,1),19),".",""),"-","")),SEARCH("Karcher",TRIM(SUBSTITUTE(SUBSTITUTE(MID(Общий!B314,SEARCH("Karcher",Общий!B314,1),19),".",""),"-","")),1)+8,8)),VALUE(LEFT(SUBSTITUTE(SUBSTITUTE(Общий!B314,".",""),"-",""),8))))=7,CONCATENATE(IFERROR(VALUE(MID(TRIM(SUBSTITUTE(SUBSTITUTE(MID(Общий!B314,SEARCH("Karcher",Общий!B314,1),19),".",""),"-","")),SEARCH("Karcher",TRIM(SUBSTITUTE(SUBSTITUTE(MID(Общий!B314,SEARCH("Karcher",Общий!B314,1),19),".",""),"-","")),1)+8,8)),VALUE(LEFT(SUBSTITUTE(SUBSTITUTE(Общий!B314,".",""),"-",""),8))),"0"),IFERROR(VALUE(MID(TRIM(SUBSTITUTE(SUBSTITUTE(MID(Общий!B314,SEARCH("Karcher",Общий!B314,1),19),".",""),"-","")),SEARCH("Karcher",TRIM(SUBSTITUTE(SUBSTITUTE(MID(Общий!B314,SEARCH("Karcher",Общий!B314,1),19),".",""),"-","")),1)+8,8)),VALUE(LEFT(SUBSTITUTE(SUBSTITUTE(Общий!B314,".",""),"-",""),8))))),0)</f>
        <v>0</v>
      </c>
      <c r="B314" s="25">
        <f>IFERROR(CONCATENATE(VALUE(IF(LEN(IFERROR(VALUE(MID(TRIM(SUBSTITUTE(SUBSTITUTE(MID(Общий!B314,SEARCH("Karcher",Общий!B314,1),19),".",""),"-","")),SEARCH("Karcher",TRIM(SUBSTITUTE(SUBSTITUTE(MID(Общий!B314,SEARCH("Karcher",Общий!B314,1),19),".",""),"-","")),1)+8,8)),VALUE(LEFT(SUBSTITUTE(SUBSTITUTE(Общий!B314,".",""),"-",""),8))))=7,CONCATENATE(IFERROR(VALUE(MID(TRIM(SUBSTITUTE(SUBSTITUTE(MID(Общий!B314,SEARCH("Karcher",Общий!B314,1),19),".",""),"-","")),SEARCH("Karcher",TRIM(SUBSTITUTE(SUBSTITUTE(MID(Общий!B314,SEARCH("Karcher",Общий!B314,1),19),".",""),"-","")),1)+8,8)),VALUE(LEFT(SUBSTITUTE(SUBSTITUTE(Общий!B314,".",""),"-",""),8))),"0"),IFERROR(VALUE(MID(TRIM(SUBSTITUTE(SUBSTITUTE(MID(Общий!B314,SEARCH("Karcher",Общий!B314,1),19),".",""),"-","")),SEARCH("Karcher",TRIM(SUBSTITUTE(SUBSTITUTE(MID(Общий!B314,SEARCH("Karcher",Общий!B314,1),19),".",""),"-","")),1)+8,8)),VALUE(LEFT(SUBSTITUTE(SUBSTITUTE(Общий!B314,".",""),"-",""),8)))))," ",Общий!C314),0)</f>
        <v>0</v>
      </c>
      <c r="C314" s="29" t="str">
        <f>Общий!A314</f>
        <v>306</v>
      </c>
      <c r="D314" s="27">
        <f>Общий!B314</f>
        <v>0</v>
      </c>
      <c r="E314" s="28">
        <f>Общий!C314</f>
        <v>0</v>
      </c>
      <c r="F314" s="16"/>
      <c r="G314" s="44"/>
      <c r="H314" s="44"/>
      <c r="I314" s="44"/>
      <c r="J314" s="35"/>
      <c r="K314" s="16"/>
    </row>
    <row r="315" spans="1:11">
      <c r="A315" s="31">
        <f>IFERROR(VALUE(IF(LEN(IFERROR(VALUE(MID(TRIM(SUBSTITUTE(SUBSTITUTE(MID(Общий!B315,SEARCH("Karcher",Общий!B315,1),19),".",""),"-","")),SEARCH("Karcher",TRIM(SUBSTITUTE(SUBSTITUTE(MID(Общий!B315,SEARCH("Karcher",Общий!B315,1),19),".",""),"-","")),1)+8,8)),VALUE(LEFT(SUBSTITUTE(SUBSTITUTE(Общий!B315,".",""),"-",""),8))))=7,CONCATENATE(IFERROR(VALUE(MID(TRIM(SUBSTITUTE(SUBSTITUTE(MID(Общий!B315,SEARCH("Karcher",Общий!B315,1),19),".",""),"-","")),SEARCH("Karcher",TRIM(SUBSTITUTE(SUBSTITUTE(MID(Общий!B315,SEARCH("Karcher",Общий!B315,1),19),".",""),"-","")),1)+8,8)),VALUE(LEFT(SUBSTITUTE(SUBSTITUTE(Общий!B315,".",""),"-",""),8))),"0"),IFERROR(VALUE(MID(TRIM(SUBSTITUTE(SUBSTITUTE(MID(Общий!B315,SEARCH("Karcher",Общий!B315,1),19),".",""),"-","")),SEARCH("Karcher",TRIM(SUBSTITUTE(SUBSTITUTE(MID(Общий!B315,SEARCH("Karcher",Общий!B315,1),19),".",""),"-","")),1)+8,8)),VALUE(LEFT(SUBSTITUTE(SUBSTITUTE(Общий!B315,".",""),"-",""),8))))),0)</f>
        <v>0</v>
      </c>
      <c r="B315" s="25">
        <f>IFERROR(CONCATENATE(VALUE(IF(LEN(IFERROR(VALUE(MID(TRIM(SUBSTITUTE(SUBSTITUTE(MID(Общий!B315,SEARCH("Karcher",Общий!B315,1),19),".",""),"-","")),SEARCH("Karcher",TRIM(SUBSTITUTE(SUBSTITUTE(MID(Общий!B315,SEARCH("Karcher",Общий!B315,1),19),".",""),"-","")),1)+8,8)),VALUE(LEFT(SUBSTITUTE(SUBSTITUTE(Общий!B315,".",""),"-",""),8))))=7,CONCATENATE(IFERROR(VALUE(MID(TRIM(SUBSTITUTE(SUBSTITUTE(MID(Общий!B315,SEARCH("Karcher",Общий!B315,1),19),".",""),"-","")),SEARCH("Karcher",TRIM(SUBSTITUTE(SUBSTITUTE(MID(Общий!B315,SEARCH("Karcher",Общий!B315,1),19),".",""),"-","")),1)+8,8)),VALUE(LEFT(SUBSTITUTE(SUBSTITUTE(Общий!B315,".",""),"-",""),8))),"0"),IFERROR(VALUE(MID(TRIM(SUBSTITUTE(SUBSTITUTE(MID(Общий!B315,SEARCH("Karcher",Общий!B315,1),19),".",""),"-","")),SEARCH("Karcher",TRIM(SUBSTITUTE(SUBSTITUTE(MID(Общий!B315,SEARCH("Karcher",Общий!B315,1),19),".",""),"-","")),1)+8,8)),VALUE(LEFT(SUBSTITUTE(SUBSTITUTE(Общий!B315,".",""),"-",""),8)))))," ",Общий!C315),0)</f>
        <v>0</v>
      </c>
      <c r="C315" s="29" t="str">
        <f>Общий!A315</f>
        <v>307</v>
      </c>
      <c r="D315" s="27">
        <f>Общий!B315</f>
        <v>0</v>
      </c>
      <c r="E315" s="28">
        <f>Общий!C315</f>
        <v>0</v>
      </c>
      <c r="F315" s="16"/>
      <c r="G315" s="44"/>
      <c r="H315" s="44"/>
      <c r="I315" s="44"/>
      <c r="J315" s="35"/>
      <c r="K315" s="16"/>
    </row>
    <row r="316" spans="1:11">
      <c r="A316" s="31">
        <f>IFERROR(VALUE(IF(LEN(IFERROR(VALUE(MID(TRIM(SUBSTITUTE(SUBSTITUTE(MID(Общий!B316,SEARCH("Karcher",Общий!B316,1),19),".",""),"-","")),SEARCH("Karcher",TRIM(SUBSTITUTE(SUBSTITUTE(MID(Общий!B316,SEARCH("Karcher",Общий!B316,1),19),".",""),"-","")),1)+8,8)),VALUE(LEFT(SUBSTITUTE(SUBSTITUTE(Общий!B316,".",""),"-",""),8))))=7,CONCATENATE(IFERROR(VALUE(MID(TRIM(SUBSTITUTE(SUBSTITUTE(MID(Общий!B316,SEARCH("Karcher",Общий!B316,1),19),".",""),"-","")),SEARCH("Karcher",TRIM(SUBSTITUTE(SUBSTITUTE(MID(Общий!B316,SEARCH("Karcher",Общий!B316,1),19),".",""),"-","")),1)+8,8)),VALUE(LEFT(SUBSTITUTE(SUBSTITUTE(Общий!B316,".",""),"-",""),8))),"0"),IFERROR(VALUE(MID(TRIM(SUBSTITUTE(SUBSTITUTE(MID(Общий!B316,SEARCH("Karcher",Общий!B316,1),19),".",""),"-","")),SEARCH("Karcher",TRIM(SUBSTITUTE(SUBSTITUTE(MID(Общий!B316,SEARCH("Karcher",Общий!B316,1),19),".",""),"-","")),1)+8,8)),VALUE(LEFT(SUBSTITUTE(SUBSTITUTE(Общий!B316,".",""),"-",""),8))))),0)</f>
        <v>0</v>
      </c>
      <c r="B316" s="25">
        <f>IFERROR(CONCATENATE(VALUE(IF(LEN(IFERROR(VALUE(MID(TRIM(SUBSTITUTE(SUBSTITUTE(MID(Общий!B316,SEARCH("Karcher",Общий!B316,1),19),".",""),"-","")),SEARCH("Karcher",TRIM(SUBSTITUTE(SUBSTITUTE(MID(Общий!B316,SEARCH("Karcher",Общий!B316,1),19),".",""),"-","")),1)+8,8)),VALUE(LEFT(SUBSTITUTE(SUBSTITUTE(Общий!B316,".",""),"-",""),8))))=7,CONCATENATE(IFERROR(VALUE(MID(TRIM(SUBSTITUTE(SUBSTITUTE(MID(Общий!B316,SEARCH("Karcher",Общий!B316,1),19),".",""),"-","")),SEARCH("Karcher",TRIM(SUBSTITUTE(SUBSTITUTE(MID(Общий!B316,SEARCH("Karcher",Общий!B316,1),19),".",""),"-","")),1)+8,8)),VALUE(LEFT(SUBSTITUTE(SUBSTITUTE(Общий!B316,".",""),"-",""),8))),"0"),IFERROR(VALUE(MID(TRIM(SUBSTITUTE(SUBSTITUTE(MID(Общий!B316,SEARCH("Karcher",Общий!B316,1),19),".",""),"-","")),SEARCH("Karcher",TRIM(SUBSTITUTE(SUBSTITUTE(MID(Общий!B316,SEARCH("Karcher",Общий!B316,1),19),".",""),"-","")),1)+8,8)),VALUE(LEFT(SUBSTITUTE(SUBSTITUTE(Общий!B316,".",""),"-",""),8)))))," ",Общий!C316),0)</f>
        <v>0</v>
      </c>
      <c r="C316" s="29" t="str">
        <f>Общий!A316</f>
        <v>308</v>
      </c>
      <c r="D316" s="27">
        <f>Общий!B316</f>
        <v>0</v>
      </c>
      <c r="E316" s="28">
        <f>Общий!C316</f>
        <v>0</v>
      </c>
      <c r="F316" s="16"/>
      <c r="G316" s="44"/>
      <c r="H316" s="44"/>
      <c r="I316" s="44"/>
      <c r="J316" s="35"/>
      <c r="K316" s="16"/>
    </row>
    <row r="317" spans="1:11">
      <c r="A317" s="31">
        <f>IFERROR(VALUE(IF(LEN(IFERROR(VALUE(MID(TRIM(SUBSTITUTE(SUBSTITUTE(MID(Общий!B317,SEARCH("Karcher",Общий!B317,1),19),".",""),"-","")),SEARCH("Karcher",TRIM(SUBSTITUTE(SUBSTITUTE(MID(Общий!B317,SEARCH("Karcher",Общий!B317,1),19),".",""),"-","")),1)+8,8)),VALUE(LEFT(SUBSTITUTE(SUBSTITUTE(Общий!B317,".",""),"-",""),8))))=7,CONCATENATE(IFERROR(VALUE(MID(TRIM(SUBSTITUTE(SUBSTITUTE(MID(Общий!B317,SEARCH("Karcher",Общий!B317,1),19),".",""),"-","")),SEARCH("Karcher",TRIM(SUBSTITUTE(SUBSTITUTE(MID(Общий!B317,SEARCH("Karcher",Общий!B317,1),19),".",""),"-","")),1)+8,8)),VALUE(LEFT(SUBSTITUTE(SUBSTITUTE(Общий!B317,".",""),"-",""),8))),"0"),IFERROR(VALUE(MID(TRIM(SUBSTITUTE(SUBSTITUTE(MID(Общий!B317,SEARCH("Karcher",Общий!B317,1),19),".",""),"-","")),SEARCH("Karcher",TRIM(SUBSTITUTE(SUBSTITUTE(MID(Общий!B317,SEARCH("Karcher",Общий!B317,1),19),".",""),"-","")),1)+8,8)),VALUE(LEFT(SUBSTITUTE(SUBSTITUTE(Общий!B317,".",""),"-",""),8))))),0)</f>
        <v>0</v>
      </c>
      <c r="B317" s="25">
        <f>IFERROR(CONCATENATE(VALUE(IF(LEN(IFERROR(VALUE(MID(TRIM(SUBSTITUTE(SUBSTITUTE(MID(Общий!B317,SEARCH("Karcher",Общий!B317,1),19),".",""),"-","")),SEARCH("Karcher",TRIM(SUBSTITUTE(SUBSTITUTE(MID(Общий!B317,SEARCH("Karcher",Общий!B317,1),19),".",""),"-","")),1)+8,8)),VALUE(LEFT(SUBSTITUTE(SUBSTITUTE(Общий!B317,".",""),"-",""),8))))=7,CONCATENATE(IFERROR(VALUE(MID(TRIM(SUBSTITUTE(SUBSTITUTE(MID(Общий!B317,SEARCH("Karcher",Общий!B317,1),19),".",""),"-","")),SEARCH("Karcher",TRIM(SUBSTITUTE(SUBSTITUTE(MID(Общий!B317,SEARCH("Karcher",Общий!B317,1),19),".",""),"-","")),1)+8,8)),VALUE(LEFT(SUBSTITUTE(SUBSTITUTE(Общий!B317,".",""),"-",""),8))),"0"),IFERROR(VALUE(MID(TRIM(SUBSTITUTE(SUBSTITUTE(MID(Общий!B317,SEARCH("Karcher",Общий!B317,1),19),".",""),"-","")),SEARCH("Karcher",TRIM(SUBSTITUTE(SUBSTITUTE(MID(Общий!B317,SEARCH("Karcher",Общий!B317,1),19),".",""),"-","")),1)+8,8)),VALUE(LEFT(SUBSTITUTE(SUBSTITUTE(Общий!B317,".",""),"-",""),8)))))," ",Общий!C317),0)</f>
        <v>0</v>
      </c>
      <c r="C317" s="29" t="str">
        <f>Общий!A317</f>
        <v>309</v>
      </c>
      <c r="D317" s="27">
        <f>Общий!B317</f>
        <v>0</v>
      </c>
      <c r="E317" s="28">
        <f>Общий!C317</f>
        <v>0</v>
      </c>
      <c r="F317" s="16"/>
      <c r="G317" s="44"/>
      <c r="H317" s="44"/>
      <c r="I317" s="44"/>
      <c r="J317" s="35"/>
      <c r="K317" s="16"/>
    </row>
    <row r="318" spans="1:11">
      <c r="A318" s="31">
        <f>IFERROR(VALUE(IF(LEN(IFERROR(VALUE(MID(TRIM(SUBSTITUTE(SUBSTITUTE(MID(Общий!B318,SEARCH("Karcher",Общий!B318,1),19),".",""),"-","")),SEARCH("Karcher",TRIM(SUBSTITUTE(SUBSTITUTE(MID(Общий!B318,SEARCH("Karcher",Общий!B318,1),19),".",""),"-","")),1)+8,8)),VALUE(LEFT(SUBSTITUTE(SUBSTITUTE(Общий!B318,".",""),"-",""),8))))=7,CONCATENATE(IFERROR(VALUE(MID(TRIM(SUBSTITUTE(SUBSTITUTE(MID(Общий!B318,SEARCH("Karcher",Общий!B318,1),19),".",""),"-","")),SEARCH("Karcher",TRIM(SUBSTITUTE(SUBSTITUTE(MID(Общий!B318,SEARCH("Karcher",Общий!B318,1),19),".",""),"-","")),1)+8,8)),VALUE(LEFT(SUBSTITUTE(SUBSTITUTE(Общий!B318,".",""),"-",""),8))),"0"),IFERROR(VALUE(MID(TRIM(SUBSTITUTE(SUBSTITUTE(MID(Общий!B318,SEARCH("Karcher",Общий!B318,1),19),".",""),"-","")),SEARCH("Karcher",TRIM(SUBSTITUTE(SUBSTITUTE(MID(Общий!B318,SEARCH("Karcher",Общий!B318,1),19),".",""),"-","")),1)+8,8)),VALUE(LEFT(SUBSTITUTE(SUBSTITUTE(Общий!B318,".",""),"-",""),8))))),0)</f>
        <v>0</v>
      </c>
      <c r="B318" s="25">
        <f>IFERROR(CONCATENATE(VALUE(IF(LEN(IFERROR(VALUE(MID(TRIM(SUBSTITUTE(SUBSTITUTE(MID(Общий!B318,SEARCH("Karcher",Общий!B318,1),19),".",""),"-","")),SEARCH("Karcher",TRIM(SUBSTITUTE(SUBSTITUTE(MID(Общий!B318,SEARCH("Karcher",Общий!B318,1),19),".",""),"-","")),1)+8,8)),VALUE(LEFT(SUBSTITUTE(SUBSTITUTE(Общий!B318,".",""),"-",""),8))))=7,CONCATENATE(IFERROR(VALUE(MID(TRIM(SUBSTITUTE(SUBSTITUTE(MID(Общий!B318,SEARCH("Karcher",Общий!B318,1),19),".",""),"-","")),SEARCH("Karcher",TRIM(SUBSTITUTE(SUBSTITUTE(MID(Общий!B318,SEARCH("Karcher",Общий!B318,1),19),".",""),"-","")),1)+8,8)),VALUE(LEFT(SUBSTITUTE(SUBSTITUTE(Общий!B318,".",""),"-",""),8))),"0"),IFERROR(VALUE(MID(TRIM(SUBSTITUTE(SUBSTITUTE(MID(Общий!B318,SEARCH("Karcher",Общий!B318,1),19),".",""),"-","")),SEARCH("Karcher",TRIM(SUBSTITUTE(SUBSTITUTE(MID(Общий!B318,SEARCH("Karcher",Общий!B318,1),19),".",""),"-","")),1)+8,8)),VALUE(LEFT(SUBSTITUTE(SUBSTITUTE(Общий!B318,".",""),"-",""),8)))))," ",Общий!C318),0)</f>
        <v>0</v>
      </c>
      <c r="C318" s="29" t="str">
        <f>Общий!A318</f>
        <v>310</v>
      </c>
      <c r="D318" s="27">
        <f>Общий!B318</f>
        <v>0</v>
      </c>
      <c r="E318" s="28">
        <f>Общий!C318</f>
        <v>0</v>
      </c>
      <c r="F318" s="16"/>
      <c r="G318" s="44"/>
      <c r="H318" s="44"/>
      <c r="I318" s="44"/>
      <c r="J318" s="35"/>
      <c r="K318" s="16"/>
    </row>
    <row r="319" spans="1:11">
      <c r="A319" s="31">
        <f>IFERROR(VALUE(IF(LEN(IFERROR(VALUE(MID(TRIM(SUBSTITUTE(SUBSTITUTE(MID(Общий!B319,SEARCH("Karcher",Общий!B319,1),19),".",""),"-","")),SEARCH("Karcher",TRIM(SUBSTITUTE(SUBSTITUTE(MID(Общий!B319,SEARCH("Karcher",Общий!B319,1),19),".",""),"-","")),1)+8,8)),VALUE(LEFT(SUBSTITUTE(SUBSTITUTE(Общий!B319,".",""),"-",""),8))))=7,CONCATENATE(IFERROR(VALUE(MID(TRIM(SUBSTITUTE(SUBSTITUTE(MID(Общий!B319,SEARCH("Karcher",Общий!B319,1),19),".",""),"-","")),SEARCH("Karcher",TRIM(SUBSTITUTE(SUBSTITUTE(MID(Общий!B319,SEARCH("Karcher",Общий!B319,1),19),".",""),"-","")),1)+8,8)),VALUE(LEFT(SUBSTITUTE(SUBSTITUTE(Общий!B319,".",""),"-",""),8))),"0"),IFERROR(VALUE(MID(TRIM(SUBSTITUTE(SUBSTITUTE(MID(Общий!B319,SEARCH("Karcher",Общий!B319,1),19),".",""),"-","")),SEARCH("Karcher",TRIM(SUBSTITUTE(SUBSTITUTE(MID(Общий!B319,SEARCH("Karcher",Общий!B319,1),19),".",""),"-","")),1)+8,8)),VALUE(LEFT(SUBSTITUTE(SUBSTITUTE(Общий!B319,".",""),"-",""),8))))),0)</f>
        <v>0</v>
      </c>
      <c r="B319" s="25">
        <f>IFERROR(CONCATENATE(VALUE(IF(LEN(IFERROR(VALUE(MID(TRIM(SUBSTITUTE(SUBSTITUTE(MID(Общий!B319,SEARCH("Karcher",Общий!B319,1),19),".",""),"-","")),SEARCH("Karcher",TRIM(SUBSTITUTE(SUBSTITUTE(MID(Общий!B319,SEARCH("Karcher",Общий!B319,1),19),".",""),"-","")),1)+8,8)),VALUE(LEFT(SUBSTITUTE(SUBSTITUTE(Общий!B319,".",""),"-",""),8))))=7,CONCATENATE(IFERROR(VALUE(MID(TRIM(SUBSTITUTE(SUBSTITUTE(MID(Общий!B319,SEARCH("Karcher",Общий!B319,1),19),".",""),"-","")),SEARCH("Karcher",TRIM(SUBSTITUTE(SUBSTITUTE(MID(Общий!B319,SEARCH("Karcher",Общий!B319,1),19),".",""),"-","")),1)+8,8)),VALUE(LEFT(SUBSTITUTE(SUBSTITUTE(Общий!B319,".",""),"-",""),8))),"0"),IFERROR(VALUE(MID(TRIM(SUBSTITUTE(SUBSTITUTE(MID(Общий!B319,SEARCH("Karcher",Общий!B319,1),19),".",""),"-","")),SEARCH("Karcher",TRIM(SUBSTITUTE(SUBSTITUTE(MID(Общий!B319,SEARCH("Karcher",Общий!B319,1),19),".",""),"-","")),1)+8,8)),VALUE(LEFT(SUBSTITUTE(SUBSTITUTE(Общий!B319,".",""),"-",""),8)))))," ",Общий!C319),0)</f>
        <v>0</v>
      </c>
      <c r="C319" s="29" t="str">
        <f>Общий!A319</f>
        <v>311</v>
      </c>
      <c r="D319" s="27">
        <f>Общий!B319</f>
        <v>0</v>
      </c>
      <c r="E319" s="28">
        <f>Общий!C319</f>
        <v>0</v>
      </c>
      <c r="F319" s="16"/>
      <c r="G319" s="44"/>
      <c r="H319" s="44"/>
      <c r="I319" s="44"/>
      <c r="J319" s="35"/>
      <c r="K319" s="16"/>
    </row>
    <row r="320" spans="1:11">
      <c r="A320" s="31">
        <f>IFERROR(VALUE(IF(LEN(IFERROR(VALUE(MID(TRIM(SUBSTITUTE(SUBSTITUTE(MID(Общий!B320,SEARCH("Karcher",Общий!B320,1),19),".",""),"-","")),SEARCH("Karcher",TRIM(SUBSTITUTE(SUBSTITUTE(MID(Общий!B320,SEARCH("Karcher",Общий!B320,1),19),".",""),"-","")),1)+8,8)),VALUE(LEFT(SUBSTITUTE(SUBSTITUTE(Общий!B320,".",""),"-",""),8))))=7,CONCATENATE(IFERROR(VALUE(MID(TRIM(SUBSTITUTE(SUBSTITUTE(MID(Общий!B320,SEARCH("Karcher",Общий!B320,1),19),".",""),"-","")),SEARCH("Karcher",TRIM(SUBSTITUTE(SUBSTITUTE(MID(Общий!B320,SEARCH("Karcher",Общий!B320,1),19),".",""),"-","")),1)+8,8)),VALUE(LEFT(SUBSTITUTE(SUBSTITUTE(Общий!B320,".",""),"-",""),8))),"0"),IFERROR(VALUE(MID(TRIM(SUBSTITUTE(SUBSTITUTE(MID(Общий!B320,SEARCH("Karcher",Общий!B320,1),19),".",""),"-","")),SEARCH("Karcher",TRIM(SUBSTITUTE(SUBSTITUTE(MID(Общий!B320,SEARCH("Karcher",Общий!B320,1),19),".",""),"-","")),1)+8,8)),VALUE(LEFT(SUBSTITUTE(SUBSTITUTE(Общий!B320,".",""),"-",""),8))))),0)</f>
        <v>0</v>
      </c>
      <c r="B320" s="25">
        <f>IFERROR(CONCATENATE(VALUE(IF(LEN(IFERROR(VALUE(MID(TRIM(SUBSTITUTE(SUBSTITUTE(MID(Общий!B320,SEARCH("Karcher",Общий!B320,1),19),".",""),"-","")),SEARCH("Karcher",TRIM(SUBSTITUTE(SUBSTITUTE(MID(Общий!B320,SEARCH("Karcher",Общий!B320,1),19),".",""),"-","")),1)+8,8)),VALUE(LEFT(SUBSTITUTE(SUBSTITUTE(Общий!B320,".",""),"-",""),8))))=7,CONCATENATE(IFERROR(VALUE(MID(TRIM(SUBSTITUTE(SUBSTITUTE(MID(Общий!B320,SEARCH("Karcher",Общий!B320,1),19),".",""),"-","")),SEARCH("Karcher",TRIM(SUBSTITUTE(SUBSTITUTE(MID(Общий!B320,SEARCH("Karcher",Общий!B320,1),19),".",""),"-","")),1)+8,8)),VALUE(LEFT(SUBSTITUTE(SUBSTITUTE(Общий!B320,".",""),"-",""),8))),"0"),IFERROR(VALUE(MID(TRIM(SUBSTITUTE(SUBSTITUTE(MID(Общий!B320,SEARCH("Karcher",Общий!B320,1),19),".",""),"-","")),SEARCH("Karcher",TRIM(SUBSTITUTE(SUBSTITUTE(MID(Общий!B320,SEARCH("Karcher",Общий!B320,1),19),".",""),"-","")),1)+8,8)),VALUE(LEFT(SUBSTITUTE(SUBSTITUTE(Общий!B320,".",""),"-",""),8)))))," ",Общий!C320),0)</f>
        <v>0</v>
      </c>
      <c r="C320" s="29" t="str">
        <f>Общий!A320</f>
        <v>312</v>
      </c>
      <c r="D320" s="27">
        <f>Общий!B320</f>
        <v>0</v>
      </c>
      <c r="E320" s="28">
        <f>Общий!C320</f>
        <v>0</v>
      </c>
      <c r="F320" s="16"/>
      <c r="G320" s="44"/>
      <c r="H320" s="44"/>
      <c r="I320" s="44"/>
      <c r="J320" s="35"/>
      <c r="K320" s="16"/>
    </row>
    <row r="321" spans="1:11">
      <c r="A321" s="31">
        <f>IFERROR(VALUE(IF(LEN(IFERROR(VALUE(MID(TRIM(SUBSTITUTE(SUBSTITUTE(MID(Общий!B321,SEARCH("Karcher",Общий!B321,1),19),".",""),"-","")),SEARCH("Karcher",TRIM(SUBSTITUTE(SUBSTITUTE(MID(Общий!B321,SEARCH("Karcher",Общий!B321,1),19),".",""),"-","")),1)+8,8)),VALUE(LEFT(SUBSTITUTE(SUBSTITUTE(Общий!B321,".",""),"-",""),8))))=7,CONCATENATE(IFERROR(VALUE(MID(TRIM(SUBSTITUTE(SUBSTITUTE(MID(Общий!B321,SEARCH("Karcher",Общий!B321,1),19),".",""),"-","")),SEARCH("Karcher",TRIM(SUBSTITUTE(SUBSTITUTE(MID(Общий!B321,SEARCH("Karcher",Общий!B321,1),19),".",""),"-","")),1)+8,8)),VALUE(LEFT(SUBSTITUTE(SUBSTITUTE(Общий!B321,".",""),"-",""),8))),"0"),IFERROR(VALUE(MID(TRIM(SUBSTITUTE(SUBSTITUTE(MID(Общий!B321,SEARCH("Karcher",Общий!B321,1),19),".",""),"-","")),SEARCH("Karcher",TRIM(SUBSTITUTE(SUBSTITUTE(MID(Общий!B321,SEARCH("Karcher",Общий!B321,1),19),".",""),"-","")),1)+8,8)),VALUE(LEFT(SUBSTITUTE(SUBSTITUTE(Общий!B321,".",""),"-",""),8))))),0)</f>
        <v>0</v>
      </c>
      <c r="B321" s="25">
        <f>IFERROR(CONCATENATE(VALUE(IF(LEN(IFERROR(VALUE(MID(TRIM(SUBSTITUTE(SUBSTITUTE(MID(Общий!B321,SEARCH("Karcher",Общий!B321,1),19),".",""),"-","")),SEARCH("Karcher",TRIM(SUBSTITUTE(SUBSTITUTE(MID(Общий!B321,SEARCH("Karcher",Общий!B321,1),19),".",""),"-","")),1)+8,8)),VALUE(LEFT(SUBSTITUTE(SUBSTITUTE(Общий!B321,".",""),"-",""),8))))=7,CONCATENATE(IFERROR(VALUE(MID(TRIM(SUBSTITUTE(SUBSTITUTE(MID(Общий!B321,SEARCH("Karcher",Общий!B321,1),19),".",""),"-","")),SEARCH("Karcher",TRIM(SUBSTITUTE(SUBSTITUTE(MID(Общий!B321,SEARCH("Karcher",Общий!B321,1),19),".",""),"-","")),1)+8,8)),VALUE(LEFT(SUBSTITUTE(SUBSTITUTE(Общий!B321,".",""),"-",""),8))),"0"),IFERROR(VALUE(MID(TRIM(SUBSTITUTE(SUBSTITUTE(MID(Общий!B321,SEARCH("Karcher",Общий!B321,1),19),".",""),"-","")),SEARCH("Karcher",TRIM(SUBSTITUTE(SUBSTITUTE(MID(Общий!B321,SEARCH("Karcher",Общий!B321,1),19),".",""),"-","")),1)+8,8)),VALUE(LEFT(SUBSTITUTE(SUBSTITUTE(Общий!B321,".",""),"-",""),8)))))," ",Общий!C321),0)</f>
        <v>0</v>
      </c>
      <c r="C321" s="29" t="str">
        <f>Общий!A321</f>
        <v>313</v>
      </c>
      <c r="D321" s="27">
        <f>Общий!B321</f>
        <v>0</v>
      </c>
      <c r="E321" s="28">
        <f>Общий!C321</f>
        <v>0</v>
      </c>
      <c r="F321" s="16"/>
      <c r="G321" s="44"/>
      <c r="H321" s="44"/>
      <c r="I321" s="44"/>
      <c r="J321" s="35"/>
      <c r="K321" s="16"/>
    </row>
    <row r="322" spans="1:11">
      <c r="A322" s="31">
        <f>IFERROR(VALUE(IF(LEN(IFERROR(VALUE(MID(TRIM(SUBSTITUTE(SUBSTITUTE(MID(Общий!B322,SEARCH("Karcher",Общий!B322,1),19),".",""),"-","")),SEARCH("Karcher",TRIM(SUBSTITUTE(SUBSTITUTE(MID(Общий!B322,SEARCH("Karcher",Общий!B322,1),19),".",""),"-","")),1)+8,8)),VALUE(LEFT(SUBSTITUTE(SUBSTITUTE(Общий!B322,".",""),"-",""),8))))=7,CONCATENATE(IFERROR(VALUE(MID(TRIM(SUBSTITUTE(SUBSTITUTE(MID(Общий!B322,SEARCH("Karcher",Общий!B322,1),19),".",""),"-","")),SEARCH("Karcher",TRIM(SUBSTITUTE(SUBSTITUTE(MID(Общий!B322,SEARCH("Karcher",Общий!B322,1),19),".",""),"-","")),1)+8,8)),VALUE(LEFT(SUBSTITUTE(SUBSTITUTE(Общий!B322,".",""),"-",""),8))),"0"),IFERROR(VALUE(MID(TRIM(SUBSTITUTE(SUBSTITUTE(MID(Общий!B322,SEARCH("Karcher",Общий!B322,1),19),".",""),"-","")),SEARCH("Karcher",TRIM(SUBSTITUTE(SUBSTITUTE(MID(Общий!B322,SEARCH("Karcher",Общий!B322,1),19),".",""),"-","")),1)+8,8)),VALUE(LEFT(SUBSTITUTE(SUBSTITUTE(Общий!B322,".",""),"-",""),8))))),0)</f>
        <v>0</v>
      </c>
      <c r="B322" s="25">
        <f>IFERROR(CONCATENATE(VALUE(IF(LEN(IFERROR(VALUE(MID(TRIM(SUBSTITUTE(SUBSTITUTE(MID(Общий!B322,SEARCH("Karcher",Общий!B322,1),19),".",""),"-","")),SEARCH("Karcher",TRIM(SUBSTITUTE(SUBSTITUTE(MID(Общий!B322,SEARCH("Karcher",Общий!B322,1),19),".",""),"-","")),1)+8,8)),VALUE(LEFT(SUBSTITUTE(SUBSTITUTE(Общий!B322,".",""),"-",""),8))))=7,CONCATENATE(IFERROR(VALUE(MID(TRIM(SUBSTITUTE(SUBSTITUTE(MID(Общий!B322,SEARCH("Karcher",Общий!B322,1),19),".",""),"-","")),SEARCH("Karcher",TRIM(SUBSTITUTE(SUBSTITUTE(MID(Общий!B322,SEARCH("Karcher",Общий!B322,1),19),".",""),"-","")),1)+8,8)),VALUE(LEFT(SUBSTITUTE(SUBSTITUTE(Общий!B322,".",""),"-",""),8))),"0"),IFERROR(VALUE(MID(TRIM(SUBSTITUTE(SUBSTITUTE(MID(Общий!B322,SEARCH("Karcher",Общий!B322,1),19),".",""),"-","")),SEARCH("Karcher",TRIM(SUBSTITUTE(SUBSTITUTE(MID(Общий!B322,SEARCH("Karcher",Общий!B322,1),19),".",""),"-","")),1)+8,8)),VALUE(LEFT(SUBSTITUTE(SUBSTITUTE(Общий!B322,".",""),"-",""),8)))))," ",Общий!C322),0)</f>
        <v>0</v>
      </c>
      <c r="C322" s="29" t="str">
        <f>Общий!A322</f>
        <v>314</v>
      </c>
      <c r="D322" s="27">
        <f>Общий!B322</f>
        <v>0</v>
      </c>
      <c r="E322" s="28">
        <f>Общий!C322</f>
        <v>0</v>
      </c>
      <c r="F322" s="16"/>
      <c r="G322" s="44"/>
      <c r="H322" s="44"/>
      <c r="I322" s="44"/>
      <c r="J322" s="35"/>
      <c r="K322" s="16"/>
    </row>
    <row r="323" spans="1:11">
      <c r="A323" s="31">
        <f>IFERROR(VALUE(IF(LEN(IFERROR(VALUE(MID(TRIM(SUBSTITUTE(SUBSTITUTE(MID(Общий!B323,SEARCH("Karcher",Общий!B323,1),19),".",""),"-","")),SEARCH("Karcher",TRIM(SUBSTITUTE(SUBSTITUTE(MID(Общий!B323,SEARCH("Karcher",Общий!B323,1),19),".",""),"-","")),1)+8,8)),VALUE(LEFT(SUBSTITUTE(SUBSTITUTE(Общий!B323,".",""),"-",""),8))))=7,CONCATENATE(IFERROR(VALUE(MID(TRIM(SUBSTITUTE(SUBSTITUTE(MID(Общий!B323,SEARCH("Karcher",Общий!B323,1),19),".",""),"-","")),SEARCH("Karcher",TRIM(SUBSTITUTE(SUBSTITUTE(MID(Общий!B323,SEARCH("Karcher",Общий!B323,1),19),".",""),"-","")),1)+8,8)),VALUE(LEFT(SUBSTITUTE(SUBSTITUTE(Общий!B323,".",""),"-",""),8))),"0"),IFERROR(VALUE(MID(TRIM(SUBSTITUTE(SUBSTITUTE(MID(Общий!B323,SEARCH("Karcher",Общий!B323,1),19),".",""),"-","")),SEARCH("Karcher",TRIM(SUBSTITUTE(SUBSTITUTE(MID(Общий!B323,SEARCH("Karcher",Общий!B323,1),19),".",""),"-","")),1)+8,8)),VALUE(LEFT(SUBSTITUTE(SUBSTITUTE(Общий!B323,".",""),"-",""),8))))),0)</f>
        <v>0</v>
      </c>
      <c r="B323" s="25">
        <f>IFERROR(CONCATENATE(VALUE(IF(LEN(IFERROR(VALUE(MID(TRIM(SUBSTITUTE(SUBSTITUTE(MID(Общий!B323,SEARCH("Karcher",Общий!B323,1),19),".",""),"-","")),SEARCH("Karcher",TRIM(SUBSTITUTE(SUBSTITUTE(MID(Общий!B323,SEARCH("Karcher",Общий!B323,1),19),".",""),"-","")),1)+8,8)),VALUE(LEFT(SUBSTITUTE(SUBSTITUTE(Общий!B323,".",""),"-",""),8))))=7,CONCATENATE(IFERROR(VALUE(MID(TRIM(SUBSTITUTE(SUBSTITUTE(MID(Общий!B323,SEARCH("Karcher",Общий!B323,1),19),".",""),"-","")),SEARCH("Karcher",TRIM(SUBSTITUTE(SUBSTITUTE(MID(Общий!B323,SEARCH("Karcher",Общий!B323,1),19),".",""),"-","")),1)+8,8)),VALUE(LEFT(SUBSTITUTE(SUBSTITUTE(Общий!B323,".",""),"-",""),8))),"0"),IFERROR(VALUE(MID(TRIM(SUBSTITUTE(SUBSTITUTE(MID(Общий!B323,SEARCH("Karcher",Общий!B323,1),19),".",""),"-","")),SEARCH("Karcher",TRIM(SUBSTITUTE(SUBSTITUTE(MID(Общий!B323,SEARCH("Karcher",Общий!B323,1),19),".",""),"-","")),1)+8,8)),VALUE(LEFT(SUBSTITUTE(SUBSTITUTE(Общий!B323,".",""),"-",""),8)))))," ",Общий!C323),0)</f>
        <v>0</v>
      </c>
      <c r="C323" s="29" t="str">
        <f>Общий!A323</f>
        <v>315</v>
      </c>
      <c r="D323" s="27">
        <f>Общий!B323</f>
        <v>0</v>
      </c>
      <c r="E323" s="28">
        <f>Общий!C323</f>
        <v>0</v>
      </c>
      <c r="F323" s="16"/>
      <c r="G323" s="44"/>
      <c r="H323" s="44"/>
      <c r="I323" s="44"/>
      <c r="J323" s="35"/>
      <c r="K323" s="16"/>
    </row>
    <row r="324" spans="1:11">
      <c r="A324" s="31">
        <f>IFERROR(VALUE(IF(LEN(IFERROR(VALUE(MID(TRIM(SUBSTITUTE(SUBSTITUTE(MID(Общий!B324,SEARCH("Karcher",Общий!B324,1),19),".",""),"-","")),SEARCH("Karcher",TRIM(SUBSTITUTE(SUBSTITUTE(MID(Общий!B324,SEARCH("Karcher",Общий!B324,1),19),".",""),"-","")),1)+8,8)),VALUE(LEFT(SUBSTITUTE(SUBSTITUTE(Общий!B324,".",""),"-",""),8))))=7,CONCATENATE(IFERROR(VALUE(MID(TRIM(SUBSTITUTE(SUBSTITUTE(MID(Общий!B324,SEARCH("Karcher",Общий!B324,1),19),".",""),"-","")),SEARCH("Karcher",TRIM(SUBSTITUTE(SUBSTITUTE(MID(Общий!B324,SEARCH("Karcher",Общий!B324,1),19),".",""),"-","")),1)+8,8)),VALUE(LEFT(SUBSTITUTE(SUBSTITUTE(Общий!B324,".",""),"-",""),8))),"0"),IFERROR(VALUE(MID(TRIM(SUBSTITUTE(SUBSTITUTE(MID(Общий!B324,SEARCH("Karcher",Общий!B324,1),19),".",""),"-","")),SEARCH("Karcher",TRIM(SUBSTITUTE(SUBSTITUTE(MID(Общий!B324,SEARCH("Karcher",Общий!B324,1),19),".",""),"-","")),1)+8,8)),VALUE(LEFT(SUBSTITUTE(SUBSTITUTE(Общий!B324,".",""),"-",""),8))))),0)</f>
        <v>0</v>
      </c>
      <c r="B324" s="25">
        <f>IFERROR(CONCATENATE(VALUE(IF(LEN(IFERROR(VALUE(MID(TRIM(SUBSTITUTE(SUBSTITUTE(MID(Общий!B324,SEARCH("Karcher",Общий!B324,1),19),".",""),"-","")),SEARCH("Karcher",TRIM(SUBSTITUTE(SUBSTITUTE(MID(Общий!B324,SEARCH("Karcher",Общий!B324,1),19),".",""),"-","")),1)+8,8)),VALUE(LEFT(SUBSTITUTE(SUBSTITUTE(Общий!B324,".",""),"-",""),8))))=7,CONCATENATE(IFERROR(VALUE(MID(TRIM(SUBSTITUTE(SUBSTITUTE(MID(Общий!B324,SEARCH("Karcher",Общий!B324,1),19),".",""),"-","")),SEARCH("Karcher",TRIM(SUBSTITUTE(SUBSTITUTE(MID(Общий!B324,SEARCH("Karcher",Общий!B324,1),19),".",""),"-","")),1)+8,8)),VALUE(LEFT(SUBSTITUTE(SUBSTITUTE(Общий!B324,".",""),"-",""),8))),"0"),IFERROR(VALUE(MID(TRIM(SUBSTITUTE(SUBSTITUTE(MID(Общий!B324,SEARCH("Karcher",Общий!B324,1),19),".",""),"-","")),SEARCH("Karcher",TRIM(SUBSTITUTE(SUBSTITUTE(MID(Общий!B324,SEARCH("Karcher",Общий!B324,1),19),".",""),"-","")),1)+8,8)),VALUE(LEFT(SUBSTITUTE(SUBSTITUTE(Общий!B324,".",""),"-",""),8)))))," ",Общий!C324),0)</f>
        <v>0</v>
      </c>
      <c r="C324" s="29" t="str">
        <f>Общий!A324</f>
        <v>316</v>
      </c>
      <c r="D324" s="27">
        <f>Общий!B324</f>
        <v>0</v>
      </c>
      <c r="E324" s="28">
        <f>Общий!C324</f>
        <v>0</v>
      </c>
      <c r="F324" s="16"/>
      <c r="G324" s="44"/>
      <c r="H324" s="44"/>
      <c r="I324" s="44"/>
      <c r="J324" s="35"/>
      <c r="K324" s="16"/>
    </row>
    <row r="325" spans="1:11" ht="12" customHeight="1">
      <c r="A325" s="31">
        <f>IFERROR(VALUE(IF(LEN(IFERROR(VALUE(MID(TRIM(SUBSTITUTE(SUBSTITUTE(MID(Общий!B325,SEARCH("Karcher",Общий!B325,1),19),".",""),"-","")),SEARCH("Karcher",TRIM(SUBSTITUTE(SUBSTITUTE(MID(Общий!B325,SEARCH("Karcher",Общий!B325,1),19),".",""),"-","")),1)+8,8)),VALUE(LEFT(SUBSTITUTE(SUBSTITUTE(Общий!B325,".",""),"-",""),8))))=7,CONCATENATE(IFERROR(VALUE(MID(TRIM(SUBSTITUTE(SUBSTITUTE(MID(Общий!B325,SEARCH("Karcher",Общий!B325,1),19),".",""),"-","")),SEARCH("Karcher",TRIM(SUBSTITUTE(SUBSTITUTE(MID(Общий!B325,SEARCH("Karcher",Общий!B325,1),19),".",""),"-","")),1)+8,8)),VALUE(LEFT(SUBSTITUTE(SUBSTITUTE(Общий!B325,".",""),"-",""),8))),"0"),IFERROR(VALUE(MID(TRIM(SUBSTITUTE(SUBSTITUTE(MID(Общий!B325,SEARCH("Karcher",Общий!B325,1),19),".",""),"-","")),SEARCH("Karcher",TRIM(SUBSTITUTE(SUBSTITUTE(MID(Общий!B325,SEARCH("Karcher",Общий!B325,1),19),".",""),"-","")),1)+8,8)),VALUE(LEFT(SUBSTITUTE(SUBSTITUTE(Общий!B325,".",""),"-",""),8))))),0)</f>
        <v>0</v>
      </c>
      <c r="B325" s="25">
        <f>IFERROR(CONCATENATE(VALUE(IF(LEN(IFERROR(VALUE(MID(TRIM(SUBSTITUTE(SUBSTITUTE(MID(Общий!B325,SEARCH("Karcher",Общий!B325,1),19),".",""),"-","")),SEARCH("Karcher",TRIM(SUBSTITUTE(SUBSTITUTE(MID(Общий!B325,SEARCH("Karcher",Общий!B325,1),19),".",""),"-","")),1)+8,8)),VALUE(LEFT(SUBSTITUTE(SUBSTITUTE(Общий!B325,".",""),"-",""),8))))=7,CONCATENATE(IFERROR(VALUE(MID(TRIM(SUBSTITUTE(SUBSTITUTE(MID(Общий!B325,SEARCH("Karcher",Общий!B325,1),19),".",""),"-","")),SEARCH("Karcher",TRIM(SUBSTITUTE(SUBSTITUTE(MID(Общий!B325,SEARCH("Karcher",Общий!B325,1),19),".",""),"-","")),1)+8,8)),VALUE(LEFT(SUBSTITUTE(SUBSTITUTE(Общий!B325,".",""),"-",""),8))),"0"),IFERROR(VALUE(MID(TRIM(SUBSTITUTE(SUBSTITUTE(MID(Общий!B325,SEARCH("Karcher",Общий!B325,1),19),".",""),"-","")),SEARCH("Karcher",TRIM(SUBSTITUTE(SUBSTITUTE(MID(Общий!B325,SEARCH("Karcher",Общий!B325,1),19),".",""),"-","")),1)+8,8)),VALUE(LEFT(SUBSTITUTE(SUBSTITUTE(Общий!B325,".",""),"-",""),8)))))," ",Общий!C325),0)</f>
        <v>0</v>
      </c>
      <c r="C325" s="29" t="str">
        <f>Общий!A325</f>
        <v>317</v>
      </c>
      <c r="D325" s="27">
        <f>Общий!B325</f>
        <v>0</v>
      </c>
      <c r="E325" s="28">
        <f>Общий!C325</f>
        <v>0</v>
      </c>
      <c r="F325" s="16"/>
      <c r="G325" s="44"/>
      <c r="H325" s="44"/>
      <c r="I325" s="44"/>
      <c r="J325" s="35"/>
      <c r="K325" s="16"/>
    </row>
    <row r="326" spans="1:11" ht="12" customHeight="1">
      <c r="A326" s="31">
        <f>IFERROR(VALUE(IF(LEN(IFERROR(VALUE(MID(TRIM(SUBSTITUTE(SUBSTITUTE(MID(Общий!B326,SEARCH("Karcher",Общий!B326,1),19),".",""),"-","")),SEARCH("Karcher",TRIM(SUBSTITUTE(SUBSTITUTE(MID(Общий!B326,SEARCH("Karcher",Общий!B326,1),19),".",""),"-","")),1)+8,8)),VALUE(LEFT(SUBSTITUTE(SUBSTITUTE(Общий!B326,".",""),"-",""),8))))=7,CONCATENATE(IFERROR(VALUE(MID(TRIM(SUBSTITUTE(SUBSTITUTE(MID(Общий!B326,SEARCH("Karcher",Общий!B326,1),19),".",""),"-","")),SEARCH("Karcher",TRIM(SUBSTITUTE(SUBSTITUTE(MID(Общий!B326,SEARCH("Karcher",Общий!B326,1),19),".",""),"-","")),1)+8,8)),VALUE(LEFT(SUBSTITUTE(SUBSTITUTE(Общий!B326,".",""),"-",""),8))),"0"),IFERROR(VALUE(MID(TRIM(SUBSTITUTE(SUBSTITUTE(MID(Общий!B326,SEARCH("Karcher",Общий!B326,1),19),".",""),"-","")),SEARCH("Karcher",TRIM(SUBSTITUTE(SUBSTITUTE(MID(Общий!B326,SEARCH("Karcher",Общий!B326,1),19),".",""),"-","")),1)+8,8)),VALUE(LEFT(SUBSTITUTE(SUBSTITUTE(Общий!B326,".",""),"-",""),8))))),0)</f>
        <v>0</v>
      </c>
      <c r="B326" s="25">
        <f>IFERROR(CONCATENATE(VALUE(IF(LEN(IFERROR(VALUE(MID(TRIM(SUBSTITUTE(SUBSTITUTE(MID(Общий!B326,SEARCH("Karcher",Общий!B326,1),19),".",""),"-","")),SEARCH("Karcher",TRIM(SUBSTITUTE(SUBSTITUTE(MID(Общий!B326,SEARCH("Karcher",Общий!B326,1),19),".",""),"-","")),1)+8,8)),VALUE(LEFT(SUBSTITUTE(SUBSTITUTE(Общий!B326,".",""),"-",""),8))))=7,CONCATENATE(IFERROR(VALUE(MID(TRIM(SUBSTITUTE(SUBSTITUTE(MID(Общий!B326,SEARCH("Karcher",Общий!B326,1),19),".",""),"-","")),SEARCH("Karcher",TRIM(SUBSTITUTE(SUBSTITUTE(MID(Общий!B326,SEARCH("Karcher",Общий!B326,1),19),".",""),"-","")),1)+8,8)),VALUE(LEFT(SUBSTITUTE(SUBSTITUTE(Общий!B326,".",""),"-",""),8))),"0"),IFERROR(VALUE(MID(TRIM(SUBSTITUTE(SUBSTITUTE(MID(Общий!B326,SEARCH("Karcher",Общий!B326,1),19),".",""),"-","")),SEARCH("Karcher",TRIM(SUBSTITUTE(SUBSTITUTE(MID(Общий!B326,SEARCH("Karcher",Общий!B326,1),19),".",""),"-","")),1)+8,8)),VALUE(LEFT(SUBSTITUTE(SUBSTITUTE(Общий!B326,".",""),"-",""),8)))))," ",Общий!C326),0)</f>
        <v>0</v>
      </c>
      <c r="C326" s="29" t="str">
        <f>Общий!A326</f>
        <v>318</v>
      </c>
      <c r="D326" s="27">
        <f>Общий!B326</f>
        <v>0</v>
      </c>
      <c r="E326" s="28">
        <f>Общий!C326</f>
        <v>0</v>
      </c>
      <c r="F326" s="16"/>
      <c r="G326" s="44"/>
      <c r="H326" s="44"/>
      <c r="I326" s="44"/>
      <c r="J326" s="35"/>
      <c r="K326" s="16"/>
    </row>
    <row r="327" spans="1:11" ht="12" customHeight="1">
      <c r="A327" s="31">
        <f>IFERROR(VALUE(IF(LEN(IFERROR(VALUE(MID(TRIM(SUBSTITUTE(SUBSTITUTE(MID(Общий!B327,SEARCH("Karcher",Общий!B327,1),19),".",""),"-","")),SEARCH("Karcher",TRIM(SUBSTITUTE(SUBSTITUTE(MID(Общий!B327,SEARCH("Karcher",Общий!B327,1),19),".",""),"-","")),1)+8,8)),VALUE(LEFT(SUBSTITUTE(SUBSTITUTE(Общий!B327,".",""),"-",""),8))))=7,CONCATENATE(IFERROR(VALUE(MID(TRIM(SUBSTITUTE(SUBSTITUTE(MID(Общий!B327,SEARCH("Karcher",Общий!B327,1),19),".",""),"-","")),SEARCH("Karcher",TRIM(SUBSTITUTE(SUBSTITUTE(MID(Общий!B327,SEARCH("Karcher",Общий!B327,1),19),".",""),"-","")),1)+8,8)),VALUE(LEFT(SUBSTITUTE(SUBSTITUTE(Общий!B327,".",""),"-",""),8))),"0"),IFERROR(VALUE(MID(TRIM(SUBSTITUTE(SUBSTITUTE(MID(Общий!B327,SEARCH("Karcher",Общий!B327,1),19),".",""),"-","")),SEARCH("Karcher",TRIM(SUBSTITUTE(SUBSTITUTE(MID(Общий!B327,SEARCH("Karcher",Общий!B327,1),19),".",""),"-","")),1)+8,8)),VALUE(LEFT(SUBSTITUTE(SUBSTITUTE(Общий!B327,".",""),"-",""),8))))),0)</f>
        <v>0</v>
      </c>
      <c r="B327" s="25">
        <f>IFERROR(CONCATENATE(VALUE(IF(LEN(IFERROR(VALUE(MID(TRIM(SUBSTITUTE(SUBSTITUTE(MID(Общий!B327,SEARCH("Karcher",Общий!B327,1),19),".",""),"-","")),SEARCH("Karcher",TRIM(SUBSTITUTE(SUBSTITUTE(MID(Общий!B327,SEARCH("Karcher",Общий!B327,1),19),".",""),"-","")),1)+8,8)),VALUE(LEFT(SUBSTITUTE(SUBSTITUTE(Общий!B327,".",""),"-",""),8))))=7,CONCATENATE(IFERROR(VALUE(MID(TRIM(SUBSTITUTE(SUBSTITUTE(MID(Общий!B327,SEARCH("Karcher",Общий!B327,1),19),".",""),"-","")),SEARCH("Karcher",TRIM(SUBSTITUTE(SUBSTITUTE(MID(Общий!B327,SEARCH("Karcher",Общий!B327,1),19),".",""),"-","")),1)+8,8)),VALUE(LEFT(SUBSTITUTE(SUBSTITUTE(Общий!B327,".",""),"-",""),8))),"0"),IFERROR(VALUE(MID(TRIM(SUBSTITUTE(SUBSTITUTE(MID(Общий!B327,SEARCH("Karcher",Общий!B327,1),19),".",""),"-","")),SEARCH("Karcher",TRIM(SUBSTITUTE(SUBSTITUTE(MID(Общий!B327,SEARCH("Karcher",Общий!B327,1),19),".",""),"-","")),1)+8,8)),VALUE(LEFT(SUBSTITUTE(SUBSTITUTE(Общий!B327,".",""),"-",""),8)))))," ",Общий!C327),0)</f>
        <v>0</v>
      </c>
      <c r="C327" s="29" t="str">
        <f>Общий!A327</f>
        <v>319</v>
      </c>
      <c r="D327" s="27">
        <f>Общий!B327</f>
        <v>0</v>
      </c>
      <c r="E327" s="28">
        <f>Общий!C327</f>
        <v>0</v>
      </c>
      <c r="F327" s="16"/>
      <c r="G327" s="44"/>
      <c r="H327" s="44"/>
      <c r="I327" s="44"/>
      <c r="J327" s="35"/>
      <c r="K327" s="16"/>
    </row>
    <row r="328" spans="1:11" ht="12" customHeight="1">
      <c r="A328" s="31">
        <f>IFERROR(VALUE(IF(LEN(IFERROR(VALUE(MID(TRIM(SUBSTITUTE(SUBSTITUTE(MID(Общий!B328,SEARCH("Karcher",Общий!B328,1),19),".",""),"-","")),SEARCH("Karcher",TRIM(SUBSTITUTE(SUBSTITUTE(MID(Общий!B328,SEARCH("Karcher",Общий!B328,1),19),".",""),"-","")),1)+8,8)),VALUE(LEFT(SUBSTITUTE(SUBSTITUTE(Общий!B328,".",""),"-",""),8))))=7,CONCATENATE(IFERROR(VALUE(MID(TRIM(SUBSTITUTE(SUBSTITUTE(MID(Общий!B328,SEARCH("Karcher",Общий!B328,1),19),".",""),"-","")),SEARCH("Karcher",TRIM(SUBSTITUTE(SUBSTITUTE(MID(Общий!B328,SEARCH("Karcher",Общий!B328,1),19),".",""),"-","")),1)+8,8)),VALUE(LEFT(SUBSTITUTE(SUBSTITUTE(Общий!B328,".",""),"-",""),8))),"0"),IFERROR(VALUE(MID(TRIM(SUBSTITUTE(SUBSTITUTE(MID(Общий!B328,SEARCH("Karcher",Общий!B328,1),19),".",""),"-","")),SEARCH("Karcher",TRIM(SUBSTITUTE(SUBSTITUTE(MID(Общий!B328,SEARCH("Karcher",Общий!B328,1),19),".",""),"-","")),1)+8,8)),VALUE(LEFT(SUBSTITUTE(SUBSTITUTE(Общий!B328,".",""),"-",""),8))))),0)</f>
        <v>0</v>
      </c>
      <c r="B328" s="25">
        <f>IFERROR(CONCATENATE(VALUE(IF(LEN(IFERROR(VALUE(MID(TRIM(SUBSTITUTE(SUBSTITUTE(MID(Общий!B328,SEARCH("Karcher",Общий!B328,1),19),".",""),"-","")),SEARCH("Karcher",TRIM(SUBSTITUTE(SUBSTITUTE(MID(Общий!B328,SEARCH("Karcher",Общий!B328,1),19),".",""),"-","")),1)+8,8)),VALUE(LEFT(SUBSTITUTE(SUBSTITUTE(Общий!B328,".",""),"-",""),8))))=7,CONCATENATE(IFERROR(VALUE(MID(TRIM(SUBSTITUTE(SUBSTITUTE(MID(Общий!B328,SEARCH("Karcher",Общий!B328,1),19),".",""),"-","")),SEARCH("Karcher",TRIM(SUBSTITUTE(SUBSTITUTE(MID(Общий!B328,SEARCH("Karcher",Общий!B328,1),19),".",""),"-","")),1)+8,8)),VALUE(LEFT(SUBSTITUTE(SUBSTITUTE(Общий!B328,".",""),"-",""),8))),"0"),IFERROR(VALUE(MID(TRIM(SUBSTITUTE(SUBSTITUTE(MID(Общий!B328,SEARCH("Karcher",Общий!B328,1),19),".",""),"-","")),SEARCH("Karcher",TRIM(SUBSTITUTE(SUBSTITUTE(MID(Общий!B328,SEARCH("Karcher",Общий!B328,1),19),".",""),"-","")),1)+8,8)),VALUE(LEFT(SUBSTITUTE(SUBSTITUTE(Общий!B328,".",""),"-",""),8)))))," ",Общий!C328),0)</f>
        <v>0</v>
      </c>
      <c r="C328" s="29" t="str">
        <f>Общий!A328</f>
        <v>320</v>
      </c>
      <c r="D328" s="27">
        <f>Общий!B328</f>
        <v>0</v>
      </c>
      <c r="E328" s="28">
        <f>Общий!C328</f>
        <v>0</v>
      </c>
      <c r="F328" s="16"/>
      <c r="G328" s="44"/>
      <c r="H328" s="44"/>
      <c r="I328" s="44"/>
      <c r="J328" s="35"/>
      <c r="K328" s="16"/>
    </row>
    <row r="329" spans="1:11" ht="12" customHeight="1">
      <c r="A329" s="31">
        <f>IFERROR(VALUE(IF(LEN(IFERROR(VALUE(MID(TRIM(SUBSTITUTE(SUBSTITUTE(MID(Общий!B329,SEARCH("Karcher",Общий!B329,1),19),".",""),"-","")),SEARCH("Karcher",TRIM(SUBSTITUTE(SUBSTITUTE(MID(Общий!B329,SEARCH("Karcher",Общий!B329,1),19),".",""),"-","")),1)+8,8)),VALUE(LEFT(SUBSTITUTE(SUBSTITUTE(Общий!B329,".",""),"-",""),8))))=7,CONCATENATE(IFERROR(VALUE(MID(TRIM(SUBSTITUTE(SUBSTITUTE(MID(Общий!B329,SEARCH("Karcher",Общий!B329,1),19),".",""),"-","")),SEARCH("Karcher",TRIM(SUBSTITUTE(SUBSTITUTE(MID(Общий!B329,SEARCH("Karcher",Общий!B329,1),19),".",""),"-","")),1)+8,8)),VALUE(LEFT(SUBSTITUTE(SUBSTITUTE(Общий!B329,".",""),"-",""),8))),"0"),IFERROR(VALUE(MID(TRIM(SUBSTITUTE(SUBSTITUTE(MID(Общий!B329,SEARCH("Karcher",Общий!B329,1),19),".",""),"-","")),SEARCH("Karcher",TRIM(SUBSTITUTE(SUBSTITUTE(MID(Общий!B329,SEARCH("Karcher",Общий!B329,1),19),".",""),"-","")),1)+8,8)),VALUE(LEFT(SUBSTITUTE(SUBSTITUTE(Общий!B329,".",""),"-",""),8))))),0)</f>
        <v>0</v>
      </c>
      <c r="B329" s="25">
        <f>IFERROR(CONCATENATE(VALUE(IF(LEN(IFERROR(VALUE(MID(TRIM(SUBSTITUTE(SUBSTITUTE(MID(Общий!B329,SEARCH("Karcher",Общий!B329,1),19),".",""),"-","")),SEARCH("Karcher",TRIM(SUBSTITUTE(SUBSTITUTE(MID(Общий!B329,SEARCH("Karcher",Общий!B329,1),19),".",""),"-","")),1)+8,8)),VALUE(LEFT(SUBSTITUTE(SUBSTITUTE(Общий!B329,".",""),"-",""),8))))=7,CONCATENATE(IFERROR(VALUE(MID(TRIM(SUBSTITUTE(SUBSTITUTE(MID(Общий!B329,SEARCH("Karcher",Общий!B329,1),19),".",""),"-","")),SEARCH("Karcher",TRIM(SUBSTITUTE(SUBSTITUTE(MID(Общий!B329,SEARCH("Karcher",Общий!B329,1),19),".",""),"-","")),1)+8,8)),VALUE(LEFT(SUBSTITUTE(SUBSTITUTE(Общий!B329,".",""),"-",""),8))),"0"),IFERROR(VALUE(MID(TRIM(SUBSTITUTE(SUBSTITUTE(MID(Общий!B329,SEARCH("Karcher",Общий!B329,1),19),".",""),"-","")),SEARCH("Karcher",TRIM(SUBSTITUTE(SUBSTITUTE(MID(Общий!B329,SEARCH("Karcher",Общий!B329,1),19),".",""),"-","")),1)+8,8)),VALUE(LEFT(SUBSTITUTE(SUBSTITUTE(Общий!B329,".",""),"-",""),8)))))," ",Общий!C329),0)</f>
        <v>0</v>
      </c>
      <c r="C329" s="29" t="str">
        <f>Общий!A329</f>
        <v>321</v>
      </c>
      <c r="D329" s="27">
        <f>Общий!B329</f>
        <v>0</v>
      </c>
      <c r="E329" s="28">
        <f>Общий!C329</f>
        <v>0</v>
      </c>
      <c r="F329" s="16"/>
      <c r="G329" s="44"/>
      <c r="H329" s="44"/>
      <c r="I329" s="44"/>
      <c r="J329" s="35"/>
      <c r="K329" s="16"/>
    </row>
    <row r="330" spans="1:11" ht="12" customHeight="1">
      <c r="A330" s="31">
        <f>IFERROR(VALUE(IF(LEN(IFERROR(VALUE(MID(TRIM(SUBSTITUTE(SUBSTITUTE(MID(Общий!B330,SEARCH("Karcher",Общий!B330,1),19),".",""),"-","")),SEARCH("Karcher",TRIM(SUBSTITUTE(SUBSTITUTE(MID(Общий!B330,SEARCH("Karcher",Общий!B330,1),19),".",""),"-","")),1)+8,8)),VALUE(LEFT(SUBSTITUTE(SUBSTITUTE(Общий!B330,".",""),"-",""),8))))=7,CONCATENATE(IFERROR(VALUE(MID(TRIM(SUBSTITUTE(SUBSTITUTE(MID(Общий!B330,SEARCH("Karcher",Общий!B330,1),19),".",""),"-","")),SEARCH("Karcher",TRIM(SUBSTITUTE(SUBSTITUTE(MID(Общий!B330,SEARCH("Karcher",Общий!B330,1),19),".",""),"-","")),1)+8,8)),VALUE(LEFT(SUBSTITUTE(SUBSTITUTE(Общий!B330,".",""),"-",""),8))),"0"),IFERROR(VALUE(MID(TRIM(SUBSTITUTE(SUBSTITUTE(MID(Общий!B330,SEARCH("Karcher",Общий!B330,1),19),".",""),"-","")),SEARCH("Karcher",TRIM(SUBSTITUTE(SUBSTITUTE(MID(Общий!B330,SEARCH("Karcher",Общий!B330,1),19),".",""),"-","")),1)+8,8)),VALUE(LEFT(SUBSTITUTE(SUBSTITUTE(Общий!B330,".",""),"-",""),8))))),0)</f>
        <v>0</v>
      </c>
      <c r="B330" s="25">
        <f>IFERROR(CONCATENATE(VALUE(IF(LEN(IFERROR(VALUE(MID(TRIM(SUBSTITUTE(SUBSTITUTE(MID(Общий!B330,SEARCH("Karcher",Общий!B330,1),19),".",""),"-","")),SEARCH("Karcher",TRIM(SUBSTITUTE(SUBSTITUTE(MID(Общий!B330,SEARCH("Karcher",Общий!B330,1),19),".",""),"-","")),1)+8,8)),VALUE(LEFT(SUBSTITUTE(SUBSTITUTE(Общий!B330,".",""),"-",""),8))))=7,CONCATENATE(IFERROR(VALUE(MID(TRIM(SUBSTITUTE(SUBSTITUTE(MID(Общий!B330,SEARCH("Karcher",Общий!B330,1),19),".",""),"-","")),SEARCH("Karcher",TRIM(SUBSTITUTE(SUBSTITUTE(MID(Общий!B330,SEARCH("Karcher",Общий!B330,1),19),".",""),"-","")),1)+8,8)),VALUE(LEFT(SUBSTITUTE(SUBSTITUTE(Общий!B330,".",""),"-",""),8))),"0"),IFERROR(VALUE(MID(TRIM(SUBSTITUTE(SUBSTITUTE(MID(Общий!B330,SEARCH("Karcher",Общий!B330,1),19),".",""),"-","")),SEARCH("Karcher",TRIM(SUBSTITUTE(SUBSTITUTE(MID(Общий!B330,SEARCH("Karcher",Общий!B330,1),19),".",""),"-","")),1)+8,8)),VALUE(LEFT(SUBSTITUTE(SUBSTITUTE(Общий!B330,".",""),"-",""),8)))))," ",Общий!C330),0)</f>
        <v>0</v>
      </c>
      <c r="C330" s="29" t="str">
        <f>Общий!A330</f>
        <v>322</v>
      </c>
      <c r="D330" s="27">
        <f>Общий!B330</f>
        <v>0</v>
      </c>
      <c r="E330" s="28">
        <f>Общий!C330</f>
        <v>0</v>
      </c>
      <c r="F330" s="16"/>
      <c r="G330" s="44"/>
      <c r="H330" s="44"/>
      <c r="I330" s="44"/>
      <c r="J330" s="35"/>
      <c r="K330" s="16"/>
    </row>
    <row r="331" spans="1:11" ht="12" customHeight="1">
      <c r="A331" s="31">
        <f>IFERROR(VALUE(IF(LEN(IFERROR(VALUE(MID(TRIM(SUBSTITUTE(SUBSTITUTE(MID(Общий!B331,SEARCH("Karcher",Общий!B331,1),19),".",""),"-","")),SEARCH("Karcher",TRIM(SUBSTITUTE(SUBSTITUTE(MID(Общий!B331,SEARCH("Karcher",Общий!B331,1),19),".",""),"-","")),1)+8,8)),VALUE(LEFT(SUBSTITUTE(SUBSTITUTE(Общий!B331,".",""),"-",""),8))))=7,CONCATENATE(IFERROR(VALUE(MID(TRIM(SUBSTITUTE(SUBSTITUTE(MID(Общий!B331,SEARCH("Karcher",Общий!B331,1),19),".",""),"-","")),SEARCH("Karcher",TRIM(SUBSTITUTE(SUBSTITUTE(MID(Общий!B331,SEARCH("Karcher",Общий!B331,1),19),".",""),"-","")),1)+8,8)),VALUE(LEFT(SUBSTITUTE(SUBSTITUTE(Общий!B331,".",""),"-",""),8))),"0"),IFERROR(VALUE(MID(TRIM(SUBSTITUTE(SUBSTITUTE(MID(Общий!B331,SEARCH("Karcher",Общий!B331,1),19),".",""),"-","")),SEARCH("Karcher",TRIM(SUBSTITUTE(SUBSTITUTE(MID(Общий!B331,SEARCH("Karcher",Общий!B331,1),19),".",""),"-","")),1)+8,8)),VALUE(LEFT(SUBSTITUTE(SUBSTITUTE(Общий!B331,".",""),"-",""),8))))),0)</f>
        <v>0</v>
      </c>
      <c r="B331" s="25">
        <f>IFERROR(CONCATENATE(VALUE(IF(LEN(IFERROR(VALUE(MID(TRIM(SUBSTITUTE(SUBSTITUTE(MID(Общий!B331,SEARCH("Karcher",Общий!B331,1),19),".",""),"-","")),SEARCH("Karcher",TRIM(SUBSTITUTE(SUBSTITUTE(MID(Общий!B331,SEARCH("Karcher",Общий!B331,1),19),".",""),"-","")),1)+8,8)),VALUE(LEFT(SUBSTITUTE(SUBSTITUTE(Общий!B331,".",""),"-",""),8))))=7,CONCATENATE(IFERROR(VALUE(MID(TRIM(SUBSTITUTE(SUBSTITUTE(MID(Общий!B331,SEARCH("Karcher",Общий!B331,1),19),".",""),"-","")),SEARCH("Karcher",TRIM(SUBSTITUTE(SUBSTITUTE(MID(Общий!B331,SEARCH("Karcher",Общий!B331,1),19),".",""),"-","")),1)+8,8)),VALUE(LEFT(SUBSTITUTE(SUBSTITUTE(Общий!B331,".",""),"-",""),8))),"0"),IFERROR(VALUE(MID(TRIM(SUBSTITUTE(SUBSTITUTE(MID(Общий!B331,SEARCH("Karcher",Общий!B331,1),19),".",""),"-","")),SEARCH("Karcher",TRIM(SUBSTITUTE(SUBSTITUTE(MID(Общий!B331,SEARCH("Karcher",Общий!B331,1),19),".",""),"-","")),1)+8,8)),VALUE(LEFT(SUBSTITUTE(SUBSTITUTE(Общий!B331,".",""),"-",""),8)))))," ",Общий!C331),0)</f>
        <v>0</v>
      </c>
      <c r="C331" s="29" t="str">
        <f>Общий!A331</f>
        <v>323</v>
      </c>
      <c r="D331" s="27">
        <f>Общий!B331</f>
        <v>0</v>
      </c>
      <c r="E331" s="28">
        <f>Общий!C331</f>
        <v>0</v>
      </c>
      <c r="F331" s="16"/>
      <c r="G331" s="44"/>
      <c r="H331" s="44"/>
      <c r="I331" s="44"/>
      <c r="J331" s="35"/>
      <c r="K331" s="16"/>
    </row>
    <row r="332" spans="1:11" ht="12" customHeight="1">
      <c r="A332" s="31">
        <f>IFERROR(VALUE(IF(LEN(IFERROR(VALUE(MID(TRIM(SUBSTITUTE(SUBSTITUTE(MID(Общий!B332,SEARCH("Karcher",Общий!B332,1),19),".",""),"-","")),SEARCH("Karcher",TRIM(SUBSTITUTE(SUBSTITUTE(MID(Общий!B332,SEARCH("Karcher",Общий!B332,1),19),".",""),"-","")),1)+8,8)),VALUE(LEFT(SUBSTITUTE(SUBSTITUTE(Общий!B332,".",""),"-",""),8))))=7,CONCATENATE(IFERROR(VALUE(MID(TRIM(SUBSTITUTE(SUBSTITUTE(MID(Общий!B332,SEARCH("Karcher",Общий!B332,1),19),".",""),"-","")),SEARCH("Karcher",TRIM(SUBSTITUTE(SUBSTITUTE(MID(Общий!B332,SEARCH("Karcher",Общий!B332,1),19),".",""),"-","")),1)+8,8)),VALUE(LEFT(SUBSTITUTE(SUBSTITUTE(Общий!B332,".",""),"-",""),8))),"0"),IFERROR(VALUE(MID(TRIM(SUBSTITUTE(SUBSTITUTE(MID(Общий!B332,SEARCH("Karcher",Общий!B332,1),19),".",""),"-","")),SEARCH("Karcher",TRIM(SUBSTITUTE(SUBSTITUTE(MID(Общий!B332,SEARCH("Karcher",Общий!B332,1),19),".",""),"-","")),1)+8,8)),VALUE(LEFT(SUBSTITUTE(SUBSTITUTE(Общий!B332,".",""),"-",""),8))))),0)</f>
        <v>0</v>
      </c>
      <c r="B332" s="25">
        <f>IFERROR(CONCATENATE(VALUE(IF(LEN(IFERROR(VALUE(MID(TRIM(SUBSTITUTE(SUBSTITUTE(MID(Общий!B332,SEARCH("Karcher",Общий!B332,1),19),".",""),"-","")),SEARCH("Karcher",TRIM(SUBSTITUTE(SUBSTITUTE(MID(Общий!B332,SEARCH("Karcher",Общий!B332,1),19),".",""),"-","")),1)+8,8)),VALUE(LEFT(SUBSTITUTE(SUBSTITUTE(Общий!B332,".",""),"-",""),8))))=7,CONCATENATE(IFERROR(VALUE(MID(TRIM(SUBSTITUTE(SUBSTITUTE(MID(Общий!B332,SEARCH("Karcher",Общий!B332,1),19),".",""),"-","")),SEARCH("Karcher",TRIM(SUBSTITUTE(SUBSTITUTE(MID(Общий!B332,SEARCH("Karcher",Общий!B332,1),19),".",""),"-","")),1)+8,8)),VALUE(LEFT(SUBSTITUTE(SUBSTITUTE(Общий!B332,".",""),"-",""),8))),"0"),IFERROR(VALUE(MID(TRIM(SUBSTITUTE(SUBSTITUTE(MID(Общий!B332,SEARCH("Karcher",Общий!B332,1),19),".",""),"-","")),SEARCH("Karcher",TRIM(SUBSTITUTE(SUBSTITUTE(MID(Общий!B332,SEARCH("Karcher",Общий!B332,1),19),".",""),"-","")),1)+8,8)),VALUE(LEFT(SUBSTITUTE(SUBSTITUTE(Общий!B332,".",""),"-",""),8)))))," ",Общий!C332),0)</f>
        <v>0</v>
      </c>
      <c r="C332" s="29" t="str">
        <f>Общий!A332</f>
        <v>324</v>
      </c>
      <c r="D332" s="27">
        <f>Общий!B332</f>
        <v>0</v>
      </c>
      <c r="E332" s="28">
        <f>Общий!C332</f>
        <v>0</v>
      </c>
      <c r="F332" s="16"/>
      <c r="G332" s="44"/>
      <c r="H332" s="44"/>
      <c r="I332" s="44"/>
      <c r="J332" s="35"/>
      <c r="K332" s="16"/>
    </row>
    <row r="333" spans="1:11" ht="12" customHeight="1">
      <c r="A333" s="31">
        <f>IFERROR(VALUE(IF(LEN(IFERROR(VALUE(MID(TRIM(SUBSTITUTE(SUBSTITUTE(MID(Общий!B333,SEARCH("Karcher",Общий!B333,1),19),".",""),"-","")),SEARCH("Karcher",TRIM(SUBSTITUTE(SUBSTITUTE(MID(Общий!B333,SEARCH("Karcher",Общий!B333,1),19),".",""),"-","")),1)+8,8)),VALUE(LEFT(SUBSTITUTE(SUBSTITUTE(Общий!B333,".",""),"-",""),8))))=7,CONCATENATE(IFERROR(VALUE(MID(TRIM(SUBSTITUTE(SUBSTITUTE(MID(Общий!B333,SEARCH("Karcher",Общий!B333,1),19),".",""),"-","")),SEARCH("Karcher",TRIM(SUBSTITUTE(SUBSTITUTE(MID(Общий!B333,SEARCH("Karcher",Общий!B333,1),19),".",""),"-","")),1)+8,8)),VALUE(LEFT(SUBSTITUTE(SUBSTITUTE(Общий!B333,".",""),"-",""),8))),"0"),IFERROR(VALUE(MID(TRIM(SUBSTITUTE(SUBSTITUTE(MID(Общий!B333,SEARCH("Karcher",Общий!B333,1),19),".",""),"-","")),SEARCH("Karcher",TRIM(SUBSTITUTE(SUBSTITUTE(MID(Общий!B333,SEARCH("Karcher",Общий!B333,1),19),".",""),"-","")),1)+8,8)),VALUE(LEFT(SUBSTITUTE(SUBSTITUTE(Общий!B333,".",""),"-",""),8))))),0)</f>
        <v>0</v>
      </c>
      <c r="B333" s="25">
        <f>IFERROR(CONCATENATE(VALUE(IF(LEN(IFERROR(VALUE(MID(TRIM(SUBSTITUTE(SUBSTITUTE(MID(Общий!B333,SEARCH("Karcher",Общий!B333,1),19),".",""),"-","")),SEARCH("Karcher",TRIM(SUBSTITUTE(SUBSTITUTE(MID(Общий!B333,SEARCH("Karcher",Общий!B333,1),19),".",""),"-","")),1)+8,8)),VALUE(LEFT(SUBSTITUTE(SUBSTITUTE(Общий!B333,".",""),"-",""),8))))=7,CONCATENATE(IFERROR(VALUE(MID(TRIM(SUBSTITUTE(SUBSTITUTE(MID(Общий!B333,SEARCH("Karcher",Общий!B333,1),19),".",""),"-","")),SEARCH("Karcher",TRIM(SUBSTITUTE(SUBSTITUTE(MID(Общий!B333,SEARCH("Karcher",Общий!B333,1),19),".",""),"-","")),1)+8,8)),VALUE(LEFT(SUBSTITUTE(SUBSTITUTE(Общий!B333,".",""),"-",""),8))),"0"),IFERROR(VALUE(MID(TRIM(SUBSTITUTE(SUBSTITUTE(MID(Общий!B333,SEARCH("Karcher",Общий!B333,1),19),".",""),"-","")),SEARCH("Karcher",TRIM(SUBSTITUTE(SUBSTITUTE(MID(Общий!B333,SEARCH("Karcher",Общий!B333,1),19),".",""),"-","")),1)+8,8)),VALUE(LEFT(SUBSTITUTE(SUBSTITUTE(Общий!B333,".",""),"-",""),8)))))," ",Общий!C333),0)</f>
        <v>0</v>
      </c>
      <c r="C333" s="29" t="str">
        <f>Общий!A333</f>
        <v>325</v>
      </c>
      <c r="D333" s="27">
        <f>Общий!B333</f>
        <v>0</v>
      </c>
      <c r="E333" s="28">
        <f>Общий!C333</f>
        <v>0</v>
      </c>
      <c r="F333" s="16"/>
      <c r="G333" s="44"/>
      <c r="H333" s="44"/>
      <c r="I333" s="44"/>
      <c r="J333" s="35"/>
      <c r="K333" s="16"/>
    </row>
    <row r="334" spans="1:11" ht="12" customHeight="1">
      <c r="A334" s="31">
        <f>IFERROR(VALUE(IF(LEN(IFERROR(VALUE(MID(TRIM(SUBSTITUTE(SUBSTITUTE(MID(Общий!B334,SEARCH("Karcher",Общий!B334,1),19),".",""),"-","")),SEARCH("Karcher",TRIM(SUBSTITUTE(SUBSTITUTE(MID(Общий!B334,SEARCH("Karcher",Общий!B334,1),19),".",""),"-","")),1)+8,8)),VALUE(LEFT(SUBSTITUTE(SUBSTITUTE(Общий!B334,".",""),"-",""),8))))=7,CONCATENATE(IFERROR(VALUE(MID(TRIM(SUBSTITUTE(SUBSTITUTE(MID(Общий!B334,SEARCH("Karcher",Общий!B334,1),19),".",""),"-","")),SEARCH("Karcher",TRIM(SUBSTITUTE(SUBSTITUTE(MID(Общий!B334,SEARCH("Karcher",Общий!B334,1),19),".",""),"-","")),1)+8,8)),VALUE(LEFT(SUBSTITUTE(SUBSTITUTE(Общий!B334,".",""),"-",""),8))),"0"),IFERROR(VALUE(MID(TRIM(SUBSTITUTE(SUBSTITUTE(MID(Общий!B334,SEARCH("Karcher",Общий!B334,1),19),".",""),"-","")),SEARCH("Karcher",TRIM(SUBSTITUTE(SUBSTITUTE(MID(Общий!B334,SEARCH("Karcher",Общий!B334,1),19),".",""),"-","")),1)+8,8)),VALUE(LEFT(SUBSTITUTE(SUBSTITUTE(Общий!B334,".",""),"-",""),8))))),0)</f>
        <v>0</v>
      </c>
      <c r="B334" s="25">
        <f>IFERROR(CONCATENATE(VALUE(IF(LEN(IFERROR(VALUE(MID(TRIM(SUBSTITUTE(SUBSTITUTE(MID(Общий!B334,SEARCH("Karcher",Общий!B334,1),19),".",""),"-","")),SEARCH("Karcher",TRIM(SUBSTITUTE(SUBSTITUTE(MID(Общий!B334,SEARCH("Karcher",Общий!B334,1),19),".",""),"-","")),1)+8,8)),VALUE(LEFT(SUBSTITUTE(SUBSTITUTE(Общий!B334,".",""),"-",""),8))))=7,CONCATENATE(IFERROR(VALUE(MID(TRIM(SUBSTITUTE(SUBSTITUTE(MID(Общий!B334,SEARCH("Karcher",Общий!B334,1),19),".",""),"-","")),SEARCH("Karcher",TRIM(SUBSTITUTE(SUBSTITUTE(MID(Общий!B334,SEARCH("Karcher",Общий!B334,1),19),".",""),"-","")),1)+8,8)),VALUE(LEFT(SUBSTITUTE(SUBSTITUTE(Общий!B334,".",""),"-",""),8))),"0"),IFERROR(VALUE(MID(TRIM(SUBSTITUTE(SUBSTITUTE(MID(Общий!B334,SEARCH("Karcher",Общий!B334,1),19),".",""),"-","")),SEARCH("Karcher",TRIM(SUBSTITUTE(SUBSTITUTE(MID(Общий!B334,SEARCH("Karcher",Общий!B334,1),19),".",""),"-","")),1)+8,8)),VALUE(LEFT(SUBSTITUTE(SUBSTITUTE(Общий!B334,".",""),"-",""),8)))))," ",Общий!C334),0)</f>
        <v>0</v>
      </c>
      <c r="C334" s="29" t="str">
        <f>Общий!A334</f>
        <v>326</v>
      </c>
      <c r="D334" s="27">
        <f>Общий!B334</f>
        <v>0</v>
      </c>
      <c r="E334" s="28">
        <f>Общий!C334</f>
        <v>0</v>
      </c>
      <c r="F334" s="16"/>
      <c r="G334" s="44"/>
      <c r="H334" s="44"/>
      <c r="I334" s="44"/>
      <c r="J334" s="35"/>
      <c r="K334" s="16"/>
    </row>
    <row r="335" spans="1:11" ht="12" customHeight="1">
      <c r="A335" s="31">
        <f>IFERROR(VALUE(IF(LEN(IFERROR(VALUE(MID(TRIM(SUBSTITUTE(SUBSTITUTE(MID(Общий!B335,SEARCH("Karcher",Общий!B335,1),19),".",""),"-","")),SEARCH("Karcher",TRIM(SUBSTITUTE(SUBSTITUTE(MID(Общий!B335,SEARCH("Karcher",Общий!B335,1),19),".",""),"-","")),1)+8,8)),VALUE(LEFT(SUBSTITUTE(SUBSTITUTE(Общий!B335,".",""),"-",""),8))))=7,CONCATENATE(IFERROR(VALUE(MID(TRIM(SUBSTITUTE(SUBSTITUTE(MID(Общий!B335,SEARCH("Karcher",Общий!B335,1),19),".",""),"-","")),SEARCH("Karcher",TRIM(SUBSTITUTE(SUBSTITUTE(MID(Общий!B335,SEARCH("Karcher",Общий!B335,1),19),".",""),"-","")),1)+8,8)),VALUE(LEFT(SUBSTITUTE(SUBSTITUTE(Общий!B335,".",""),"-",""),8))),"0"),IFERROR(VALUE(MID(TRIM(SUBSTITUTE(SUBSTITUTE(MID(Общий!B335,SEARCH("Karcher",Общий!B335,1),19),".",""),"-","")),SEARCH("Karcher",TRIM(SUBSTITUTE(SUBSTITUTE(MID(Общий!B335,SEARCH("Karcher",Общий!B335,1),19),".",""),"-","")),1)+8,8)),VALUE(LEFT(SUBSTITUTE(SUBSTITUTE(Общий!B335,".",""),"-",""),8))))),0)</f>
        <v>0</v>
      </c>
      <c r="B335" s="25">
        <f>IFERROR(CONCATENATE(VALUE(IF(LEN(IFERROR(VALUE(MID(TRIM(SUBSTITUTE(SUBSTITUTE(MID(Общий!B335,SEARCH("Karcher",Общий!B335,1),19),".",""),"-","")),SEARCH("Karcher",TRIM(SUBSTITUTE(SUBSTITUTE(MID(Общий!B335,SEARCH("Karcher",Общий!B335,1),19),".",""),"-","")),1)+8,8)),VALUE(LEFT(SUBSTITUTE(SUBSTITUTE(Общий!B335,".",""),"-",""),8))))=7,CONCATENATE(IFERROR(VALUE(MID(TRIM(SUBSTITUTE(SUBSTITUTE(MID(Общий!B335,SEARCH("Karcher",Общий!B335,1),19),".",""),"-","")),SEARCH("Karcher",TRIM(SUBSTITUTE(SUBSTITUTE(MID(Общий!B335,SEARCH("Karcher",Общий!B335,1),19),".",""),"-","")),1)+8,8)),VALUE(LEFT(SUBSTITUTE(SUBSTITUTE(Общий!B335,".",""),"-",""),8))),"0"),IFERROR(VALUE(MID(TRIM(SUBSTITUTE(SUBSTITUTE(MID(Общий!B335,SEARCH("Karcher",Общий!B335,1),19),".",""),"-","")),SEARCH("Karcher",TRIM(SUBSTITUTE(SUBSTITUTE(MID(Общий!B335,SEARCH("Karcher",Общий!B335,1),19),".",""),"-","")),1)+8,8)),VALUE(LEFT(SUBSTITUTE(SUBSTITUTE(Общий!B335,".",""),"-",""),8)))))," ",Общий!C335),0)</f>
        <v>0</v>
      </c>
      <c r="C335" s="29" t="str">
        <f>Общий!A335</f>
        <v>327</v>
      </c>
      <c r="D335" s="27">
        <f>Общий!B335</f>
        <v>0</v>
      </c>
      <c r="E335" s="28">
        <f>Общий!C335</f>
        <v>0</v>
      </c>
      <c r="F335" s="16"/>
      <c r="G335" s="44"/>
      <c r="H335" s="44"/>
      <c r="I335" s="44"/>
      <c r="J335" s="35"/>
      <c r="K335" s="16"/>
    </row>
    <row r="336" spans="1:11" ht="12" customHeight="1">
      <c r="A336" s="31">
        <f>IFERROR(VALUE(IF(LEN(IFERROR(VALUE(MID(TRIM(SUBSTITUTE(SUBSTITUTE(MID(Общий!B336,SEARCH("Karcher",Общий!B336,1),19),".",""),"-","")),SEARCH("Karcher",TRIM(SUBSTITUTE(SUBSTITUTE(MID(Общий!B336,SEARCH("Karcher",Общий!B336,1),19),".",""),"-","")),1)+8,8)),VALUE(LEFT(SUBSTITUTE(SUBSTITUTE(Общий!B336,".",""),"-",""),8))))=7,CONCATENATE(IFERROR(VALUE(MID(TRIM(SUBSTITUTE(SUBSTITUTE(MID(Общий!B336,SEARCH("Karcher",Общий!B336,1),19),".",""),"-","")),SEARCH("Karcher",TRIM(SUBSTITUTE(SUBSTITUTE(MID(Общий!B336,SEARCH("Karcher",Общий!B336,1),19),".",""),"-","")),1)+8,8)),VALUE(LEFT(SUBSTITUTE(SUBSTITUTE(Общий!B336,".",""),"-",""),8))),"0"),IFERROR(VALUE(MID(TRIM(SUBSTITUTE(SUBSTITUTE(MID(Общий!B336,SEARCH("Karcher",Общий!B336,1),19),".",""),"-","")),SEARCH("Karcher",TRIM(SUBSTITUTE(SUBSTITUTE(MID(Общий!B336,SEARCH("Karcher",Общий!B336,1),19),".",""),"-","")),1)+8,8)),VALUE(LEFT(SUBSTITUTE(SUBSTITUTE(Общий!B336,".",""),"-",""),8))))),0)</f>
        <v>0</v>
      </c>
      <c r="B336" s="25">
        <f>IFERROR(CONCATENATE(VALUE(IF(LEN(IFERROR(VALUE(MID(TRIM(SUBSTITUTE(SUBSTITUTE(MID(Общий!B336,SEARCH("Karcher",Общий!B336,1),19),".",""),"-","")),SEARCH("Karcher",TRIM(SUBSTITUTE(SUBSTITUTE(MID(Общий!B336,SEARCH("Karcher",Общий!B336,1),19),".",""),"-","")),1)+8,8)),VALUE(LEFT(SUBSTITUTE(SUBSTITUTE(Общий!B336,".",""),"-",""),8))))=7,CONCATENATE(IFERROR(VALUE(MID(TRIM(SUBSTITUTE(SUBSTITUTE(MID(Общий!B336,SEARCH("Karcher",Общий!B336,1),19),".",""),"-","")),SEARCH("Karcher",TRIM(SUBSTITUTE(SUBSTITUTE(MID(Общий!B336,SEARCH("Karcher",Общий!B336,1),19),".",""),"-","")),1)+8,8)),VALUE(LEFT(SUBSTITUTE(SUBSTITUTE(Общий!B336,".",""),"-",""),8))),"0"),IFERROR(VALUE(MID(TRIM(SUBSTITUTE(SUBSTITUTE(MID(Общий!B336,SEARCH("Karcher",Общий!B336,1),19),".",""),"-","")),SEARCH("Karcher",TRIM(SUBSTITUTE(SUBSTITUTE(MID(Общий!B336,SEARCH("Karcher",Общий!B336,1),19),".",""),"-","")),1)+8,8)),VALUE(LEFT(SUBSTITUTE(SUBSTITUTE(Общий!B336,".",""),"-",""),8)))))," ",Общий!C336),0)</f>
        <v>0</v>
      </c>
      <c r="C336" s="29" t="str">
        <f>Общий!A336</f>
        <v>328</v>
      </c>
      <c r="D336" s="27">
        <f>Общий!B336</f>
        <v>0</v>
      </c>
      <c r="E336" s="28">
        <f>Общий!C336</f>
        <v>0</v>
      </c>
      <c r="F336" s="16"/>
      <c r="G336" s="44"/>
      <c r="H336" s="44"/>
      <c r="I336" s="44"/>
      <c r="J336" s="35"/>
      <c r="K336" s="16"/>
    </row>
    <row r="337" spans="1:11" ht="12" customHeight="1">
      <c r="A337" s="31">
        <f>IFERROR(VALUE(IF(LEN(IFERROR(VALUE(MID(TRIM(SUBSTITUTE(SUBSTITUTE(MID(Общий!B337,SEARCH("Karcher",Общий!B337,1),19),".",""),"-","")),SEARCH("Karcher",TRIM(SUBSTITUTE(SUBSTITUTE(MID(Общий!B337,SEARCH("Karcher",Общий!B337,1),19),".",""),"-","")),1)+8,8)),VALUE(LEFT(SUBSTITUTE(SUBSTITUTE(Общий!B337,".",""),"-",""),8))))=7,CONCATENATE(IFERROR(VALUE(MID(TRIM(SUBSTITUTE(SUBSTITUTE(MID(Общий!B337,SEARCH("Karcher",Общий!B337,1),19),".",""),"-","")),SEARCH("Karcher",TRIM(SUBSTITUTE(SUBSTITUTE(MID(Общий!B337,SEARCH("Karcher",Общий!B337,1),19),".",""),"-","")),1)+8,8)),VALUE(LEFT(SUBSTITUTE(SUBSTITUTE(Общий!B337,".",""),"-",""),8))),"0"),IFERROR(VALUE(MID(TRIM(SUBSTITUTE(SUBSTITUTE(MID(Общий!B337,SEARCH("Karcher",Общий!B337,1),19),".",""),"-","")),SEARCH("Karcher",TRIM(SUBSTITUTE(SUBSTITUTE(MID(Общий!B337,SEARCH("Karcher",Общий!B337,1),19),".",""),"-","")),1)+8,8)),VALUE(LEFT(SUBSTITUTE(SUBSTITUTE(Общий!B337,".",""),"-",""),8))))),0)</f>
        <v>0</v>
      </c>
      <c r="B337" s="25">
        <f>IFERROR(CONCATENATE(VALUE(IF(LEN(IFERROR(VALUE(MID(TRIM(SUBSTITUTE(SUBSTITUTE(MID(Общий!B337,SEARCH("Karcher",Общий!B337,1),19),".",""),"-","")),SEARCH("Karcher",TRIM(SUBSTITUTE(SUBSTITUTE(MID(Общий!B337,SEARCH("Karcher",Общий!B337,1),19),".",""),"-","")),1)+8,8)),VALUE(LEFT(SUBSTITUTE(SUBSTITUTE(Общий!B337,".",""),"-",""),8))))=7,CONCATENATE(IFERROR(VALUE(MID(TRIM(SUBSTITUTE(SUBSTITUTE(MID(Общий!B337,SEARCH("Karcher",Общий!B337,1),19),".",""),"-","")),SEARCH("Karcher",TRIM(SUBSTITUTE(SUBSTITUTE(MID(Общий!B337,SEARCH("Karcher",Общий!B337,1),19),".",""),"-","")),1)+8,8)),VALUE(LEFT(SUBSTITUTE(SUBSTITUTE(Общий!B337,".",""),"-",""),8))),"0"),IFERROR(VALUE(MID(TRIM(SUBSTITUTE(SUBSTITUTE(MID(Общий!B337,SEARCH("Karcher",Общий!B337,1),19),".",""),"-","")),SEARCH("Karcher",TRIM(SUBSTITUTE(SUBSTITUTE(MID(Общий!B337,SEARCH("Karcher",Общий!B337,1),19),".",""),"-","")),1)+8,8)),VALUE(LEFT(SUBSTITUTE(SUBSTITUTE(Общий!B337,".",""),"-",""),8)))))," ",Общий!C337),0)</f>
        <v>0</v>
      </c>
      <c r="C337" s="29" t="str">
        <f>Общий!A337</f>
        <v>329</v>
      </c>
      <c r="D337" s="27">
        <f>Общий!B337</f>
        <v>0</v>
      </c>
      <c r="E337" s="28">
        <f>Общий!C337</f>
        <v>0</v>
      </c>
      <c r="F337" s="16"/>
      <c r="G337" s="44"/>
      <c r="H337" s="44"/>
      <c r="I337" s="44"/>
      <c r="J337" s="35"/>
      <c r="K337" s="16"/>
    </row>
    <row r="338" spans="1:11" ht="12" customHeight="1">
      <c r="A338" s="31">
        <f>IFERROR(VALUE(IF(LEN(IFERROR(VALUE(MID(TRIM(SUBSTITUTE(SUBSTITUTE(MID(Общий!B338,SEARCH("Karcher",Общий!B338,1),19),".",""),"-","")),SEARCH("Karcher",TRIM(SUBSTITUTE(SUBSTITUTE(MID(Общий!B338,SEARCH("Karcher",Общий!B338,1),19),".",""),"-","")),1)+8,8)),VALUE(LEFT(SUBSTITUTE(SUBSTITUTE(Общий!B338,".",""),"-",""),8))))=7,CONCATENATE(IFERROR(VALUE(MID(TRIM(SUBSTITUTE(SUBSTITUTE(MID(Общий!B338,SEARCH("Karcher",Общий!B338,1),19),".",""),"-","")),SEARCH("Karcher",TRIM(SUBSTITUTE(SUBSTITUTE(MID(Общий!B338,SEARCH("Karcher",Общий!B338,1),19),".",""),"-","")),1)+8,8)),VALUE(LEFT(SUBSTITUTE(SUBSTITUTE(Общий!B338,".",""),"-",""),8))),"0"),IFERROR(VALUE(MID(TRIM(SUBSTITUTE(SUBSTITUTE(MID(Общий!B338,SEARCH("Karcher",Общий!B338,1),19),".",""),"-","")),SEARCH("Karcher",TRIM(SUBSTITUTE(SUBSTITUTE(MID(Общий!B338,SEARCH("Karcher",Общий!B338,1),19),".",""),"-","")),1)+8,8)),VALUE(LEFT(SUBSTITUTE(SUBSTITUTE(Общий!B338,".",""),"-",""),8))))),0)</f>
        <v>0</v>
      </c>
      <c r="B338" s="25">
        <f>IFERROR(CONCATENATE(VALUE(IF(LEN(IFERROR(VALUE(MID(TRIM(SUBSTITUTE(SUBSTITUTE(MID(Общий!B338,SEARCH("Karcher",Общий!B338,1),19),".",""),"-","")),SEARCH("Karcher",TRIM(SUBSTITUTE(SUBSTITUTE(MID(Общий!B338,SEARCH("Karcher",Общий!B338,1),19),".",""),"-","")),1)+8,8)),VALUE(LEFT(SUBSTITUTE(SUBSTITUTE(Общий!B338,".",""),"-",""),8))))=7,CONCATENATE(IFERROR(VALUE(MID(TRIM(SUBSTITUTE(SUBSTITUTE(MID(Общий!B338,SEARCH("Karcher",Общий!B338,1),19),".",""),"-","")),SEARCH("Karcher",TRIM(SUBSTITUTE(SUBSTITUTE(MID(Общий!B338,SEARCH("Karcher",Общий!B338,1),19),".",""),"-","")),1)+8,8)),VALUE(LEFT(SUBSTITUTE(SUBSTITUTE(Общий!B338,".",""),"-",""),8))),"0"),IFERROR(VALUE(MID(TRIM(SUBSTITUTE(SUBSTITUTE(MID(Общий!B338,SEARCH("Karcher",Общий!B338,1),19),".",""),"-","")),SEARCH("Karcher",TRIM(SUBSTITUTE(SUBSTITUTE(MID(Общий!B338,SEARCH("Karcher",Общий!B338,1),19),".",""),"-","")),1)+8,8)),VALUE(LEFT(SUBSTITUTE(SUBSTITUTE(Общий!B338,".",""),"-",""),8)))))," ",Общий!C338),0)</f>
        <v>0</v>
      </c>
      <c r="C338" s="29" t="str">
        <f>Общий!A338</f>
        <v>330</v>
      </c>
      <c r="D338" s="27">
        <f>Общий!B338</f>
        <v>0</v>
      </c>
      <c r="E338" s="28">
        <f>Общий!C338</f>
        <v>0</v>
      </c>
      <c r="F338" s="16"/>
      <c r="G338" s="44"/>
      <c r="H338" s="44"/>
      <c r="I338" s="44"/>
      <c r="J338" s="35"/>
      <c r="K338" s="16"/>
    </row>
    <row r="339" spans="1:11" ht="12" customHeight="1">
      <c r="A339" s="31">
        <f>IFERROR(VALUE(IF(LEN(IFERROR(VALUE(MID(TRIM(SUBSTITUTE(SUBSTITUTE(MID(Общий!B339,SEARCH("Karcher",Общий!B339,1),19),".",""),"-","")),SEARCH("Karcher",TRIM(SUBSTITUTE(SUBSTITUTE(MID(Общий!B339,SEARCH("Karcher",Общий!B339,1),19),".",""),"-","")),1)+8,8)),VALUE(LEFT(SUBSTITUTE(SUBSTITUTE(Общий!B339,".",""),"-",""),8))))=7,CONCATENATE(IFERROR(VALUE(MID(TRIM(SUBSTITUTE(SUBSTITUTE(MID(Общий!B339,SEARCH("Karcher",Общий!B339,1),19),".",""),"-","")),SEARCH("Karcher",TRIM(SUBSTITUTE(SUBSTITUTE(MID(Общий!B339,SEARCH("Karcher",Общий!B339,1),19),".",""),"-","")),1)+8,8)),VALUE(LEFT(SUBSTITUTE(SUBSTITUTE(Общий!B339,".",""),"-",""),8))),"0"),IFERROR(VALUE(MID(TRIM(SUBSTITUTE(SUBSTITUTE(MID(Общий!B339,SEARCH("Karcher",Общий!B339,1),19),".",""),"-","")),SEARCH("Karcher",TRIM(SUBSTITUTE(SUBSTITUTE(MID(Общий!B339,SEARCH("Karcher",Общий!B339,1),19),".",""),"-","")),1)+8,8)),VALUE(LEFT(SUBSTITUTE(SUBSTITUTE(Общий!B339,".",""),"-",""),8))))),0)</f>
        <v>0</v>
      </c>
      <c r="B339" s="25">
        <f>IFERROR(CONCATENATE(VALUE(IF(LEN(IFERROR(VALUE(MID(TRIM(SUBSTITUTE(SUBSTITUTE(MID(Общий!B339,SEARCH("Karcher",Общий!B339,1),19),".",""),"-","")),SEARCH("Karcher",TRIM(SUBSTITUTE(SUBSTITUTE(MID(Общий!B339,SEARCH("Karcher",Общий!B339,1),19),".",""),"-","")),1)+8,8)),VALUE(LEFT(SUBSTITUTE(SUBSTITUTE(Общий!B339,".",""),"-",""),8))))=7,CONCATENATE(IFERROR(VALUE(MID(TRIM(SUBSTITUTE(SUBSTITUTE(MID(Общий!B339,SEARCH("Karcher",Общий!B339,1),19),".",""),"-","")),SEARCH("Karcher",TRIM(SUBSTITUTE(SUBSTITUTE(MID(Общий!B339,SEARCH("Karcher",Общий!B339,1),19),".",""),"-","")),1)+8,8)),VALUE(LEFT(SUBSTITUTE(SUBSTITUTE(Общий!B339,".",""),"-",""),8))),"0"),IFERROR(VALUE(MID(TRIM(SUBSTITUTE(SUBSTITUTE(MID(Общий!B339,SEARCH("Karcher",Общий!B339,1),19),".",""),"-","")),SEARCH("Karcher",TRIM(SUBSTITUTE(SUBSTITUTE(MID(Общий!B339,SEARCH("Karcher",Общий!B339,1),19),".",""),"-","")),1)+8,8)),VALUE(LEFT(SUBSTITUTE(SUBSTITUTE(Общий!B339,".",""),"-",""),8)))))," ",Общий!C339),0)</f>
        <v>0</v>
      </c>
      <c r="C339" s="29" t="str">
        <f>Общий!A339</f>
        <v>331</v>
      </c>
      <c r="D339" s="27">
        <f>Общий!B339</f>
        <v>0</v>
      </c>
      <c r="E339" s="28">
        <f>Общий!C339</f>
        <v>0</v>
      </c>
      <c r="F339" s="16"/>
      <c r="G339" s="44"/>
      <c r="H339" s="44"/>
      <c r="I339" s="44"/>
      <c r="J339" s="35"/>
      <c r="K339" s="16"/>
    </row>
    <row r="340" spans="1:11" ht="12" customHeight="1">
      <c r="A340" s="31">
        <f>IFERROR(VALUE(IF(LEN(IFERROR(VALUE(MID(TRIM(SUBSTITUTE(SUBSTITUTE(MID(Общий!B340,SEARCH("Karcher",Общий!B340,1),19),".",""),"-","")),SEARCH("Karcher",TRIM(SUBSTITUTE(SUBSTITUTE(MID(Общий!B340,SEARCH("Karcher",Общий!B340,1),19),".",""),"-","")),1)+8,8)),VALUE(LEFT(SUBSTITUTE(SUBSTITUTE(Общий!B340,".",""),"-",""),8))))=7,CONCATENATE(IFERROR(VALUE(MID(TRIM(SUBSTITUTE(SUBSTITUTE(MID(Общий!B340,SEARCH("Karcher",Общий!B340,1),19),".",""),"-","")),SEARCH("Karcher",TRIM(SUBSTITUTE(SUBSTITUTE(MID(Общий!B340,SEARCH("Karcher",Общий!B340,1),19),".",""),"-","")),1)+8,8)),VALUE(LEFT(SUBSTITUTE(SUBSTITUTE(Общий!B340,".",""),"-",""),8))),"0"),IFERROR(VALUE(MID(TRIM(SUBSTITUTE(SUBSTITUTE(MID(Общий!B340,SEARCH("Karcher",Общий!B340,1),19),".",""),"-","")),SEARCH("Karcher",TRIM(SUBSTITUTE(SUBSTITUTE(MID(Общий!B340,SEARCH("Karcher",Общий!B340,1),19),".",""),"-","")),1)+8,8)),VALUE(LEFT(SUBSTITUTE(SUBSTITUTE(Общий!B340,".",""),"-",""),8))))),0)</f>
        <v>0</v>
      </c>
      <c r="B340" s="25">
        <f>IFERROR(CONCATENATE(VALUE(IF(LEN(IFERROR(VALUE(MID(TRIM(SUBSTITUTE(SUBSTITUTE(MID(Общий!B340,SEARCH("Karcher",Общий!B340,1),19),".",""),"-","")),SEARCH("Karcher",TRIM(SUBSTITUTE(SUBSTITUTE(MID(Общий!B340,SEARCH("Karcher",Общий!B340,1),19),".",""),"-","")),1)+8,8)),VALUE(LEFT(SUBSTITUTE(SUBSTITUTE(Общий!B340,".",""),"-",""),8))))=7,CONCATENATE(IFERROR(VALUE(MID(TRIM(SUBSTITUTE(SUBSTITUTE(MID(Общий!B340,SEARCH("Karcher",Общий!B340,1),19),".",""),"-","")),SEARCH("Karcher",TRIM(SUBSTITUTE(SUBSTITUTE(MID(Общий!B340,SEARCH("Karcher",Общий!B340,1),19),".",""),"-","")),1)+8,8)),VALUE(LEFT(SUBSTITUTE(SUBSTITUTE(Общий!B340,".",""),"-",""),8))),"0"),IFERROR(VALUE(MID(TRIM(SUBSTITUTE(SUBSTITUTE(MID(Общий!B340,SEARCH("Karcher",Общий!B340,1),19),".",""),"-","")),SEARCH("Karcher",TRIM(SUBSTITUTE(SUBSTITUTE(MID(Общий!B340,SEARCH("Karcher",Общий!B340,1),19),".",""),"-","")),1)+8,8)),VALUE(LEFT(SUBSTITUTE(SUBSTITUTE(Общий!B340,".",""),"-",""),8)))))," ",Общий!C340),0)</f>
        <v>0</v>
      </c>
      <c r="C340" s="29" t="str">
        <f>Общий!A340</f>
        <v>332</v>
      </c>
      <c r="D340" s="27">
        <f>Общий!B340</f>
        <v>0</v>
      </c>
      <c r="E340" s="28">
        <f>Общий!C340</f>
        <v>0</v>
      </c>
      <c r="F340" s="16"/>
      <c r="G340" s="44"/>
      <c r="H340" s="44"/>
      <c r="I340" s="44"/>
      <c r="J340" s="35"/>
      <c r="K340" s="16"/>
    </row>
    <row r="341" spans="1:11" ht="12" customHeight="1">
      <c r="A341" s="31">
        <f>IFERROR(VALUE(IF(LEN(IFERROR(VALUE(MID(TRIM(SUBSTITUTE(SUBSTITUTE(MID(Общий!B341,SEARCH("Karcher",Общий!B341,1),19),".",""),"-","")),SEARCH("Karcher",TRIM(SUBSTITUTE(SUBSTITUTE(MID(Общий!B341,SEARCH("Karcher",Общий!B341,1),19),".",""),"-","")),1)+8,8)),VALUE(LEFT(SUBSTITUTE(SUBSTITUTE(Общий!B341,".",""),"-",""),8))))=7,CONCATENATE(IFERROR(VALUE(MID(TRIM(SUBSTITUTE(SUBSTITUTE(MID(Общий!B341,SEARCH("Karcher",Общий!B341,1),19),".",""),"-","")),SEARCH("Karcher",TRIM(SUBSTITUTE(SUBSTITUTE(MID(Общий!B341,SEARCH("Karcher",Общий!B341,1),19),".",""),"-","")),1)+8,8)),VALUE(LEFT(SUBSTITUTE(SUBSTITUTE(Общий!B341,".",""),"-",""),8))),"0"),IFERROR(VALUE(MID(TRIM(SUBSTITUTE(SUBSTITUTE(MID(Общий!B341,SEARCH("Karcher",Общий!B341,1),19),".",""),"-","")),SEARCH("Karcher",TRIM(SUBSTITUTE(SUBSTITUTE(MID(Общий!B341,SEARCH("Karcher",Общий!B341,1),19),".",""),"-","")),1)+8,8)),VALUE(LEFT(SUBSTITUTE(SUBSTITUTE(Общий!B341,".",""),"-",""),8))))),0)</f>
        <v>0</v>
      </c>
      <c r="B341" s="25">
        <f>IFERROR(CONCATENATE(VALUE(IF(LEN(IFERROR(VALUE(MID(TRIM(SUBSTITUTE(SUBSTITUTE(MID(Общий!B341,SEARCH("Karcher",Общий!B341,1),19),".",""),"-","")),SEARCH("Karcher",TRIM(SUBSTITUTE(SUBSTITUTE(MID(Общий!B341,SEARCH("Karcher",Общий!B341,1),19),".",""),"-","")),1)+8,8)),VALUE(LEFT(SUBSTITUTE(SUBSTITUTE(Общий!B341,".",""),"-",""),8))))=7,CONCATENATE(IFERROR(VALUE(MID(TRIM(SUBSTITUTE(SUBSTITUTE(MID(Общий!B341,SEARCH("Karcher",Общий!B341,1),19),".",""),"-","")),SEARCH("Karcher",TRIM(SUBSTITUTE(SUBSTITUTE(MID(Общий!B341,SEARCH("Karcher",Общий!B341,1),19),".",""),"-","")),1)+8,8)),VALUE(LEFT(SUBSTITUTE(SUBSTITUTE(Общий!B341,".",""),"-",""),8))),"0"),IFERROR(VALUE(MID(TRIM(SUBSTITUTE(SUBSTITUTE(MID(Общий!B341,SEARCH("Karcher",Общий!B341,1),19),".",""),"-","")),SEARCH("Karcher",TRIM(SUBSTITUTE(SUBSTITUTE(MID(Общий!B341,SEARCH("Karcher",Общий!B341,1),19),".",""),"-","")),1)+8,8)),VALUE(LEFT(SUBSTITUTE(SUBSTITUTE(Общий!B341,".",""),"-",""),8)))))," ",Общий!C341),0)</f>
        <v>0</v>
      </c>
      <c r="C341" s="29" t="str">
        <f>Общий!A341</f>
        <v>333</v>
      </c>
      <c r="D341" s="27">
        <f>Общий!B341</f>
        <v>0</v>
      </c>
      <c r="E341" s="28">
        <f>Общий!C341</f>
        <v>0</v>
      </c>
      <c r="F341" s="16"/>
      <c r="G341" s="44"/>
      <c r="H341" s="44"/>
      <c r="I341" s="44"/>
      <c r="J341" s="35"/>
      <c r="K341" s="16"/>
    </row>
    <row r="342" spans="1:11" ht="12" customHeight="1">
      <c r="A342" s="31">
        <f>IFERROR(VALUE(IF(LEN(IFERROR(VALUE(MID(TRIM(SUBSTITUTE(SUBSTITUTE(MID(Общий!B342,SEARCH("Karcher",Общий!B342,1),19),".",""),"-","")),SEARCH("Karcher",TRIM(SUBSTITUTE(SUBSTITUTE(MID(Общий!B342,SEARCH("Karcher",Общий!B342,1),19),".",""),"-","")),1)+8,8)),VALUE(LEFT(SUBSTITUTE(SUBSTITUTE(Общий!B342,".",""),"-",""),8))))=7,CONCATENATE(IFERROR(VALUE(MID(TRIM(SUBSTITUTE(SUBSTITUTE(MID(Общий!B342,SEARCH("Karcher",Общий!B342,1),19),".",""),"-","")),SEARCH("Karcher",TRIM(SUBSTITUTE(SUBSTITUTE(MID(Общий!B342,SEARCH("Karcher",Общий!B342,1),19),".",""),"-","")),1)+8,8)),VALUE(LEFT(SUBSTITUTE(SUBSTITUTE(Общий!B342,".",""),"-",""),8))),"0"),IFERROR(VALUE(MID(TRIM(SUBSTITUTE(SUBSTITUTE(MID(Общий!B342,SEARCH("Karcher",Общий!B342,1),19),".",""),"-","")),SEARCH("Karcher",TRIM(SUBSTITUTE(SUBSTITUTE(MID(Общий!B342,SEARCH("Karcher",Общий!B342,1),19),".",""),"-","")),1)+8,8)),VALUE(LEFT(SUBSTITUTE(SUBSTITUTE(Общий!B342,".",""),"-",""),8))))),0)</f>
        <v>0</v>
      </c>
      <c r="B342" s="25">
        <f>IFERROR(CONCATENATE(VALUE(IF(LEN(IFERROR(VALUE(MID(TRIM(SUBSTITUTE(SUBSTITUTE(MID(Общий!B342,SEARCH("Karcher",Общий!B342,1),19),".",""),"-","")),SEARCH("Karcher",TRIM(SUBSTITUTE(SUBSTITUTE(MID(Общий!B342,SEARCH("Karcher",Общий!B342,1),19),".",""),"-","")),1)+8,8)),VALUE(LEFT(SUBSTITUTE(SUBSTITUTE(Общий!B342,".",""),"-",""),8))))=7,CONCATENATE(IFERROR(VALUE(MID(TRIM(SUBSTITUTE(SUBSTITUTE(MID(Общий!B342,SEARCH("Karcher",Общий!B342,1),19),".",""),"-","")),SEARCH("Karcher",TRIM(SUBSTITUTE(SUBSTITUTE(MID(Общий!B342,SEARCH("Karcher",Общий!B342,1),19),".",""),"-","")),1)+8,8)),VALUE(LEFT(SUBSTITUTE(SUBSTITUTE(Общий!B342,".",""),"-",""),8))),"0"),IFERROR(VALUE(MID(TRIM(SUBSTITUTE(SUBSTITUTE(MID(Общий!B342,SEARCH("Karcher",Общий!B342,1),19),".",""),"-","")),SEARCH("Karcher",TRIM(SUBSTITUTE(SUBSTITUTE(MID(Общий!B342,SEARCH("Karcher",Общий!B342,1),19),".",""),"-","")),1)+8,8)),VALUE(LEFT(SUBSTITUTE(SUBSTITUTE(Общий!B342,".",""),"-",""),8)))))," ",Общий!C342),0)</f>
        <v>0</v>
      </c>
      <c r="C342" s="29" t="str">
        <f>Общий!A342</f>
        <v>334</v>
      </c>
      <c r="D342" s="27">
        <f>Общий!B342</f>
        <v>0</v>
      </c>
      <c r="E342" s="28">
        <f>Общий!C342</f>
        <v>0</v>
      </c>
      <c r="G342" s="44"/>
      <c r="H342" s="44"/>
      <c r="I342" s="44"/>
      <c r="J342" s="35"/>
    </row>
    <row r="343" spans="1:11" ht="12" customHeight="1">
      <c r="A343" s="31">
        <f>IFERROR(VALUE(IF(LEN(IFERROR(VALUE(MID(TRIM(SUBSTITUTE(SUBSTITUTE(MID(Общий!B343,SEARCH("Karcher",Общий!B343,1),19),".",""),"-","")),SEARCH("Karcher",TRIM(SUBSTITUTE(SUBSTITUTE(MID(Общий!B343,SEARCH("Karcher",Общий!B343,1),19),".",""),"-","")),1)+8,8)),VALUE(LEFT(SUBSTITUTE(SUBSTITUTE(Общий!B343,".",""),"-",""),8))))=7,CONCATENATE(IFERROR(VALUE(MID(TRIM(SUBSTITUTE(SUBSTITUTE(MID(Общий!B343,SEARCH("Karcher",Общий!B343,1),19),".",""),"-","")),SEARCH("Karcher",TRIM(SUBSTITUTE(SUBSTITUTE(MID(Общий!B343,SEARCH("Karcher",Общий!B343,1),19),".",""),"-","")),1)+8,8)),VALUE(LEFT(SUBSTITUTE(SUBSTITUTE(Общий!B343,".",""),"-",""),8))),"0"),IFERROR(VALUE(MID(TRIM(SUBSTITUTE(SUBSTITUTE(MID(Общий!B343,SEARCH("Karcher",Общий!B343,1),19),".",""),"-","")),SEARCH("Karcher",TRIM(SUBSTITUTE(SUBSTITUTE(MID(Общий!B343,SEARCH("Karcher",Общий!B343,1),19),".",""),"-","")),1)+8,8)),VALUE(LEFT(SUBSTITUTE(SUBSTITUTE(Общий!B343,".",""),"-",""),8))))),0)</f>
        <v>0</v>
      </c>
      <c r="B343" s="25">
        <f>IFERROR(CONCATENATE(VALUE(IF(LEN(IFERROR(VALUE(MID(TRIM(SUBSTITUTE(SUBSTITUTE(MID(Общий!B343,SEARCH("Karcher",Общий!B343,1),19),".",""),"-","")),SEARCH("Karcher",TRIM(SUBSTITUTE(SUBSTITUTE(MID(Общий!B343,SEARCH("Karcher",Общий!B343,1),19),".",""),"-","")),1)+8,8)),VALUE(LEFT(SUBSTITUTE(SUBSTITUTE(Общий!B343,".",""),"-",""),8))))=7,CONCATENATE(IFERROR(VALUE(MID(TRIM(SUBSTITUTE(SUBSTITUTE(MID(Общий!B343,SEARCH("Karcher",Общий!B343,1),19),".",""),"-","")),SEARCH("Karcher",TRIM(SUBSTITUTE(SUBSTITUTE(MID(Общий!B343,SEARCH("Karcher",Общий!B343,1),19),".",""),"-","")),1)+8,8)),VALUE(LEFT(SUBSTITUTE(SUBSTITUTE(Общий!B343,".",""),"-",""),8))),"0"),IFERROR(VALUE(MID(TRIM(SUBSTITUTE(SUBSTITUTE(MID(Общий!B343,SEARCH("Karcher",Общий!B343,1),19),".",""),"-","")),SEARCH("Karcher",TRIM(SUBSTITUTE(SUBSTITUTE(MID(Общий!B343,SEARCH("Karcher",Общий!B343,1),19),".",""),"-","")),1)+8,8)),VALUE(LEFT(SUBSTITUTE(SUBSTITUTE(Общий!B343,".",""),"-",""),8)))))," ",Общий!C343),0)</f>
        <v>0</v>
      </c>
      <c r="C343" s="29" t="str">
        <f>Общий!A343</f>
        <v>335</v>
      </c>
      <c r="D343" s="27">
        <f>Общий!B343</f>
        <v>0</v>
      </c>
      <c r="E343" s="28">
        <f>Общий!C343</f>
        <v>0</v>
      </c>
      <c r="G343" s="44"/>
      <c r="H343" s="44"/>
      <c r="I343" s="44"/>
      <c r="J343" s="35"/>
    </row>
    <row r="344" spans="1:11" ht="12" customHeight="1">
      <c r="A344" s="31">
        <f>IFERROR(VALUE(IF(LEN(IFERROR(VALUE(MID(TRIM(SUBSTITUTE(SUBSTITUTE(MID(Общий!B344,SEARCH("Karcher",Общий!B344,1),19),".",""),"-","")),SEARCH("Karcher",TRIM(SUBSTITUTE(SUBSTITUTE(MID(Общий!B344,SEARCH("Karcher",Общий!B344,1),19),".",""),"-","")),1)+8,8)),VALUE(LEFT(SUBSTITUTE(SUBSTITUTE(Общий!B344,".",""),"-",""),8))))=7,CONCATENATE(IFERROR(VALUE(MID(TRIM(SUBSTITUTE(SUBSTITUTE(MID(Общий!B344,SEARCH("Karcher",Общий!B344,1),19),".",""),"-","")),SEARCH("Karcher",TRIM(SUBSTITUTE(SUBSTITUTE(MID(Общий!B344,SEARCH("Karcher",Общий!B344,1),19),".",""),"-","")),1)+8,8)),VALUE(LEFT(SUBSTITUTE(SUBSTITUTE(Общий!B344,".",""),"-",""),8))),"0"),IFERROR(VALUE(MID(TRIM(SUBSTITUTE(SUBSTITUTE(MID(Общий!B344,SEARCH("Karcher",Общий!B344,1),19),".",""),"-","")),SEARCH("Karcher",TRIM(SUBSTITUTE(SUBSTITUTE(MID(Общий!B344,SEARCH("Karcher",Общий!B344,1),19),".",""),"-","")),1)+8,8)),VALUE(LEFT(SUBSTITUTE(SUBSTITUTE(Общий!B344,".",""),"-",""),8))))),0)</f>
        <v>0</v>
      </c>
      <c r="B344" s="25">
        <f>IFERROR(CONCATENATE(VALUE(IF(LEN(IFERROR(VALUE(MID(TRIM(SUBSTITUTE(SUBSTITUTE(MID(Общий!B344,SEARCH("Karcher",Общий!B344,1),19),".",""),"-","")),SEARCH("Karcher",TRIM(SUBSTITUTE(SUBSTITUTE(MID(Общий!B344,SEARCH("Karcher",Общий!B344,1),19),".",""),"-","")),1)+8,8)),VALUE(LEFT(SUBSTITUTE(SUBSTITUTE(Общий!B344,".",""),"-",""),8))))=7,CONCATENATE(IFERROR(VALUE(MID(TRIM(SUBSTITUTE(SUBSTITUTE(MID(Общий!B344,SEARCH("Karcher",Общий!B344,1),19),".",""),"-","")),SEARCH("Karcher",TRIM(SUBSTITUTE(SUBSTITUTE(MID(Общий!B344,SEARCH("Karcher",Общий!B344,1),19),".",""),"-","")),1)+8,8)),VALUE(LEFT(SUBSTITUTE(SUBSTITUTE(Общий!B344,".",""),"-",""),8))),"0"),IFERROR(VALUE(MID(TRIM(SUBSTITUTE(SUBSTITUTE(MID(Общий!B344,SEARCH("Karcher",Общий!B344,1),19),".",""),"-","")),SEARCH("Karcher",TRIM(SUBSTITUTE(SUBSTITUTE(MID(Общий!B344,SEARCH("Karcher",Общий!B344,1),19),".",""),"-","")),1)+8,8)),VALUE(LEFT(SUBSTITUTE(SUBSTITUTE(Общий!B344,".",""),"-",""),8)))))," ",Общий!C344),0)</f>
        <v>0</v>
      </c>
      <c r="C344" s="29" t="str">
        <f>Общий!A344</f>
        <v>336</v>
      </c>
      <c r="D344" s="27">
        <f>Общий!B344</f>
        <v>0</v>
      </c>
      <c r="E344" s="28">
        <f>Общий!C344</f>
        <v>0</v>
      </c>
      <c r="G344" s="44"/>
      <c r="H344" s="44"/>
      <c r="I344" s="44"/>
      <c r="J344" s="35"/>
    </row>
    <row r="345" spans="1:11" ht="12" customHeight="1">
      <c r="A345" s="31">
        <f>IFERROR(VALUE(IF(LEN(IFERROR(VALUE(MID(TRIM(SUBSTITUTE(SUBSTITUTE(MID(Общий!B345,SEARCH("Karcher",Общий!B345,1),19),".",""),"-","")),SEARCH("Karcher",TRIM(SUBSTITUTE(SUBSTITUTE(MID(Общий!B345,SEARCH("Karcher",Общий!B345,1),19),".",""),"-","")),1)+8,8)),VALUE(LEFT(SUBSTITUTE(SUBSTITUTE(Общий!B345,".",""),"-",""),8))))=7,CONCATENATE(IFERROR(VALUE(MID(TRIM(SUBSTITUTE(SUBSTITUTE(MID(Общий!B345,SEARCH("Karcher",Общий!B345,1),19),".",""),"-","")),SEARCH("Karcher",TRIM(SUBSTITUTE(SUBSTITUTE(MID(Общий!B345,SEARCH("Karcher",Общий!B345,1),19),".",""),"-","")),1)+8,8)),VALUE(LEFT(SUBSTITUTE(SUBSTITUTE(Общий!B345,".",""),"-",""),8))),"0"),IFERROR(VALUE(MID(TRIM(SUBSTITUTE(SUBSTITUTE(MID(Общий!B345,SEARCH("Karcher",Общий!B345,1),19),".",""),"-","")),SEARCH("Karcher",TRIM(SUBSTITUTE(SUBSTITUTE(MID(Общий!B345,SEARCH("Karcher",Общий!B345,1),19),".",""),"-","")),1)+8,8)),VALUE(LEFT(SUBSTITUTE(SUBSTITUTE(Общий!B345,".",""),"-",""),8))))),0)</f>
        <v>0</v>
      </c>
      <c r="B345" s="25">
        <f>IFERROR(CONCATENATE(VALUE(IF(LEN(IFERROR(VALUE(MID(TRIM(SUBSTITUTE(SUBSTITUTE(MID(Общий!B345,SEARCH("Karcher",Общий!B345,1),19),".",""),"-","")),SEARCH("Karcher",TRIM(SUBSTITUTE(SUBSTITUTE(MID(Общий!B345,SEARCH("Karcher",Общий!B345,1),19),".",""),"-","")),1)+8,8)),VALUE(LEFT(SUBSTITUTE(SUBSTITUTE(Общий!B345,".",""),"-",""),8))))=7,CONCATENATE(IFERROR(VALUE(MID(TRIM(SUBSTITUTE(SUBSTITUTE(MID(Общий!B345,SEARCH("Karcher",Общий!B345,1),19),".",""),"-","")),SEARCH("Karcher",TRIM(SUBSTITUTE(SUBSTITUTE(MID(Общий!B345,SEARCH("Karcher",Общий!B345,1),19),".",""),"-","")),1)+8,8)),VALUE(LEFT(SUBSTITUTE(SUBSTITUTE(Общий!B345,".",""),"-",""),8))),"0"),IFERROR(VALUE(MID(TRIM(SUBSTITUTE(SUBSTITUTE(MID(Общий!B345,SEARCH("Karcher",Общий!B345,1),19),".",""),"-","")),SEARCH("Karcher",TRIM(SUBSTITUTE(SUBSTITUTE(MID(Общий!B345,SEARCH("Karcher",Общий!B345,1),19),".",""),"-","")),1)+8,8)),VALUE(LEFT(SUBSTITUTE(SUBSTITUTE(Общий!B345,".",""),"-",""),8)))))," ",Общий!C345),0)</f>
        <v>0</v>
      </c>
      <c r="C345" s="29" t="str">
        <f>Общий!A345</f>
        <v>337</v>
      </c>
      <c r="D345" s="27">
        <f>Общий!B345</f>
        <v>0</v>
      </c>
      <c r="E345" s="28">
        <f>Общий!C345</f>
        <v>0</v>
      </c>
      <c r="G345" s="44"/>
      <c r="H345" s="44"/>
      <c r="I345" s="44"/>
      <c r="J345" s="35"/>
    </row>
    <row r="346" spans="1:11" ht="12" customHeight="1">
      <c r="A346" s="31">
        <f>IFERROR(VALUE(IF(LEN(IFERROR(VALUE(MID(TRIM(SUBSTITUTE(SUBSTITUTE(MID(Общий!B346,SEARCH("Karcher",Общий!B346,1),19),".",""),"-","")),SEARCH("Karcher",TRIM(SUBSTITUTE(SUBSTITUTE(MID(Общий!B346,SEARCH("Karcher",Общий!B346,1),19),".",""),"-","")),1)+8,8)),VALUE(LEFT(SUBSTITUTE(SUBSTITUTE(Общий!B346,".",""),"-",""),8))))=7,CONCATENATE(IFERROR(VALUE(MID(TRIM(SUBSTITUTE(SUBSTITUTE(MID(Общий!B346,SEARCH("Karcher",Общий!B346,1),19),".",""),"-","")),SEARCH("Karcher",TRIM(SUBSTITUTE(SUBSTITUTE(MID(Общий!B346,SEARCH("Karcher",Общий!B346,1),19),".",""),"-","")),1)+8,8)),VALUE(LEFT(SUBSTITUTE(SUBSTITUTE(Общий!B346,".",""),"-",""),8))),"0"),IFERROR(VALUE(MID(TRIM(SUBSTITUTE(SUBSTITUTE(MID(Общий!B346,SEARCH("Karcher",Общий!B346,1),19),".",""),"-","")),SEARCH("Karcher",TRIM(SUBSTITUTE(SUBSTITUTE(MID(Общий!B346,SEARCH("Karcher",Общий!B346,1),19),".",""),"-","")),1)+8,8)),VALUE(LEFT(SUBSTITUTE(SUBSTITUTE(Общий!B346,".",""),"-",""),8))))),0)</f>
        <v>0</v>
      </c>
      <c r="B346" s="25">
        <f>IFERROR(CONCATENATE(VALUE(IF(LEN(IFERROR(VALUE(MID(TRIM(SUBSTITUTE(SUBSTITUTE(MID(Общий!B346,SEARCH("Karcher",Общий!B346,1),19),".",""),"-","")),SEARCH("Karcher",TRIM(SUBSTITUTE(SUBSTITUTE(MID(Общий!B346,SEARCH("Karcher",Общий!B346,1),19),".",""),"-","")),1)+8,8)),VALUE(LEFT(SUBSTITUTE(SUBSTITUTE(Общий!B346,".",""),"-",""),8))))=7,CONCATENATE(IFERROR(VALUE(MID(TRIM(SUBSTITUTE(SUBSTITUTE(MID(Общий!B346,SEARCH("Karcher",Общий!B346,1),19),".",""),"-","")),SEARCH("Karcher",TRIM(SUBSTITUTE(SUBSTITUTE(MID(Общий!B346,SEARCH("Karcher",Общий!B346,1),19),".",""),"-","")),1)+8,8)),VALUE(LEFT(SUBSTITUTE(SUBSTITUTE(Общий!B346,".",""),"-",""),8))),"0"),IFERROR(VALUE(MID(TRIM(SUBSTITUTE(SUBSTITUTE(MID(Общий!B346,SEARCH("Karcher",Общий!B346,1),19),".",""),"-","")),SEARCH("Karcher",TRIM(SUBSTITUTE(SUBSTITUTE(MID(Общий!B346,SEARCH("Karcher",Общий!B346,1),19),".",""),"-","")),1)+8,8)),VALUE(LEFT(SUBSTITUTE(SUBSTITUTE(Общий!B346,".",""),"-",""),8)))))," ",Общий!C346),0)</f>
        <v>0</v>
      </c>
      <c r="C346" s="29" t="str">
        <f>Общий!A346</f>
        <v>338</v>
      </c>
      <c r="D346" s="27">
        <f>Общий!B346</f>
        <v>0</v>
      </c>
      <c r="E346" s="28">
        <f>Общий!C346</f>
        <v>0</v>
      </c>
      <c r="G346" s="44"/>
      <c r="H346" s="44"/>
      <c r="I346" s="44"/>
      <c r="J346" s="35"/>
    </row>
    <row r="347" spans="1:11" ht="12" customHeight="1">
      <c r="A347" s="31">
        <f>IFERROR(VALUE(IF(LEN(IFERROR(VALUE(MID(TRIM(SUBSTITUTE(SUBSTITUTE(MID(Общий!B347,SEARCH("Karcher",Общий!B347,1),19),".",""),"-","")),SEARCH("Karcher",TRIM(SUBSTITUTE(SUBSTITUTE(MID(Общий!B347,SEARCH("Karcher",Общий!B347,1),19),".",""),"-","")),1)+8,8)),VALUE(LEFT(SUBSTITUTE(SUBSTITUTE(Общий!B347,".",""),"-",""),8))))=7,CONCATENATE(IFERROR(VALUE(MID(TRIM(SUBSTITUTE(SUBSTITUTE(MID(Общий!B347,SEARCH("Karcher",Общий!B347,1),19),".",""),"-","")),SEARCH("Karcher",TRIM(SUBSTITUTE(SUBSTITUTE(MID(Общий!B347,SEARCH("Karcher",Общий!B347,1),19),".",""),"-","")),1)+8,8)),VALUE(LEFT(SUBSTITUTE(SUBSTITUTE(Общий!B347,".",""),"-",""),8))),"0"),IFERROR(VALUE(MID(TRIM(SUBSTITUTE(SUBSTITUTE(MID(Общий!B347,SEARCH("Karcher",Общий!B347,1),19),".",""),"-","")),SEARCH("Karcher",TRIM(SUBSTITUTE(SUBSTITUTE(MID(Общий!B347,SEARCH("Karcher",Общий!B347,1),19),".",""),"-","")),1)+8,8)),VALUE(LEFT(SUBSTITUTE(SUBSTITUTE(Общий!B347,".",""),"-",""),8))))),0)</f>
        <v>0</v>
      </c>
      <c r="B347" s="25">
        <f>IFERROR(CONCATENATE(VALUE(IF(LEN(IFERROR(VALUE(MID(TRIM(SUBSTITUTE(SUBSTITUTE(MID(Общий!B347,SEARCH("Karcher",Общий!B347,1),19),".",""),"-","")),SEARCH("Karcher",TRIM(SUBSTITUTE(SUBSTITUTE(MID(Общий!B347,SEARCH("Karcher",Общий!B347,1),19),".",""),"-","")),1)+8,8)),VALUE(LEFT(SUBSTITUTE(SUBSTITUTE(Общий!B347,".",""),"-",""),8))))=7,CONCATENATE(IFERROR(VALUE(MID(TRIM(SUBSTITUTE(SUBSTITUTE(MID(Общий!B347,SEARCH("Karcher",Общий!B347,1),19),".",""),"-","")),SEARCH("Karcher",TRIM(SUBSTITUTE(SUBSTITUTE(MID(Общий!B347,SEARCH("Karcher",Общий!B347,1),19),".",""),"-","")),1)+8,8)),VALUE(LEFT(SUBSTITUTE(SUBSTITUTE(Общий!B347,".",""),"-",""),8))),"0"),IFERROR(VALUE(MID(TRIM(SUBSTITUTE(SUBSTITUTE(MID(Общий!B347,SEARCH("Karcher",Общий!B347,1),19),".",""),"-","")),SEARCH("Karcher",TRIM(SUBSTITUTE(SUBSTITUTE(MID(Общий!B347,SEARCH("Karcher",Общий!B347,1),19),".",""),"-","")),1)+8,8)),VALUE(LEFT(SUBSTITUTE(SUBSTITUTE(Общий!B347,".",""),"-",""),8)))))," ",Общий!C347),0)</f>
        <v>0</v>
      </c>
      <c r="C347" s="29" t="str">
        <f>Общий!A347</f>
        <v>339</v>
      </c>
      <c r="D347" s="27">
        <f>Общий!B347</f>
        <v>0</v>
      </c>
      <c r="E347" s="28">
        <f>Общий!C347</f>
        <v>0</v>
      </c>
      <c r="G347" s="44"/>
      <c r="H347" s="44"/>
      <c r="I347" s="44"/>
      <c r="J347" s="35"/>
    </row>
    <row r="348" spans="1:11" ht="12" customHeight="1">
      <c r="A348" s="31">
        <f>IFERROR(VALUE(IF(LEN(IFERROR(VALUE(MID(TRIM(SUBSTITUTE(SUBSTITUTE(MID(Общий!B348,SEARCH("Karcher",Общий!B348,1),19),".",""),"-","")),SEARCH("Karcher",TRIM(SUBSTITUTE(SUBSTITUTE(MID(Общий!B348,SEARCH("Karcher",Общий!B348,1),19),".",""),"-","")),1)+8,8)),VALUE(LEFT(SUBSTITUTE(SUBSTITUTE(Общий!B348,".",""),"-",""),8))))=7,CONCATENATE(IFERROR(VALUE(MID(TRIM(SUBSTITUTE(SUBSTITUTE(MID(Общий!B348,SEARCH("Karcher",Общий!B348,1),19),".",""),"-","")),SEARCH("Karcher",TRIM(SUBSTITUTE(SUBSTITUTE(MID(Общий!B348,SEARCH("Karcher",Общий!B348,1),19),".",""),"-","")),1)+8,8)),VALUE(LEFT(SUBSTITUTE(SUBSTITUTE(Общий!B348,".",""),"-",""),8))),"0"),IFERROR(VALUE(MID(TRIM(SUBSTITUTE(SUBSTITUTE(MID(Общий!B348,SEARCH("Karcher",Общий!B348,1),19),".",""),"-","")),SEARCH("Karcher",TRIM(SUBSTITUTE(SUBSTITUTE(MID(Общий!B348,SEARCH("Karcher",Общий!B348,1),19),".",""),"-","")),1)+8,8)),VALUE(LEFT(SUBSTITUTE(SUBSTITUTE(Общий!B348,".",""),"-",""),8))))),0)</f>
        <v>0</v>
      </c>
      <c r="B348" s="25">
        <f>IFERROR(CONCATENATE(VALUE(IF(LEN(IFERROR(VALUE(MID(TRIM(SUBSTITUTE(SUBSTITUTE(MID(Общий!B348,SEARCH("Karcher",Общий!B348,1),19),".",""),"-","")),SEARCH("Karcher",TRIM(SUBSTITUTE(SUBSTITUTE(MID(Общий!B348,SEARCH("Karcher",Общий!B348,1),19),".",""),"-","")),1)+8,8)),VALUE(LEFT(SUBSTITUTE(SUBSTITUTE(Общий!B348,".",""),"-",""),8))))=7,CONCATENATE(IFERROR(VALUE(MID(TRIM(SUBSTITUTE(SUBSTITUTE(MID(Общий!B348,SEARCH("Karcher",Общий!B348,1),19),".",""),"-","")),SEARCH("Karcher",TRIM(SUBSTITUTE(SUBSTITUTE(MID(Общий!B348,SEARCH("Karcher",Общий!B348,1),19),".",""),"-","")),1)+8,8)),VALUE(LEFT(SUBSTITUTE(SUBSTITUTE(Общий!B348,".",""),"-",""),8))),"0"),IFERROR(VALUE(MID(TRIM(SUBSTITUTE(SUBSTITUTE(MID(Общий!B348,SEARCH("Karcher",Общий!B348,1),19),".",""),"-","")),SEARCH("Karcher",TRIM(SUBSTITUTE(SUBSTITUTE(MID(Общий!B348,SEARCH("Karcher",Общий!B348,1),19),".",""),"-","")),1)+8,8)),VALUE(LEFT(SUBSTITUTE(SUBSTITUTE(Общий!B348,".",""),"-",""),8)))))," ",Общий!C348),0)</f>
        <v>0</v>
      </c>
      <c r="C348" s="29" t="str">
        <f>Общий!A348</f>
        <v>340</v>
      </c>
      <c r="D348" s="27">
        <f>Общий!B348</f>
        <v>0</v>
      </c>
      <c r="E348" s="28">
        <f>Общий!C348</f>
        <v>0</v>
      </c>
      <c r="G348" s="44"/>
      <c r="H348" s="44"/>
      <c r="I348" s="44"/>
      <c r="J348" s="35"/>
    </row>
    <row r="349" spans="1:11" ht="12" customHeight="1">
      <c r="A349" s="31">
        <f>IFERROR(VALUE(IF(LEN(IFERROR(VALUE(MID(TRIM(SUBSTITUTE(SUBSTITUTE(MID(Общий!B349,SEARCH("Karcher",Общий!B349,1),19),".",""),"-","")),SEARCH("Karcher",TRIM(SUBSTITUTE(SUBSTITUTE(MID(Общий!B349,SEARCH("Karcher",Общий!B349,1),19),".",""),"-","")),1)+8,8)),VALUE(LEFT(SUBSTITUTE(SUBSTITUTE(Общий!B349,".",""),"-",""),8))))=7,CONCATENATE(IFERROR(VALUE(MID(TRIM(SUBSTITUTE(SUBSTITUTE(MID(Общий!B349,SEARCH("Karcher",Общий!B349,1),19),".",""),"-","")),SEARCH("Karcher",TRIM(SUBSTITUTE(SUBSTITUTE(MID(Общий!B349,SEARCH("Karcher",Общий!B349,1),19),".",""),"-","")),1)+8,8)),VALUE(LEFT(SUBSTITUTE(SUBSTITUTE(Общий!B349,".",""),"-",""),8))),"0"),IFERROR(VALUE(MID(TRIM(SUBSTITUTE(SUBSTITUTE(MID(Общий!B349,SEARCH("Karcher",Общий!B349,1),19),".",""),"-","")),SEARCH("Karcher",TRIM(SUBSTITUTE(SUBSTITUTE(MID(Общий!B349,SEARCH("Karcher",Общий!B349,1),19),".",""),"-","")),1)+8,8)),VALUE(LEFT(SUBSTITUTE(SUBSTITUTE(Общий!B349,".",""),"-",""),8))))),0)</f>
        <v>0</v>
      </c>
      <c r="B349" s="25">
        <f>IFERROR(CONCATENATE(VALUE(IF(LEN(IFERROR(VALUE(MID(TRIM(SUBSTITUTE(SUBSTITUTE(MID(Общий!B349,SEARCH("Karcher",Общий!B349,1),19),".",""),"-","")),SEARCH("Karcher",TRIM(SUBSTITUTE(SUBSTITUTE(MID(Общий!B349,SEARCH("Karcher",Общий!B349,1),19),".",""),"-","")),1)+8,8)),VALUE(LEFT(SUBSTITUTE(SUBSTITUTE(Общий!B349,".",""),"-",""),8))))=7,CONCATENATE(IFERROR(VALUE(MID(TRIM(SUBSTITUTE(SUBSTITUTE(MID(Общий!B349,SEARCH("Karcher",Общий!B349,1),19),".",""),"-","")),SEARCH("Karcher",TRIM(SUBSTITUTE(SUBSTITUTE(MID(Общий!B349,SEARCH("Karcher",Общий!B349,1),19),".",""),"-","")),1)+8,8)),VALUE(LEFT(SUBSTITUTE(SUBSTITUTE(Общий!B349,".",""),"-",""),8))),"0"),IFERROR(VALUE(MID(TRIM(SUBSTITUTE(SUBSTITUTE(MID(Общий!B349,SEARCH("Karcher",Общий!B349,1),19),".",""),"-","")),SEARCH("Karcher",TRIM(SUBSTITUTE(SUBSTITUTE(MID(Общий!B349,SEARCH("Karcher",Общий!B349,1),19),".",""),"-","")),1)+8,8)),VALUE(LEFT(SUBSTITUTE(SUBSTITUTE(Общий!B349,".",""),"-",""),8)))))," ",Общий!C349),0)</f>
        <v>0</v>
      </c>
      <c r="C349" s="29" t="str">
        <f>Общий!A349</f>
        <v>341</v>
      </c>
      <c r="D349" s="27">
        <f>Общий!B349</f>
        <v>0</v>
      </c>
      <c r="E349" s="28">
        <f>Общий!C349</f>
        <v>0</v>
      </c>
      <c r="G349" s="44"/>
      <c r="H349" s="44"/>
      <c r="I349" s="44"/>
      <c r="J349" s="35"/>
    </row>
    <row r="350" spans="1:11" ht="12" customHeight="1">
      <c r="A350" s="31">
        <f>IFERROR(VALUE(IF(LEN(IFERROR(VALUE(MID(TRIM(SUBSTITUTE(SUBSTITUTE(MID(Общий!B350,SEARCH("Karcher",Общий!B350,1),19),".",""),"-","")),SEARCH("Karcher",TRIM(SUBSTITUTE(SUBSTITUTE(MID(Общий!B350,SEARCH("Karcher",Общий!B350,1),19),".",""),"-","")),1)+8,8)),VALUE(LEFT(SUBSTITUTE(SUBSTITUTE(Общий!B350,".",""),"-",""),8))))=7,CONCATENATE(IFERROR(VALUE(MID(TRIM(SUBSTITUTE(SUBSTITUTE(MID(Общий!B350,SEARCH("Karcher",Общий!B350,1),19),".",""),"-","")),SEARCH("Karcher",TRIM(SUBSTITUTE(SUBSTITUTE(MID(Общий!B350,SEARCH("Karcher",Общий!B350,1),19),".",""),"-","")),1)+8,8)),VALUE(LEFT(SUBSTITUTE(SUBSTITUTE(Общий!B350,".",""),"-",""),8))),"0"),IFERROR(VALUE(MID(TRIM(SUBSTITUTE(SUBSTITUTE(MID(Общий!B350,SEARCH("Karcher",Общий!B350,1),19),".",""),"-","")),SEARCH("Karcher",TRIM(SUBSTITUTE(SUBSTITUTE(MID(Общий!B350,SEARCH("Karcher",Общий!B350,1),19),".",""),"-","")),1)+8,8)),VALUE(LEFT(SUBSTITUTE(SUBSTITUTE(Общий!B350,".",""),"-",""),8))))),0)</f>
        <v>0</v>
      </c>
      <c r="B350" s="25">
        <f>IFERROR(CONCATENATE(VALUE(IF(LEN(IFERROR(VALUE(MID(TRIM(SUBSTITUTE(SUBSTITUTE(MID(Общий!B350,SEARCH("Karcher",Общий!B350,1),19),".",""),"-","")),SEARCH("Karcher",TRIM(SUBSTITUTE(SUBSTITUTE(MID(Общий!B350,SEARCH("Karcher",Общий!B350,1),19),".",""),"-","")),1)+8,8)),VALUE(LEFT(SUBSTITUTE(SUBSTITUTE(Общий!B350,".",""),"-",""),8))))=7,CONCATENATE(IFERROR(VALUE(MID(TRIM(SUBSTITUTE(SUBSTITUTE(MID(Общий!B350,SEARCH("Karcher",Общий!B350,1),19),".",""),"-","")),SEARCH("Karcher",TRIM(SUBSTITUTE(SUBSTITUTE(MID(Общий!B350,SEARCH("Karcher",Общий!B350,1),19),".",""),"-","")),1)+8,8)),VALUE(LEFT(SUBSTITUTE(SUBSTITUTE(Общий!B350,".",""),"-",""),8))),"0"),IFERROR(VALUE(MID(TRIM(SUBSTITUTE(SUBSTITUTE(MID(Общий!B350,SEARCH("Karcher",Общий!B350,1),19),".",""),"-","")),SEARCH("Karcher",TRIM(SUBSTITUTE(SUBSTITUTE(MID(Общий!B350,SEARCH("Karcher",Общий!B350,1),19),".",""),"-","")),1)+8,8)),VALUE(LEFT(SUBSTITUTE(SUBSTITUTE(Общий!B350,".",""),"-",""),8)))))," ",Общий!C350),0)</f>
        <v>0</v>
      </c>
      <c r="C350" s="29" t="str">
        <f>Общий!A350</f>
        <v>342</v>
      </c>
      <c r="D350" s="27">
        <f>Общий!B350</f>
        <v>0</v>
      </c>
      <c r="E350" s="28">
        <f>Общий!C350</f>
        <v>0</v>
      </c>
      <c r="G350" s="44"/>
      <c r="H350" s="44"/>
      <c r="I350" s="44"/>
      <c r="J350" s="35"/>
    </row>
    <row r="351" spans="1:11" ht="12" customHeight="1">
      <c r="A351" s="31">
        <f>IFERROR(VALUE(IF(LEN(IFERROR(VALUE(MID(TRIM(SUBSTITUTE(SUBSTITUTE(MID(Общий!B351,SEARCH("Karcher",Общий!B351,1),19),".",""),"-","")),SEARCH("Karcher",TRIM(SUBSTITUTE(SUBSTITUTE(MID(Общий!B351,SEARCH("Karcher",Общий!B351,1),19),".",""),"-","")),1)+8,8)),VALUE(LEFT(SUBSTITUTE(SUBSTITUTE(Общий!B351,".",""),"-",""),8))))=7,CONCATENATE(IFERROR(VALUE(MID(TRIM(SUBSTITUTE(SUBSTITUTE(MID(Общий!B351,SEARCH("Karcher",Общий!B351,1),19),".",""),"-","")),SEARCH("Karcher",TRIM(SUBSTITUTE(SUBSTITUTE(MID(Общий!B351,SEARCH("Karcher",Общий!B351,1),19),".",""),"-","")),1)+8,8)),VALUE(LEFT(SUBSTITUTE(SUBSTITUTE(Общий!B351,".",""),"-",""),8))),"0"),IFERROR(VALUE(MID(TRIM(SUBSTITUTE(SUBSTITUTE(MID(Общий!B351,SEARCH("Karcher",Общий!B351,1),19),".",""),"-","")),SEARCH("Karcher",TRIM(SUBSTITUTE(SUBSTITUTE(MID(Общий!B351,SEARCH("Karcher",Общий!B351,1),19),".",""),"-","")),1)+8,8)),VALUE(LEFT(SUBSTITUTE(SUBSTITUTE(Общий!B351,".",""),"-",""),8))))),0)</f>
        <v>0</v>
      </c>
      <c r="B351" s="25">
        <f>IFERROR(CONCATENATE(VALUE(IF(LEN(IFERROR(VALUE(MID(TRIM(SUBSTITUTE(SUBSTITUTE(MID(Общий!B351,SEARCH("Karcher",Общий!B351,1),19),".",""),"-","")),SEARCH("Karcher",TRIM(SUBSTITUTE(SUBSTITUTE(MID(Общий!B351,SEARCH("Karcher",Общий!B351,1),19),".",""),"-","")),1)+8,8)),VALUE(LEFT(SUBSTITUTE(SUBSTITUTE(Общий!B351,".",""),"-",""),8))))=7,CONCATENATE(IFERROR(VALUE(MID(TRIM(SUBSTITUTE(SUBSTITUTE(MID(Общий!B351,SEARCH("Karcher",Общий!B351,1),19),".",""),"-","")),SEARCH("Karcher",TRIM(SUBSTITUTE(SUBSTITUTE(MID(Общий!B351,SEARCH("Karcher",Общий!B351,1),19),".",""),"-","")),1)+8,8)),VALUE(LEFT(SUBSTITUTE(SUBSTITUTE(Общий!B351,".",""),"-",""),8))),"0"),IFERROR(VALUE(MID(TRIM(SUBSTITUTE(SUBSTITUTE(MID(Общий!B351,SEARCH("Karcher",Общий!B351,1),19),".",""),"-","")),SEARCH("Karcher",TRIM(SUBSTITUTE(SUBSTITUTE(MID(Общий!B351,SEARCH("Karcher",Общий!B351,1),19),".",""),"-","")),1)+8,8)),VALUE(LEFT(SUBSTITUTE(SUBSTITUTE(Общий!B351,".",""),"-",""),8)))))," ",Общий!C351),0)</f>
        <v>0</v>
      </c>
      <c r="C351" s="29" t="str">
        <f>Общий!A351</f>
        <v>343</v>
      </c>
      <c r="D351" s="27">
        <f>Общий!B351</f>
        <v>0</v>
      </c>
      <c r="E351" s="28">
        <f>Общий!C351</f>
        <v>0</v>
      </c>
      <c r="G351" s="44"/>
      <c r="H351" s="44"/>
      <c r="I351" s="44"/>
      <c r="J351" s="35"/>
    </row>
    <row r="352" spans="1:11" ht="12" customHeight="1">
      <c r="A352" s="31">
        <f>IFERROR(VALUE(IF(LEN(IFERROR(VALUE(MID(TRIM(SUBSTITUTE(SUBSTITUTE(MID(Общий!B352,SEARCH("Karcher",Общий!B352,1),19),".",""),"-","")),SEARCH("Karcher",TRIM(SUBSTITUTE(SUBSTITUTE(MID(Общий!B352,SEARCH("Karcher",Общий!B352,1),19),".",""),"-","")),1)+8,8)),VALUE(LEFT(SUBSTITUTE(SUBSTITUTE(Общий!B352,".",""),"-",""),8))))=7,CONCATENATE(IFERROR(VALUE(MID(TRIM(SUBSTITUTE(SUBSTITUTE(MID(Общий!B352,SEARCH("Karcher",Общий!B352,1),19),".",""),"-","")),SEARCH("Karcher",TRIM(SUBSTITUTE(SUBSTITUTE(MID(Общий!B352,SEARCH("Karcher",Общий!B352,1),19),".",""),"-","")),1)+8,8)),VALUE(LEFT(SUBSTITUTE(SUBSTITUTE(Общий!B352,".",""),"-",""),8))),"0"),IFERROR(VALUE(MID(TRIM(SUBSTITUTE(SUBSTITUTE(MID(Общий!B352,SEARCH("Karcher",Общий!B352,1),19),".",""),"-","")),SEARCH("Karcher",TRIM(SUBSTITUTE(SUBSTITUTE(MID(Общий!B352,SEARCH("Karcher",Общий!B352,1),19),".",""),"-","")),1)+8,8)),VALUE(LEFT(SUBSTITUTE(SUBSTITUTE(Общий!B352,".",""),"-",""),8))))),0)</f>
        <v>0</v>
      </c>
      <c r="B352" s="25">
        <f>IFERROR(CONCATENATE(VALUE(IF(LEN(IFERROR(VALUE(MID(TRIM(SUBSTITUTE(SUBSTITUTE(MID(Общий!B352,SEARCH("Karcher",Общий!B352,1),19),".",""),"-","")),SEARCH("Karcher",TRIM(SUBSTITUTE(SUBSTITUTE(MID(Общий!B352,SEARCH("Karcher",Общий!B352,1),19),".",""),"-","")),1)+8,8)),VALUE(LEFT(SUBSTITUTE(SUBSTITUTE(Общий!B352,".",""),"-",""),8))))=7,CONCATENATE(IFERROR(VALUE(MID(TRIM(SUBSTITUTE(SUBSTITUTE(MID(Общий!B352,SEARCH("Karcher",Общий!B352,1),19),".",""),"-","")),SEARCH("Karcher",TRIM(SUBSTITUTE(SUBSTITUTE(MID(Общий!B352,SEARCH("Karcher",Общий!B352,1),19),".",""),"-","")),1)+8,8)),VALUE(LEFT(SUBSTITUTE(SUBSTITUTE(Общий!B352,".",""),"-",""),8))),"0"),IFERROR(VALUE(MID(TRIM(SUBSTITUTE(SUBSTITUTE(MID(Общий!B352,SEARCH("Karcher",Общий!B352,1),19),".",""),"-","")),SEARCH("Karcher",TRIM(SUBSTITUTE(SUBSTITUTE(MID(Общий!B352,SEARCH("Karcher",Общий!B352,1),19),".",""),"-","")),1)+8,8)),VALUE(LEFT(SUBSTITUTE(SUBSTITUTE(Общий!B352,".",""),"-",""),8)))))," ",Общий!C352),0)</f>
        <v>0</v>
      </c>
      <c r="C352" s="29" t="str">
        <f>Общий!A352</f>
        <v>344</v>
      </c>
      <c r="D352" s="27">
        <f>Общий!B352</f>
        <v>0</v>
      </c>
      <c r="E352" s="28">
        <f>Общий!C352</f>
        <v>0</v>
      </c>
      <c r="G352" s="44"/>
      <c r="H352" s="44"/>
      <c r="I352" s="44"/>
      <c r="J352" s="35"/>
    </row>
    <row r="353" spans="1:10" ht="12" customHeight="1">
      <c r="A353" s="31">
        <f>IFERROR(VALUE(IF(LEN(IFERROR(VALUE(MID(TRIM(SUBSTITUTE(SUBSTITUTE(MID(Общий!B353,SEARCH("Karcher",Общий!B353,1),19),".",""),"-","")),SEARCH("Karcher",TRIM(SUBSTITUTE(SUBSTITUTE(MID(Общий!B353,SEARCH("Karcher",Общий!B353,1),19),".",""),"-","")),1)+8,8)),VALUE(LEFT(SUBSTITUTE(SUBSTITUTE(Общий!B353,".",""),"-",""),8))))=7,CONCATENATE(IFERROR(VALUE(MID(TRIM(SUBSTITUTE(SUBSTITUTE(MID(Общий!B353,SEARCH("Karcher",Общий!B353,1),19),".",""),"-","")),SEARCH("Karcher",TRIM(SUBSTITUTE(SUBSTITUTE(MID(Общий!B353,SEARCH("Karcher",Общий!B353,1),19),".",""),"-","")),1)+8,8)),VALUE(LEFT(SUBSTITUTE(SUBSTITUTE(Общий!B353,".",""),"-",""),8))),"0"),IFERROR(VALUE(MID(TRIM(SUBSTITUTE(SUBSTITUTE(MID(Общий!B353,SEARCH("Karcher",Общий!B353,1),19),".",""),"-","")),SEARCH("Karcher",TRIM(SUBSTITUTE(SUBSTITUTE(MID(Общий!B353,SEARCH("Karcher",Общий!B353,1),19),".",""),"-","")),1)+8,8)),VALUE(LEFT(SUBSTITUTE(SUBSTITUTE(Общий!B353,".",""),"-",""),8))))),0)</f>
        <v>0</v>
      </c>
      <c r="B353" s="25">
        <f>IFERROR(CONCATENATE(VALUE(IF(LEN(IFERROR(VALUE(MID(TRIM(SUBSTITUTE(SUBSTITUTE(MID(Общий!B353,SEARCH("Karcher",Общий!B353,1),19),".",""),"-","")),SEARCH("Karcher",TRIM(SUBSTITUTE(SUBSTITUTE(MID(Общий!B353,SEARCH("Karcher",Общий!B353,1),19),".",""),"-","")),1)+8,8)),VALUE(LEFT(SUBSTITUTE(SUBSTITUTE(Общий!B353,".",""),"-",""),8))))=7,CONCATENATE(IFERROR(VALUE(MID(TRIM(SUBSTITUTE(SUBSTITUTE(MID(Общий!B353,SEARCH("Karcher",Общий!B353,1),19),".",""),"-","")),SEARCH("Karcher",TRIM(SUBSTITUTE(SUBSTITUTE(MID(Общий!B353,SEARCH("Karcher",Общий!B353,1),19),".",""),"-","")),1)+8,8)),VALUE(LEFT(SUBSTITUTE(SUBSTITUTE(Общий!B353,".",""),"-",""),8))),"0"),IFERROR(VALUE(MID(TRIM(SUBSTITUTE(SUBSTITUTE(MID(Общий!B353,SEARCH("Karcher",Общий!B353,1),19),".",""),"-","")),SEARCH("Karcher",TRIM(SUBSTITUTE(SUBSTITUTE(MID(Общий!B353,SEARCH("Karcher",Общий!B353,1),19),".",""),"-","")),1)+8,8)),VALUE(LEFT(SUBSTITUTE(SUBSTITUTE(Общий!B353,".",""),"-",""),8)))))," ",Общий!C353),0)</f>
        <v>0</v>
      </c>
      <c r="C353" s="29" t="str">
        <f>Общий!A353</f>
        <v>345</v>
      </c>
      <c r="D353" s="27">
        <f>Общий!B353</f>
        <v>0</v>
      </c>
      <c r="E353" s="28">
        <f>Общий!C353</f>
        <v>0</v>
      </c>
      <c r="G353" s="44"/>
      <c r="H353" s="44"/>
      <c r="I353" s="44"/>
      <c r="J353" s="35"/>
    </row>
    <row r="354" spans="1:10" ht="12" customHeight="1">
      <c r="A354" s="31">
        <f>IFERROR(VALUE(IF(LEN(IFERROR(VALUE(MID(TRIM(SUBSTITUTE(SUBSTITUTE(MID(Общий!B354,SEARCH("Karcher",Общий!B354,1),19),".",""),"-","")),SEARCH("Karcher",TRIM(SUBSTITUTE(SUBSTITUTE(MID(Общий!B354,SEARCH("Karcher",Общий!B354,1),19),".",""),"-","")),1)+8,8)),VALUE(LEFT(SUBSTITUTE(SUBSTITUTE(Общий!B354,".",""),"-",""),8))))=7,CONCATENATE(IFERROR(VALUE(MID(TRIM(SUBSTITUTE(SUBSTITUTE(MID(Общий!B354,SEARCH("Karcher",Общий!B354,1),19),".",""),"-","")),SEARCH("Karcher",TRIM(SUBSTITUTE(SUBSTITUTE(MID(Общий!B354,SEARCH("Karcher",Общий!B354,1),19),".",""),"-","")),1)+8,8)),VALUE(LEFT(SUBSTITUTE(SUBSTITUTE(Общий!B354,".",""),"-",""),8))),"0"),IFERROR(VALUE(MID(TRIM(SUBSTITUTE(SUBSTITUTE(MID(Общий!B354,SEARCH("Karcher",Общий!B354,1),19),".",""),"-","")),SEARCH("Karcher",TRIM(SUBSTITUTE(SUBSTITUTE(MID(Общий!B354,SEARCH("Karcher",Общий!B354,1),19),".",""),"-","")),1)+8,8)),VALUE(LEFT(SUBSTITUTE(SUBSTITUTE(Общий!B354,".",""),"-",""),8))))),0)</f>
        <v>0</v>
      </c>
      <c r="B354" s="25">
        <f>IFERROR(CONCATENATE(VALUE(IF(LEN(IFERROR(VALUE(MID(TRIM(SUBSTITUTE(SUBSTITUTE(MID(Общий!B354,SEARCH("Karcher",Общий!B354,1),19),".",""),"-","")),SEARCH("Karcher",TRIM(SUBSTITUTE(SUBSTITUTE(MID(Общий!B354,SEARCH("Karcher",Общий!B354,1),19),".",""),"-","")),1)+8,8)),VALUE(LEFT(SUBSTITUTE(SUBSTITUTE(Общий!B354,".",""),"-",""),8))))=7,CONCATENATE(IFERROR(VALUE(MID(TRIM(SUBSTITUTE(SUBSTITUTE(MID(Общий!B354,SEARCH("Karcher",Общий!B354,1),19),".",""),"-","")),SEARCH("Karcher",TRIM(SUBSTITUTE(SUBSTITUTE(MID(Общий!B354,SEARCH("Karcher",Общий!B354,1),19),".",""),"-","")),1)+8,8)),VALUE(LEFT(SUBSTITUTE(SUBSTITUTE(Общий!B354,".",""),"-",""),8))),"0"),IFERROR(VALUE(MID(TRIM(SUBSTITUTE(SUBSTITUTE(MID(Общий!B354,SEARCH("Karcher",Общий!B354,1),19),".",""),"-","")),SEARCH("Karcher",TRIM(SUBSTITUTE(SUBSTITUTE(MID(Общий!B354,SEARCH("Karcher",Общий!B354,1),19),".",""),"-","")),1)+8,8)),VALUE(LEFT(SUBSTITUTE(SUBSTITUTE(Общий!B354,".",""),"-",""),8)))))," ",Общий!C354),0)</f>
        <v>0</v>
      </c>
      <c r="C354" s="29" t="str">
        <f>Общий!A354</f>
        <v>346</v>
      </c>
      <c r="D354" s="27">
        <f>Общий!B354</f>
        <v>0</v>
      </c>
      <c r="E354" s="28">
        <f>Общий!C354</f>
        <v>0</v>
      </c>
      <c r="G354" s="44"/>
      <c r="H354" s="44"/>
      <c r="I354" s="44"/>
      <c r="J354" s="35"/>
    </row>
    <row r="355" spans="1:10" ht="12" customHeight="1">
      <c r="A355" s="31">
        <f>IFERROR(VALUE(IF(LEN(IFERROR(VALUE(MID(TRIM(SUBSTITUTE(SUBSTITUTE(MID(Общий!B355,SEARCH("Karcher",Общий!B355,1),19),".",""),"-","")),SEARCH("Karcher",TRIM(SUBSTITUTE(SUBSTITUTE(MID(Общий!B355,SEARCH("Karcher",Общий!B355,1),19),".",""),"-","")),1)+8,8)),VALUE(LEFT(SUBSTITUTE(SUBSTITUTE(Общий!B355,".",""),"-",""),8))))=7,CONCATENATE(IFERROR(VALUE(MID(TRIM(SUBSTITUTE(SUBSTITUTE(MID(Общий!B355,SEARCH("Karcher",Общий!B355,1),19),".",""),"-","")),SEARCH("Karcher",TRIM(SUBSTITUTE(SUBSTITUTE(MID(Общий!B355,SEARCH("Karcher",Общий!B355,1),19),".",""),"-","")),1)+8,8)),VALUE(LEFT(SUBSTITUTE(SUBSTITUTE(Общий!B355,".",""),"-",""),8))),"0"),IFERROR(VALUE(MID(TRIM(SUBSTITUTE(SUBSTITUTE(MID(Общий!B355,SEARCH("Karcher",Общий!B355,1),19),".",""),"-","")),SEARCH("Karcher",TRIM(SUBSTITUTE(SUBSTITUTE(MID(Общий!B355,SEARCH("Karcher",Общий!B355,1),19),".",""),"-","")),1)+8,8)),VALUE(LEFT(SUBSTITUTE(SUBSTITUTE(Общий!B355,".",""),"-",""),8))))),0)</f>
        <v>0</v>
      </c>
      <c r="B355" s="25">
        <f>IFERROR(CONCATENATE(VALUE(IF(LEN(IFERROR(VALUE(MID(TRIM(SUBSTITUTE(SUBSTITUTE(MID(Общий!B355,SEARCH("Karcher",Общий!B355,1),19),".",""),"-","")),SEARCH("Karcher",TRIM(SUBSTITUTE(SUBSTITUTE(MID(Общий!B355,SEARCH("Karcher",Общий!B355,1),19),".",""),"-","")),1)+8,8)),VALUE(LEFT(SUBSTITUTE(SUBSTITUTE(Общий!B355,".",""),"-",""),8))))=7,CONCATENATE(IFERROR(VALUE(MID(TRIM(SUBSTITUTE(SUBSTITUTE(MID(Общий!B355,SEARCH("Karcher",Общий!B355,1),19),".",""),"-","")),SEARCH("Karcher",TRIM(SUBSTITUTE(SUBSTITUTE(MID(Общий!B355,SEARCH("Karcher",Общий!B355,1),19),".",""),"-","")),1)+8,8)),VALUE(LEFT(SUBSTITUTE(SUBSTITUTE(Общий!B355,".",""),"-",""),8))),"0"),IFERROR(VALUE(MID(TRIM(SUBSTITUTE(SUBSTITUTE(MID(Общий!B355,SEARCH("Karcher",Общий!B355,1),19),".",""),"-","")),SEARCH("Karcher",TRIM(SUBSTITUTE(SUBSTITUTE(MID(Общий!B355,SEARCH("Karcher",Общий!B355,1),19),".",""),"-","")),1)+8,8)),VALUE(LEFT(SUBSTITUTE(SUBSTITUTE(Общий!B355,".",""),"-",""),8)))))," ",Общий!C355),0)</f>
        <v>0</v>
      </c>
      <c r="C355" s="29" t="str">
        <f>Общий!A355</f>
        <v>347</v>
      </c>
      <c r="D355" s="27">
        <f>Общий!B355</f>
        <v>0</v>
      </c>
      <c r="E355" s="28">
        <f>Общий!C355</f>
        <v>0</v>
      </c>
      <c r="G355" s="44"/>
      <c r="H355" s="44"/>
      <c r="I355" s="44"/>
      <c r="J355" s="35"/>
    </row>
    <row r="356" spans="1:10" ht="12" customHeight="1">
      <c r="A356" s="31">
        <f>IFERROR(VALUE(IF(LEN(IFERROR(VALUE(MID(TRIM(SUBSTITUTE(SUBSTITUTE(MID(Общий!B356,SEARCH("Karcher",Общий!B356,1),19),".",""),"-","")),SEARCH("Karcher",TRIM(SUBSTITUTE(SUBSTITUTE(MID(Общий!B356,SEARCH("Karcher",Общий!B356,1),19),".",""),"-","")),1)+8,8)),VALUE(LEFT(SUBSTITUTE(SUBSTITUTE(Общий!B356,".",""),"-",""),8))))=7,CONCATENATE(IFERROR(VALUE(MID(TRIM(SUBSTITUTE(SUBSTITUTE(MID(Общий!B356,SEARCH("Karcher",Общий!B356,1),19),".",""),"-","")),SEARCH("Karcher",TRIM(SUBSTITUTE(SUBSTITUTE(MID(Общий!B356,SEARCH("Karcher",Общий!B356,1),19),".",""),"-","")),1)+8,8)),VALUE(LEFT(SUBSTITUTE(SUBSTITUTE(Общий!B356,".",""),"-",""),8))),"0"),IFERROR(VALUE(MID(TRIM(SUBSTITUTE(SUBSTITUTE(MID(Общий!B356,SEARCH("Karcher",Общий!B356,1),19),".",""),"-","")),SEARCH("Karcher",TRIM(SUBSTITUTE(SUBSTITUTE(MID(Общий!B356,SEARCH("Karcher",Общий!B356,1),19),".",""),"-","")),1)+8,8)),VALUE(LEFT(SUBSTITUTE(SUBSTITUTE(Общий!B356,".",""),"-",""),8))))),0)</f>
        <v>0</v>
      </c>
      <c r="B356" s="25">
        <f>IFERROR(CONCATENATE(VALUE(IF(LEN(IFERROR(VALUE(MID(TRIM(SUBSTITUTE(SUBSTITUTE(MID(Общий!B356,SEARCH("Karcher",Общий!B356,1),19),".",""),"-","")),SEARCH("Karcher",TRIM(SUBSTITUTE(SUBSTITUTE(MID(Общий!B356,SEARCH("Karcher",Общий!B356,1),19),".",""),"-","")),1)+8,8)),VALUE(LEFT(SUBSTITUTE(SUBSTITUTE(Общий!B356,".",""),"-",""),8))))=7,CONCATENATE(IFERROR(VALUE(MID(TRIM(SUBSTITUTE(SUBSTITUTE(MID(Общий!B356,SEARCH("Karcher",Общий!B356,1),19),".",""),"-","")),SEARCH("Karcher",TRIM(SUBSTITUTE(SUBSTITUTE(MID(Общий!B356,SEARCH("Karcher",Общий!B356,1),19),".",""),"-","")),1)+8,8)),VALUE(LEFT(SUBSTITUTE(SUBSTITUTE(Общий!B356,".",""),"-",""),8))),"0"),IFERROR(VALUE(MID(TRIM(SUBSTITUTE(SUBSTITUTE(MID(Общий!B356,SEARCH("Karcher",Общий!B356,1),19),".",""),"-","")),SEARCH("Karcher",TRIM(SUBSTITUTE(SUBSTITUTE(MID(Общий!B356,SEARCH("Karcher",Общий!B356,1),19),".",""),"-","")),1)+8,8)),VALUE(LEFT(SUBSTITUTE(SUBSTITUTE(Общий!B356,".",""),"-",""),8)))))," ",Общий!C356),0)</f>
        <v>0</v>
      </c>
      <c r="C356" s="29" t="str">
        <f>Общий!A356</f>
        <v>348</v>
      </c>
      <c r="D356" s="27">
        <f>Общий!B356</f>
        <v>0</v>
      </c>
      <c r="E356" s="28">
        <f>Общий!C356</f>
        <v>0</v>
      </c>
      <c r="G356" s="44"/>
      <c r="H356" s="44"/>
      <c r="I356" s="44"/>
      <c r="J356" s="35"/>
    </row>
    <row r="357" spans="1:10" ht="12" customHeight="1">
      <c r="A357" s="31">
        <f>IFERROR(VALUE(IF(LEN(IFERROR(VALUE(MID(TRIM(SUBSTITUTE(SUBSTITUTE(MID(Общий!B357,SEARCH("Karcher",Общий!B357,1),19),".",""),"-","")),SEARCH("Karcher",TRIM(SUBSTITUTE(SUBSTITUTE(MID(Общий!B357,SEARCH("Karcher",Общий!B357,1),19),".",""),"-","")),1)+8,8)),VALUE(LEFT(SUBSTITUTE(SUBSTITUTE(Общий!B357,".",""),"-",""),8))))=7,CONCATENATE(IFERROR(VALUE(MID(TRIM(SUBSTITUTE(SUBSTITUTE(MID(Общий!B357,SEARCH("Karcher",Общий!B357,1),19),".",""),"-","")),SEARCH("Karcher",TRIM(SUBSTITUTE(SUBSTITUTE(MID(Общий!B357,SEARCH("Karcher",Общий!B357,1),19),".",""),"-","")),1)+8,8)),VALUE(LEFT(SUBSTITUTE(SUBSTITUTE(Общий!B357,".",""),"-",""),8))),"0"),IFERROR(VALUE(MID(TRIM(SUBSTITUTE(SUBSTITUTE(MID(Общий!B357,SEARCH("Karcher",Общий!B357,1),19),".",""),"-","")),SEARCH("Karcher",TRIM(SUBSTITUTE(SUBSTITUTE(MID(Общий!B357,SEARCH("Karcher",Общий!B357,1),19),".",""),"-","")),1)+8,8)),VALUE(LEFT(SUBSTITUTE(SUBSTITUTE(Общий!B357,".",""),"-",""),8))))),0)</f>
        <v>0</v>
      </c>
      <c r="B357" s="25">
        <f>IFERROR(CONCATENATE(VALUE(IF(LEN(IFERROR(VALUE(MID(TRIM(SUBSTITUTE(SUBSTITUTE(MID(Общий!B357,SEARCH("Karcher",Общий!B357,1),19),".",""),"-","")),SEARCH("Karcher",TRIM(SUBSTITUTE(SUBSTITUTE(MID(Общий!B357,SEARCH("Karcher",Общий!B357,1),19),".",""),"-","")),1)+8,8)),VALUE(LEFT(SUBSTITUTE(SUBSTITUTE(Общий!B357,".",""),"-",""),8))))=7,CONCATENATE(IFERROR(VALUE(MID(TRIM(SUBSTITUTE(SUBSTITUTE(MID(Общий!B357,SEARCH("Karcher",Общий!B357,1),19),".",""),"-","")),SEARCH("Karcher",TRIM(SUBSTITUTE(SUBSTITUTE(MID(Общий!B357,SEARCH("Karcher",Общий!B357,1),19),".",""),"-","")),1)+8,8)),VALUE(LEFT(SUBSTITUTE(SUBSTITUTE(Общий!B357,".",""),"-",""),8))),"0"),IFERROR(VALUE(MID(TRIM(SUBSTITUTE(SUBSTITUTE(MID(Общий!B357,SEARCH("Karcher",Общий!B357,1),19),".",""),"-","")),SEARCH("Karcher",TRIM(SUBSTITUTE(SUBSTITUTE(MID(Общий!B357,SEARCH("Karcher",Общий!B357,1),19),".",""),"-","")),1)+8,8)),VALUE(LEFT(SUBSTITUTE(SUBSTITUTE(Общий!B357,".",""),"-",""),8)))))," ",Общий!C357),0)</f>
        <v>0</v>
      </c>
      <c r="C357" s="29" t="str">
        <f>Общий!A357</f>
        <v>349</v>
      </c>
      <c r="D357" s="27">
        <f>Общий!B357</f>
        <v>0</v>
      </c>
      <c r="E357" s="28">
        <f>Общий!C357</f>
        <v>0</v>
      </c>
      <c r="G357" s="44"/>
      <c r="H357" s="44"/>
      <c r="I357" s="44"/>
      <c r="J357" s="35"/>
    </row>
    <row r="358" spans="1:10" ht="12" customHeight="1">
      <c r="A358" s="31">
        <f>IFERROR(VALUE(IF(LEN(IFERROR(VALUE(MID(TRIM(SUBSTITUTE(SUBSTITUTE(MID(Общий!B358,SEARCH("Karcher",Общий!B358,1),19),".",""),"-","")),SEARCH("Karcher",TRIM(SUBSTITUTE(SUBSTITUTE(MID(Общий!B358,SEARCH("Karcher",Общий!B358,1),19),".",""),"-","")),1)+8,8)),VALUE(LEFT(SUBSTITUTE(SUBSTITUTE(Общий!B358,".",""),"-",""),8))))=7,CONCATENATE(IFERROR(VALUE(MID(TRIM(SUBSTITUTE(SUBSTITUTE(MID(Общий!B358,SEARCH("Karcher",Общий!B358,1),19),".",""),"-","")),SEARCH("Karcher",TRIM(SUBSTITUTE(SUBSTITUTE(MID(Общий!B358,SEARCH("Karcher",Общий!B358,1),19),".",""),"-","")),1)+8,8)),VALUE(LEFT(SUBSTITUTE(SUBSTITUTE(Общий!B358,".",""),"-",""),8))),"0"),IFERROR(VALUE(MID(TRIM(SUBSTITUTE(SUBSTITUTE(MID(Общий!B358,SEARCH("Karcher",Общий!B358,1),19),".",""),"-","")),SEARCH("Karcher",TRIM(SUBSTITUTE(SUBSTITUTE(MID(Общий!B358,SEARCH("Karcher",Общий!B358,1),19),".",""),"-","")),1)+8,8)),VALUE(LEFT(SUBSTITUTE(SUBSTITUTE(Общий!B358,".",""),"-",""),8))))),0)</f>
        <v>0</v>
      </c>
      <c r="B358" s="25">
        <f>IFERROR(CONCATENATE(VALUE(IF(LEN(IFERROR(VALUE(MID(TRIM(SUBSTITUTE(SUBSTITUTE(MID(Общий!B358,SEARCH("Karcher",Общий!B358,1),19),".",""),"-","")),SEARCH("Karcher",TRIM(SUBSTITUTE(SUBSTITUTE(MID(Общий!B358,SEARCH("Karcher",Общий!B358,1),19),".",""),"-","")),1)+8,8)),VALUE(LEFT(SUBSTITUTE(SUBSTITUTE(Общий!B358,".",""),"-",""),8))))=7,CONCATENATE(IFERROR(VALUE(MID(TRIM(SUBSTITUTE(SUBSTITUTE(MID(Общий!B358,SEARCH("Karcher",Общий!B358,1),19),".",""),"-","")),SEARCH("Karcher",TRIM(SUBSTITUTE(SUBSTITUTE(MID(Общий!B358,SEARCH("Karcher",Общий!B358,1),19),".",""),"-","")),1)+8,8)),VALUE(LEFT(SUBSTITUTE(SUBSTITUTE(Общий!B358,".",""),"-",""),8))),"0"),IFERROR(VALUE(MID(TRIM(SUBSTITUTE(SUBSTITUTE(MID(Общий!B358,SEARCH("Karcher",Общий!B358,1),19),".",""),"-","")),SEARCH("Karcher",TRIM(SUBSTITUTE(SUBSTITUTE(MID(Общий!B358,SEARCH("Karcher",Общий!B358,1),19),".",""),"-","")),1)+8,8)),VALUE(LEFT(SUBSTITUTE(SUBSTITUTE(Общий!B358,".",""),"-",""),8)))))," ",Общий!C358),0)</f>
        <v>0</v>
      </c>
      <c r="C358" s="29" t="str">
        <f>Общий!A358</f>
        <v>350</v>
      </c>
      <c r="D358" s="27">
        <f>Общий!B358</f>
        <v>0</v>
      </c>
      <c r="E358" s="28">
        <f>Общий!C358</f>
        <v>0</v>
      </c>
      <c r="G358" s="44"/>
      <c r="H358" s="44"/>
      <c r="I358" s="44"/>
      <c r="J358" s="35"/>
    </row>
    <row r="359" spans="1:10" ht="12" customHeight="1">
      <c r="A359" s="31">
        <f>IFERROR(VALUE(IF(LEN(IFERROR(VALUE(MID(TRIM(SUBSTITUTE(SUBSTITUTE(MID(Общий!B359,SEARCH("Karcher",Общий!B359,1),19),".",""),"-","")),SEARCH("Karcher",TRIM(SUBSTITUTE(SUBSTITUTE(MID(Общий!B359,SEARCH("Karcher",Общий!B359,1),19),".",""),"-","")),1)+8,8)),VALUE(LEFT(SUBSTITUTE(SUBSTITUTE(Общий!B359,".",""),"-",""),8))))=7,CONCATENATE(IFERROR(VALUE(MID(TRIM(SUBSTITUTE(SUBSTITUTE(MID(Общий!B359,SEARCH("Karcher",Общий!B359,1),19),".",""),"-","")),SEARCH("Karcher",TRIM(SUBSTITUTE(SUBSTITUTE(MID(Общий!B359,SEARCH("Karcher",Общий!B359,1),19),".",""),"-","")),1)+8,8)),VALUE(LEFT(SUBSTITUTE(SUBSTITUTE(Общий!B359,".",""),"-",""),8))),"0"),IFERROR(VALUE(MID(TRIM(SUBSTITUTE(SUBSTITUTE(MID(Общий!B359,SEARCH("Karcher",Общий!B359,1),19),".",""),"-","")),SEARCH("Karcher",TRIM(SUBSTITUTE(SUBSTITUTE(MID(Общий!B359,SEARCH("Karcher",Общий!B359,1),19),".",""),"-","")),1)+8,8)),VALUE(LEFT(SUBSTITUTE(SUBSTITUTE(Общий!B359,".",""),"-",""),8))))),0)</f>
        <v>0</v>
      </c>
      <c r="B359" s="25">
        <f>IFERROR(CONCATENATE(VALUE(IF(LEN(IFERROR(VALUE(MID(TRIM(SUBSTITUTE(SUBSTITUTE(MID(Общий!B359,SEARCH("Karcher",Общий!B359,1),19),".",""),"-","")),SEARCH("Karcher",TRIM(SUBSTITUTE(SUBSTITUTE(MID(Общий!B359,SEARCH("Karcher",Общий!B359,1),19),".",""),"-","")),1)+8,8)),VALUE(LEFT(SUBSTITUTE(SUBSTITUTE(Общий!B359,".",""),"-",""),8))))=7,CONCATENATE(IFERROR(VALUE(MID(TRIM(SUBSTITUTE(SUBSTITUTE(MID(Общий!B359,SEARCH("Karcher",Общий!B359,1),19),".",""),"-","")),SEARCH("Karcher",TRIM(SUBSTITUTE(SUBSTITUTE(MID(Общий!B359,SEARCH("Karcher",Общий!B359,1),19),".",""),"-","")),1)+8,8)),VALUE(LEFT(SUBSTITUTE(SUBSTITUTE(Общий!B359,".",""),"-",""),8))),"0"),IFERROR(VALUE(MID(TRIM(SUBSTITUTE(SUBSTITUTE(MID(Общий!B359,SEARCH("Karcher",Общий!B359,1),19),".",""),"-","")),SEARCH("Karcher",TRIM(SUBSTITUTE(SUBSTITUTE(MID(Общий!B359,SEARCH("Karcher",Общий!B359,1),19),".",""),"-","")),1)+8,8)),VALUE(LEFT(SUBSTITUTE(SUBSTITUTE(Общий!B359,".",""),"-",""),8)))))," ",Общий!C359),0)</f>
        <v>0</v>
      </c>
      <c r="C359" s="29" t="str">
        <f>Общий!A359</f>
        <v>351</v>
      </c>
      <c r="D359" s="27">
        <f>Общий!B359</f>
        <v>0</v>
      </c>
      <c r="E359" s="28">
        <f>Общий!C359</f>
        <v>0</v>
      </c>
      <c r="G359" s="44"/>
      <c r="H359" s="44"/>
      <c r="I359" s="44"/>
      <c r="J359" s="35"/>
    </row>
    <row r="360" spans="1:10" ht="12" customHeight="1">
      <c r="A360" s="31">
        <f>IFERROR(VALUE(IF(LEN(IFERROR(VALUE(MID(TRIM(SUBSTITUTE(SUBSTITUTE(MID(Общий!B360,SEARCH("Karcher",Общий!B360,1),19),".",""),"-","")),SEARCH("Karcher",TRIM(SUBSTITUTE(SUBSTITUTE(MID(Общий!B360,SEARCH("Karcher",Общий!B360,1),19),".",""),"-","")),1)+8,8)),VALUE(LEFT(SUBSTITUTE(SUBSTITUTE(Общий!B360,".",""),"-",""),8))))=7,CONCATENATE(IFERROR(VALUE(MID(TRIM(SUBSTITUTE(SUBSTITUTE(MID(Общий!B360,SEARCH("Karcher",Общий!B360,1),19),".",""),"-","")),SEARCH("Karcher",TRIM(SUBSTITUTE(SUBSTITUTE(MID(Общий!B360,SEARCH("Karcher",Общий!B360,1),19),".",""),"-","")),1)+8,8)),VALUE(LEFT(SUBSTITUTE(SUBSTITUTE(Общий!B360,".",""),"-",""),8))),"0"),IFERROR(VALUE(MID(TRIM(SUBSTITUTE(SUBSTITUTE(MID(Общий!B360,SEARCH("Karcher",Общий!B360,1),19),".",""),"-","")),SEARCH("Karcher",TRIM(SUBSTITUTE(SUBSTITUTE(MID(Общий!B360,SEARCH("Karcher",Общий!B360,1),19),".",""),"-","")),1)+8,8)),VALUE(LEFT(SUBSTITUTE(SUBSTITUTE(Общий!B360,".",""),"-",""),8))))),0)</f>
        <v>0</v>
      </c>
      <c r="B360" s="25">
        <f>IFERROR(CONCATENATE(VALUE(IF(LEN(IFERROR(VALUE(MID(TRIM(SUBSTITUTE(SUBSTITUTE(MID(Общий!B360,SEARCH("Karcher",Общий!B360,1),19),".",""),"-","")),SEARCH("Karcher",TRIM(SUBSTITUTE(SUBSTITUTE(MID(Общий!B360,SEARCH("Karcher",Общий!B360,1),19),".",""),"-","")),1)+8,8)),VALUE(LEFT(SUBSTITUTE(SUBSTITUTE(Общий!B360,".",""),"-",""),8))))=7,CONCATENATE(IFERROR(VALUE(MID(TRIM(SUBSTITUTE(SUBSTITUTE(MID(Общий!B360,SEARCH("Karcher",Общий!B360,1),19),".",""),"-","")),SEARCH("Karcher",TRIM(SUBSTITUTE(SUBSTITUTE(MID(Общий!B360,SEARCH("Karcher",Общий!B360,1),19),".",""),"-","")),1)+8,8)),VALUE(LEFT(SUBSTITUTE(SUBSTITUTE(Общий!B360,".",""),"-",""),8))),"0"),IFERROR(VALUE(MID(TRIM(SUBSTITUTE(SUBSTITUTE(MID(Общий!B360,SEARCH("Karcher",Общий!B360,1),19),".",""),"-","")),SEARCH("Karcher",TRIM(SUBSTITUTE(SUBSTITUTE(MID(Общий!B360,SEARCH("Karcher",Общий!B360,1),19),".",""),"-","")),1)+8,8)),VALUE(LEFT(SUBSTITUTE(SUBSTITUTE(Общий!B360,".",""),"-",""),8)))))," ",Общий!C360),0)</f>
        <v>0</v>
      </c>
      <c r="C360" s="29" t="str">
        <f>Общий!A360</f>
        <v>352</v>
      </c>
      <c r="D360" s="27">
        <f>Общий!B360</f>
        <v>0</v>
      </c>
      <c r="E360" s="28">
        <f>Общий!C360</f>
        <v>0</v>
      </c>
      <c r="G360" s="44"/>
      <c r="H360" s="44"/>
      <c r="I360" s="44"/>
      <c r="J360" s="35"/>
    </row>
    <row r="361" spans="1:10" ht="12" customHeight="1">
      <c r="A361" s="31">
        <f>IFERROR(VALUE(IF(LEN(IFERROR(VALUE(MID(TRIM(SUBSTITUTE(SUBSTITUTE(MID(Общий!B361,SEARCH("Karcher",Общий!B361,1),19),".",""),"-","")),SEARCH("Karcher",TRIM(SUBSTITUTE(SUBSTITUTE(MID(Общий!B361,SEARCH("Karcher",Общий!B361,1),19),".",""),"-","")),1)+8,8)),VALUE(LEFT(SUBSTITUTE(SUBSTITUTE(Общий!B361,".",""),"-",""),8))))=7,CONCATENATE(IFERROR(VALUE(MID(TRIM(SUBSTITUTE(SUBSTITUTE(MID(Общий!B361,SEARCH("Karcher",Общий!B361,1),19),".",""),"-","")),SEARCH("Karcher",TRIM(SUBSTITUTE(SUBSTITUTE(MID(Общий!B361,SEARCH("Karcher",Общий!B361,1),19),".",""),"-","")),1)+8,8)),VALUE(LEFT(SUBSTITUTE(SUBSTITUTE(Общий!B361,".",""),"-",""),8))),"0"),IFERROR(VALUE(MID(TRIM(SUBSTITUTE(SUBSTITUTE(MID(Общий!B361,SEARCH("Karcher",Общий!B361,1),19),".",""),"-","")),SEARCH("Karcher",TRIM(SUBSTITUTE(SUBSTITUTE(MID(Общий!B361,SEARCH("Karcher",Общий!B361,1),19),".",""),"-","")),1)+8,8)),VALUE(LEFT(SUBSTITUTE(SUBSTITUTE(Общий!B361,".",""),"-",""),8))))),0)</f>
        <v>0</v>
      </c>
      <c r="B361" s="25">
        <f>IFERROR(CONCATENATE(VALUE(IF(LEN(IFERROR(VALUE(MID(TRIM(SUBSTITUTE(SUBSTITUTE(MID(Общий!B361,SEARCH("Karcher",Общий!B361,1),19),".",""),"-","")),SEARCH("Karcher",TRIM(SUBSTITUTE(SUBSTITUTE(MID(Общий!B361,SEARCH("Karcher",Общий!B361,1),19),".",""),"-","")),1)+8,8)),VALUE(LEFT(SUBSTITUTE(SUBSTITUTE(Общий!B361,".",""),"-",""),8))))=7,CONCATENATE(IFERROR(VALUE(MID(TRIM(SUBSTITUTE(SUBSTITUTE(MID(Общий!B361,SEARCH("Karcher",Общий!B361,1),19),".",""),"-","")),SEARCH("Karcher",TRIM(SUBSTITUTE(SUBSTITUTE(MID(Общий!B361,SEARCH("Karcher",Общий!B361,1),19),".",""),"-","")),1)+8,8)),VALUE(LEFT(SUBSTITUTE(SUBSTITUTE(Общий!B361,".",""),"-",""),8))),"0"),IFERROR(VALUE(MID(TRIM(SUBSTITUTE(SUBSTITUTE(MID(Общий!B361,SEARCH("Karcher",Общий!B361,1),19),".",""),"-","")),SEARCH("Karcher",TRIM(SUBSTITUTE(SUBSTITUTE(MID(Общий!B361,SEARCH("Karcher",Общий!B361,1),19),".",""),"-","")),1)+8,8)),VALUE(LEFT(SUBSTITUTE(SUBSTITUTE(Общий!B361,".",""),"-",""),8)))))," ",Общий!C361),0)</f>
        <v>0</v>
      </c>
      <c r="C361" s="29" t="str">
        <f>Общий!A361</f>
        <v>353</v>
      </c>
      <c r="D361" s="27">
        <f>Общий!B361</f>
        <v>0</v>
      </c>
      <c r="E361" s="28">
        <f>Общий!C361</f>
        <v>0</v>
      </c>
      <c r="G361" s="44"/>
      <c r="H361" s="44"/>
      <c r="I361" s="44"/>
      <c r="J361" s="35"/>
    </row>
    <row r="362" spans="1:10" ht="12" customHeight="1">
      <c r="A362" s="31">
        <f>IFERROR(VALUE(IF(LEN(IFERROR(VALUE(MID(TRIM(SUBSTITUTE(SUBSTITUTE(MID(Общий!B362,SEARCH("Karcher",Общий!B362,1),19),".",""),"-","")),SEARCH("Karcher",TRIM(SUBSTITUTE(SUBSTITUTE(MID(Общий!B362,SEARCH("Karcher",Общий!B362,1),19),".",""),"-","")),1)+8,8)),VALUE(LEFT(SUBSTITUTE(SUBSTITUTE(Общий!B362,".",""),"-",""),8))))=7,CONCATENATE(IFERROR(VALUE(MID(TRIM(SUBSTITUTE(SUBSTITUTE(MID(Общий!B362,SEARCH("Karcher",Общий!B362,1),19),".",""),"-","")),SEARCH("Karcher",TRIM(SUBSTITUTE(SUBSTITUTE(MID(Общий!B362,SEARCH("Karcher",Общий!B362,1),19),".",""),"-","")),1)+8,8)),VALUE(LEFT(SUBSTITUTE(SUBSTITUTE(Общий!B362,".",""),"-",""),8))),"0"),IFERROR(VALUE(MID(TRIM(SUBSTITUTE(SUBSTITUTE(MID(Общий!B362,SEARCH("Karcher",Общий!B362,1),19),".",""),"-","")),SEARCH("Karcher",TRIM(SUBSTITUTE(SUBSTITUTE(MID(Общий!B362,SEARCH("Karcher",Общий!B362,1),19),".",""),"-","")),1)+8,8)),VALUE(LEFT(SUBSTITUTE(SUBSTITUTE(Общий!B362,".",""),"-",""),8))))),0)</f>
        <v>0</v>
      </c>
      <c r="B362" s="25">
        <f>IFERROR(CONCATENATE(VALUE(IF(LEN(IFERROR(VALUE(MID(TRIM(SUBSTITUTE(SUBSTITUTE(MID(Общий!B362,SEARCH("Karcher",Общий!B362,1),19),".",""),"-","")),SEARCH("Karcher",TRIM(SUBSTITUTE(SUBSTITUTE(MID(Общий!B362,SEARCH("Karcher",Общий!B362,1),19),".",""),"-","")),1)+8,8)),VALUE(LEFT(SUBSTITUTE(SUBSTITUTE(Общий!B362,".",""),"-",""),8))))=7,CONCATENATE(IFERROR(VALUE(MID(TRIM(SUBSTITUTE(SUBSTITUTE(MID(Общий!B362,SEARCH("Karcher",Общий!B362,1),19),".",""),"-","")),SEARCH("Karcher",TRIM(SUBSTITUTE(SUBSTITUTE(MID(Общий!B362,SEARCH("Karcher",Общий!B362,1),19),".",""),"-","")),1)+8,8)),VALUE(LEFT(SUBSTITUTE(SUBSTITUTE(Общий!B362,".",""),"-",""),8))),"0"),IFERROR(VALUE(MID(TRIM(SUBSTITUTE(SUBSTITUTE(MID(Общий!B362,SEARCH("Karcher",Общий!B362,1),19),".",""),"-","")),SEARCH("Karcher",TRIM(SUBSTITUTE(SUBSTITUTE(MID(Общий!B362,SEARCH("Karcher",Общий!B362,1),19),".",""),"-","")),1)+8,8)),VALUE(LEFT(SUBSTITUTE(SUBSTITUTE(Общий!B362,".",""),"-",""),8)))))," ",Общий!C362),0)</f>
        <v>0</v>
      </c>
      <c r="C362" s="29" t="str">
        <f>Общий!A362</f>
        <v>354</v>
      </c>
      <c r="D362" s="27">
        <f>Общий!B362</f>
        <v>0</v>
      </c>
      <c r="E362" s="28">
        <f>Общий!C362</f>
        <v>0</v>
      </c>
      <c r="G362" s="44"/>
      <c r="H362" s="44"/>
      <c r="I362" s="44"/>
      <c r="J362" s="35"/>
    </row>
    <row r="363" spans="1:10" ht="12" customHeight="1">
      <c r="A363" s="31">
        <f>IFERROR(VALUE(IF(LEN(IFERROR(VALUE(MID(TRIM(SUBSTITUTE(SUBSTITUTE(MID(Общий!B363,SEARCH("Karcher",Общий!B363,1),19),".",""),"-","")),SEARCH("Karcher",TRIM(SUBSTITUTE(SUBSTITUTE(MID(Общий!B363,SEARCH("Karcher",Общий!B363,1),19),".",""),"-","")),1)+8,8)),VALUE(LEFT(SUBSTITUTE(SUBSTITUTE(Общий!B363,".",""),"-",""),8))))=7,CONCATENATE(IFERROR(VALUE(MID(TRIM(SUBSTITUTE(SUBSTITUTE(MID(Общий!B363,SEARCH("Karcher",Общий!B363,1),19),".",""),"-","")),SEARCH("Karcher",TRIM(SUBSTITUTE(SUBSTITUTE(MID(Общий!B363,SEARCH("Karcher",Общий!B363,1),19),".",""),"-","")),1)+8,8)),VALUE(LEFT(SUBSTITUTE(SUBSTITUTE(Общий!B363,".",""),"-",""),8))),"0"),IFERROR(VALUE(MID(TRIM(SUBSTITUTE(SUBSTITUTE(MID(Общий!B363,SEARCH("Karcher",Общий!B363,1),19),".",""),"-","")),SEARCH("Karcher",TRIM(SUBSTITUTE(SUBSTITUTE(MID(Общий!B363,SEARCH("Karcher",Общий!B363,1),19),".",""),"-","")),1)+8,8)),VALUE(LEFT(SUBSTITUTE(SUBSTITUTE(Общий!B363,".",""),"-",""),8))))),0)</f>
        <v>0</v>
      </c>
      <c r="B363" s="25">
        <f>IFERROR(CONCATENATE(VALUE(IF(LEN(IFERROR(VALUE(MID(TRIM(SUBSTITUTE(SUBSTITUTE(MID(Общий!B363,SEARCH("Karcher",Общий!B363,1),19),".",""),"-","")),SEARCH("Karcher",TRIM(SUBSTITUTE(SUBSTITUTE(MID(Общий!B363,SEARCH("Karcher",Общий!B363,1),19),".",""),"-","")),1)+8,8)),VALUE(LEFT(SUBSTITUTE(SUBSTITUTE(Общий!B363,".",""),"-",""),8))))=7,CONCATENATE(IFERROR(VALUE(MID(TRIM(SUBSTITUTE(SUBSTITUTE(MID(Общий!B363,SEARCH("Karcher",Общий!B363,1),19),".",""),"-","")),SEARCH("Karcher",TRIM(SUBSTITUTE(SUBSTITUTE(MID(Общий!B363,SEARCH("Karcher",Общий!B363,1),19),".",""),"-","")),1)+8,8)),VALUE(LEFT(SUBSTITUTE(SUBSTITUTE(Общий!B363,".",""),"-",""),8))),"0"),IFERROR(VALUE(MID(TRIM(SUBSTITUTE(SUBSTITUTE(MID(Общий!B363,SEARCH("Karcher",Общий!B363,1),19),".",""),"-","")),SEARCH("Karcher",TRIM(SUBSTITUTE(SUBSTITUTE(MID(Общий!B363,SEARCH("Karcher",Общий!B363,1),19),".",""),"-","")),1)+8,8)),VALUE(LEFT(SUBSTITUTE(SUBSTITUTE(Общий!B363,".",""),"-",""),8)))))," ",Общий!C363),0)</f>
        <v>0</v>
      </c>
      <c r="C363" s="29" t="str">
        <f>Общий!A363</f>
        <v>355</v>
      </c>
      <c r="D363" s="27">
        <f>Общий!B363</f>
        <v>0</v>
      </c>
      <c r="E363" s="28">
        <f>Общий!C363</f>
        <v>0</v>
      </c>
      <c r="G363" s="44"/>
      <c r="H363" s="44"/>
      <c r="I363" s="44"/>
      <c r="J363" s="35"/>
    </row>
    <row r="364" spans="1:10" ht="12" customHeight="1">
      <c r="A364" s="31">
        <f>IFERROR(VALUE(IF(LEN(IFERROR(VALUE(MID(TRIM(SUBSTITUTE(SUBSTITUTE(MID(Общий!B364,SEARCH("Karcher",Общий!B364,1),19),".",""),"-","")),SEARCH("Karcher",TRIM(SUBSTITUTE(SUBSTITUTE(MID(Общий!B364,SEARCH("Karcher",Общий!B364,1),19),".",""),"-","")),1)+8,8)),VALUE(LEFT(SUBSTITUTE(SUBSTITUTE(Общий!B364,".",""),"-",""),8))))=7,CONCATENATE(IFERROR(VALUE(MID(TRIM(SUBSTITUTE(SUBSTITUTE(MID(Общий!B364,SEARCH("Karcher",Общий!B364,1),19),".",""),"-","")),SEARCH("Karcher",TRIM(SUBSTITUTE(SUBSTITUTE(MID(Общий!B364,SEARCH("Karcher",Общий!B364,1),19),".",""),"-","")),1)+8,8)),VALUE(LEFT(SUBSTITUTE(SUBSTITUTE(Общий!B364,".",""),"-",""),8))),"0"),IFERROR(VALUE(MID(TRIM(SUBSTITUTE(SUBSTITUTE(MID(Общий!B364,SEARCH("Karcher",Общий!B364,1),19),".",""),"-","")),SEARCH("Karcher",TRIM(SUBSTITUTE(SUBSTITUTE(MID(Общий!B364,SEARCH("Karcher",Общий!B364,1),19),".",""),"-","")),1)+8,8)),VALUE(LEFT(SUBSTITUTE(SUBSTITUTE(Общий!B364,".",""),"-",""),8))))),0)</f>
        <v>0</v>
      </c>
      <c r="B364" s="25">
        <f>IFERROR(CONCATENATE(VALUE(IF(LEN(IFERROR(VALUE(MID(TRIM(SUBSTITUTE(SUBSTITUTE(MID(Общий!B364,SEARCH("Karcher",Общий!B364,1),19),".",""),"-","")),SEARCH("Karcher",TRIM(SUBSTITUTE(SUBSTITUTE(MID(Общий!B364,SEARCH("Karcher",Общий!B364,1),19),".",""),"-","")),1)+8,8)),VALUE(LEFT(SUBSTITUTE(SUBSTITUTE(Общий!B364,".",""),"-",""),8))))=7,CONCATENATE(IFERROR(VALUE(MID(TRIM(SUBSTITUTE(SUBSTITUTE(MID(Общий!B364,SEARCH("Karcher",Общий!B364,1),19),".",""),"-","")),SEARCH("Karcher",TRIM(SUBSTITUTE(SUBSTITUTE(MID(Общий!B364,SEARCH("Karcher",Общий!B364,1),19),".",""),"-","")),1)+8,8)),VALUE(LEFT(SUBSTITUTE(SUBSTITUTE(Общий!B364,".",""),"-",""),8))),"0"),IFERROR(VALUE(MID(TRIM(SUBSTITUTE(SUBSTITUTE(MID(Общий!B364,SEARCH("Karcher",Общий!B364,1),19),".",""),"-","")),SEARCH("Karcher",TRIM(SUBSTITUTE(SUBSTITUTE(MID(Общий!B364,SEARCH("Karcher",Общий!B364,1),19),".",""),"-","")),1)+8,8)),VALUE(LEFT(SUBSTITUTE(SUBSTITUTE(Общий!B364,".",""),"-",""),8)))))," ",Общий!C364),0)</f>
        <v>0</v>
      </c>
      <c r="C364" s="29" t="str">
        <f>Общий!A364</f>
        <v>356</v>
      </c>
      <c r="D364" s="27">
        <f>Общий!B364</f>
        <v>0</v>
      </c>
      <c r="E364" s="28">
        <f>Общий!C364</f>
        <v>0</v>
      </c>
      <c r="G364" s="44"/>
      <c r="H364" s="44"/>
      <c r="I364" s="44"/>
      <c r="J364" s="35"/>
    </row>
    <row r="365" spans="1:10" ht="12" customHeight="1">
      <c r="A365" s="31">
        <f>IFERROR(VALUE(IF(LEN(IFERROR(VALUE(MID(TRIM(SUBSTITUTE(SUBSTITUTE(MID(Общий!B365,SEARCH("Karcher",Общий!B365,1),19),".",""),"-","")),SEARCH("Karcher",TRIM(SUBSTITUTE(SUBSTITUTE(MID(Общий!B365,SEARCH("Karcher",Общий!B365,1),19),".",""),"-","")),1)+8,8)),VALUE(LEFT(SUBSTITUTE(SUBSTITUTE(Общий!B365,".",""),"-",""),8))))=7,CONCATENATE(IFERROR(VALUE(MID(TRIM(SUBSTITUTE(SUBSTITUTE(MID(Общий!B365,SEARCH("Karcher",Общий!B365,1),19),".",""),"-","")),SEARCH("Karcher",TRIM(SUBSTITUTE(SUBSTITUTE(MID(Общий!B365,SEARCH("Karcher",Общий!B365,1),19),".",""),"-","")),1)+8,8)),VALUE(LEFT(SUBSTITUTE(SUBSTITUTE(Общий!B365,".",""),"-",""),8))),"0"),IFERROR(VALUE(MID(TRIM(SUBSTITUTE(SUBSTITUTE(MID(Общий!B365,SEARCH("Karcher",Общий!B365,1),19),".",""),"-","")),SEARCH("Karcher",TRIM(SUBSTITUTE(SUBSTITUTE(MID(Общий!B365,SEARCH("Karcher",Общий!B365,1),19),".",""),"-","")),1)+8,8)),VALUE(LEFT(SUBSTITUTE(SUBSTITUTE(Общий!B365,".",""),"-",""),8))))),0)</f>
        <v>0</v>
      </c>
      <c r="B365" s="25">
        <f>IFERROR(CONCATENATE(VALUE(IF(LEN(IFERROR(VALUE(MID(TRIM(SUBSTITUTE(SUBSTITUTE(MID(Общий!B365,SEARCH("Karcher",Общий!B365,1),19),".",""),"-","")),SEARCH("Karcher",TRIM(SUBSTITUTE(SUBSTITUTE(MID(Общий!B365,SEARCH("Karcher",Общий!B365,1),19),".",""),"-","")),1)+8,8)),VALUE(LEFT(SUBSTITUTE(SUBSTITUTE(Общий!B365,".",""),"-",""),8))))=7,CONCATENATE(IFERROR(VALUE(MID(TRIM(SUBSTITUTE(SUBSTITUTE(MID(Общий!B365,SEARCH("Karcher",Общий!B365,1),19),".",""),"-","")),SEARCH("Karcher",TRIM(SUBSTITUTE(SUBSTITUTE(MID(Общий!B365,SEARCH("Karcher",Общий!B365,1),19),".",""),"-","")),1)+8,8)),VALUE(LEFT(SUBSTITUTE(SUBSTITUTE(Общий!B365,".",""),"-",""),8))),"0"),IFERROR(VALUE(MID(TRIM(SUBSTITUTE(SUBSTITUTE(MID(Общий!B365,SEARCH("Karcher",Общий!B365,1),19),".",""),"-","")),SEARCH("Karcher",TRIM(SUBSTITUTE(SUBSTITUTE(MID(Общий!B365,SEARCH("Karcher",Общий!B365,1),19),".",""),"-","")),1)+8,8)),VALUE(LEFT(SUBSTITUTE(SUBSTITUTE(Общий!B365,".",""),"-",""),8)))))," ",Общий!C365),0)</f>
        <v>0</v>
      </c>
      <c r="C365" s="29" t="str">
        <f>Общий!A365</f>
        <v>357</v>
      </c>
      <c r="D365" s="27">
        <f>Общий!B365</f>
        <v>0</v>
      </c>
      <c r="E365" s="28">
        <f>Общий!C365</f>
        <v>0</v>
      </c>
      <c r="G365" s="44"/>
      <c r="H365" s="44"/>
      <c r="I365" s="44"/>
      <c r="J365" s="35"/>
    </row>
    <row r="366" spans="1:10" ht="12" customHeight="1">
      <c r="A366" s="31">
        <f>IFERROR(VALUE(IF(LEN(IFERROR(VALUE(MID(TRIM(SUBSTITUTE(SUBSTITUTE(MID(Общий!B366,SEARCH("Karcher",Общий!B366,1),19),".",""),"-","")),SEARCH("Karcher",TRIM(SUBSTITUTE(SUBSTITUTE(MID(Общий!B366,SEARCH("Karcher",Общий!B366,1),19),".",""),"-","")),1)+8,8)),VALUE(LEFT(SUBSTITUTE(SUBSTITUTE(Общий!B366,".",""),"-",""),8))))=7,CONCATENATE(IFERROR(VALUE(MID(TRIM(SUBSTITUTE(SUBSTITUTE(MID(Общий!B366,SEARCH("Karcher",Общий!B366,1),19),".",""),"-","")),SEARCH("Karcher",TRIM(SUBSTITUTE(SUBSTITUTE(MID(Общий!B366,SEARCH("Karcher",Общий!B366,1),19),".",""),"-","")),1)+8,8)),VALUE(LEFT(SUBSTITUTE(SUBSTITUTE(Общий!B366,".",""),"-",""),8))),"0"),IFERROR(VALUE(MID(TRIM(SUBSTITUTE(SUBSTITUTE(MID(Общий!B366,SEARCH("Karcher",Общий!B366,1),19),".",""),"-","")),SEARCH("Karcher",TRIM(SUBSTITUTE(SUBSTITUTE(MID(Общий!B366,SEARCH("Karcher",Общий!B366,1),19),".",""),"-","")),1)+8,8)),VALUE(LEFT(SUBSTITUTE(SUBSTITUTE(Общий!B366,".",""),"-",""),8))))),0)</f>
        <v>0</v>
      </c>
      <c r="B366" s="25">
        <f>IFERROR(CONCATENATE(VALUE(IF(LEN(IFERROR(VALUE(MID(TRIM(SUBSTITUTE(SUBSTITUTE(MID(Общий!B366,SEARCH("Karcher",Общий!B366,1),19),".",""),"-","")),SEARCH("Karcher",TRIM(SUBSTITUTE(SUBSTITUTE(MID(Общий!B366,SEARCH("Karcher",Общий!B366,1),19),".",""),"-","")),1)+8,8)),VALUE(LEFT(SUBSTITUTE(SUBSTITUTE(Общий!B366,".",""),"-",""),8))))=7,CONCATENATE(IFERROR(VALUE(MID(TRIM(SUBSTITUTE(SUBSTITUTE(MID(Общий!B366,SEARCH("Karcher",Общий!B366,1),19),".",""),"-","")),SEARCH("Karcher",TRIM(SUBSTITUTE(SUBSTITUTE(MID(Общий!B366,SEARCH("Karcher",Общий!B366,1),19),".",""),"-","")),1)+8,8)),VALUE(LEFT(SUBSTITUTE(SUBSTITUTE(Общий!B366,".",""),"-",""),8))),"0"),IFERROR(VALUE(MID(TRIM(SUBSTITUTE(SUBSTITUTE(MID(Общий!B366,SEARCH("Karcher",Общий!B366,1),19),".",""),"-","")),SEARCH("Karcher",TRIM(SUBSTITUTE(SUBSTITUTE(MID(Общий!B366,SEARCH("Karcher",Общий!B366,1),19),".",""),"-","")),1)+8,8)),VALUE(LEFT(SUBSTITUTE(SUBSTITUTE(Общий!B366,".",""),"-",""),8)))))," ",Общий!C366),0)</f>
        <v>0</v>
      </c>
      <c r="C366" s="29" t="str">
        <f>Общий!A366</f>
        <v>358</v>
      </c>
      <c r="D366" s="27">
        <f>Общий!B366</f>
        <v>0</v>
      </c>
      <c r="E366" s="28">
        <f>Общий!C366</f>
        <v>0</v>
      </c>
      <c r="G366" s="44"/>
      <c r="H366" s="44"/>
      <c r="I366" s="44"/>
      <c r="J366" s="35"/>
    </row>
    <row r="367" spans="1:10" ht="12" customHeight="1">
      <c r="A367" s="31">
        <f>IFERROR(VALUE(IF(LEN(IFERROR(VALUE(MID(TRIM(SUBSTITUTE(SUBSTITUTE(MID(Общий!B367,SEARCH("Karcher",Общий!B367,1),19),".",""),"-","")),SEARCH("Karcher",TRIM(SUBSTITUTE(SUBSTITUTE(MID(Общий!B367,SEARCH("Karcher",Общий!B367,1),19),".",""),"-","")),1)+8,8)),VALUE(LEFT(SUBSTITUTE(SUBSTITUTE(Общий!B367,".",""),"-",""),8))))=7,CONCATENATE(IFERROR(VALUE(MID(TRIM(SUBSTITUTE(SUBSTITUTE(MID(Общий!B367,SEARCH("Karcher",Общий!B367,1),19),".",""),"-","")),SEARCH("Karcher",TRIM(SUBSTITUTE(SUBSTITUTE(MID(Общий!B367,SEARCH("Karcher",Общий!B367,1),19),".",""),"-","")),1)+8,8)),VALUE(LEFT(SUBSTITUTE(SUBSTITUTE(Общий!B367,".",""),"-",""),8))),"0"),IFERROR(VALUE(MID(TRIM(SUBSTITUTE(SUBSTITUTE(MID(Общий!B367,SEARCH("Karcher",Общий!B367,1),19),".",""),"-","")),SEARCH("Karcher",TRIM(SUBSTITUTE(SUBSTITUTE(MID(Общий!B367,SEARCH("Karcher",Общий!B367,1),19),".",""),"-","")),1)+8,8)),VALUE(LEFT(SUBSTITUTE(SUBSTITUTE(Общий!B367,".",""),"-",""),8))))),0)</f>
        <v>0</v>
      </c>
      <c r="B367" s="25">
        <f>IFERROR(CONCATENATE(VALUE(IF(LEN(IFERROR(VALUE(MID(TRIM(SUBSTITUTE(SUBSTITUTE(MID(Общий!B367,SEARCH("Karcher",Общий!B367,1),19),".",""),"-","")),SEARCH("Karcher",TRIM(SUBSTITUTE(SUBSTITUTE(MID(Общий!B367,SEARCH("Karcher",Общий!B367,1),19),".",""),"-","")),1)+8,8)),VALUE(LEFT(SUBSTITUTE(SUBSTITUTE(Общий!B367,".",""),"-",""),8))))=7,CONCATENATE(IFERROR(VALUE(MID(TRIM(SUBSTITUTE(SUBSTITUTE(MID(Общий!B367,SEARCH("Karcher",Общий!B367,1),19),".",""),"-","")),SEARCH("Karcher",TRIM(SUBSTITUTE(SUBSTITUTE(MID(Общий!B367,SEARCH("Karcher",Общий!B367,1),19),".",""),"-","")),1)+8,8)),VALUE(LEFT(SUBSTITUTE(SUBSTITUTE(Общий!B367,".",""),"-",""),8))),"0"),IFERROR(VALUE(MID(TRIM(SUBSTITUTE(SUBSTITUTE(MID(Общий!B367,SEARCH("Karcher",Общий!B367,1),19),".",""),"-","")),SEARCH("Karcher",TRIM(SUBSTITUTE(SUBSTITUTE(MID(Общий!B367,SEARCH("Karcher",Общий!B367,1),19),".",""),"-","")),1)+8,8)),VALUE(LEFT(SUBSTITUTE(SUBSTITUTE(Общий!B367,".",""),"-",""),8)))))," ",Общий!C367),0)</f>
        <v>0</v>
      </c>
      <c r="C367" s="29" t="str">
        <f>Общий!A367</f>
        <v>359</v>
      </c>
      <c r="D367" s="27">
        <f>Общий!B367</f>
        <v>0</v>
      </c>
      <c r="E367" s="28">
        <f>Общий!C367</f>
        <v>0</v>
      </c>
      <c r="G367" s="44"/>
      <c r="H367" s="44"/>
      <c r="I367" s="44"/>
      <c r="J367" s="35"/>
    </row>
    <row r="368" spans="1:10" ht="12" customHeight="1">
      <c r="A368" s="31">
        <f>IFERROR(VALUE(IF(LEN(IFERROR(VALUE(MID(TRIM(SUBSTITUTE(SUBSTITUTE(MID(Общий!B368,SEARCH("Karcher",Общий!B368,1),19),".",""),"-","")),SEARCH("Karcher",TRIM(SUBSTITUTE(SUBSTITUTE(MID(Общий!B368,SEARCH("Karcher",Общий!B368,1),19),".",""),"-","")),1)+8,8)),VALUE(LEFT(SUBSTITUTE(SUBSTITUTE(Общий!B368,".",""),"-",""),8))))=7,CONCATENATE(IFERROR(VALUE(MID(TRIM(SUBSTITUTE(SUBSTITUTE(MID(Общий!B368,SEARCH("Karcher",Общий!B368,1),19),".",""),"-","")),SEARCH("Karcher",TRIM(SUBSTITUTE(SUBSTITUTE(MID(Общий!B368,SEARCH("Karcher",Общий!B368,1),19),".",""),"-","")),1)+8,8)),VALUE(LEFT(SUBSTITUTE(SUBSTITUTE(Общий!B368,".",""),"-",""),8))),"0"),IFERROR(VALUE(MID(TRIM(SUBSTITUTE(SUBSTITUTE(MID(Общий!B368,SEARCH("Karcher",Общий!B368,1),19),".",""),"-","")),SEARCH("Karcher",TRIM(SUBSTITUTE(SUBSTITUTE(MID(Общий!B368,SEARCH("Karcher",Общий!B368,1),19),".",""),"-","")),1)+8,8)),VALUE(LEFT(SUBSTITUTE(SUBSTITUTE(Общий!B368,".",""),"-",""),8))))),0)</f>
        <v>0</v>
      </c>
      <c r="B368" s="25">
        <f>IFERROR(CONCATENATE(VALUE(IF(LEN(IFERROR(VALUE(MID(TRIM(SUBSTITUTE(SUBSTITUTE(MID(Общий!B368,SEARCH("Karcher",Общий!B368,1),19),".",""),"-","")),SEARCH("Karcher",TRIM(SUBSTITUTE(SUBSTITUTE(MID(Общий!B368,SEARCH("Karcher",Общий!B368,1),19),".",""),"-","")),1)+8,8)),VALUE(LEFT(SUBSTITUTE(SUBSTITUTE(Общий!B368,".",""),"-",""),8))))=7,CONCATENATE(IFERROR(VALUE(MID(TRIM(SUBSTITUTE(SUBSTITUTE(MID(Общий!B368,SEARCH("Karcher",Общий!B368,1),19),".",""),"-","")),SEARCH("Karcher",TRIM(SUBSTITUTE(SUBSTITUTE(MID(Общий!B368,SEARCH("Karcher",Общий!B368,1),19),".",""),"-","")),1)+8,8)),VALUE(LEFT(SUBSTITUTE(SUBSTITUTE(Общий!B368,".",""),"-",""),8))),"0"),IFERROR(VALUE(MID(TRIM(SUBSTITUTE(SUBSTITUTE(MID(Общий!B368,SEARCH("Karcher",Общий!B368,1),19),".",""),"-","")),SEARCH("Karcher",TRIM(SUBSTITUTE(SUBSTITUTE(MID(Общий!B368,SEARCH("Karcher",Общий!B368,1),19),".",""),"-","")),1)+8,8)),VALUE(LEFT(SUBSTITUTE(SUBSTITUTE(Общий!B368,".",""),"-",""),8)))))," ",Общий!C368),0)</f>
        <v>0</v>
      </c>
      <c r="C368" s="29" t="str">
        <f>Общий!A368</f>
        <v>360</v>
      </c>
      <c r="D368" s="27">
        <f>Общий!B368</f>
        <v>0</v>
      </c>
      <c r="E368" s="28">
        <f>Общий!C368</f>
        <v>0</v>
      </c>
      <c r="G368" s="44"/>
      <c r="H368" s="44"/>
      <c r="I368" s="44"/>
      <c r="J368" s="35"/>
    </row>
    <row r="369" spans="1:10" ht="12" customHeight="1">
      <c r="A369" s="31">
        <f>IFERROR(VALUE(IF(LEN(IFERROR(VALUE(MID(TRIM(SUBSTITUTE(SUBSTITUTE(MID(Общий!B369,SEARCH("Karcher",Общий!B369,1),19),".",""),"-","")),SEARCH("Karcher",TRIM(SUBSTITUTE(SUBSTITUTE(MID(Общий!B369,SEARCH("Karcher",Общий!B369,1),19),".",""),"-","")),1)+8,8)),VALUE(LEFT(SUBSTITUTE(SUBSTITUTE(Общий!B369,".",""),"-",""),8))))=7,CONCATENATE(IFERROR(VALUE(MID(TRIM(SUBSTITUTE(SUBSTITUTE(MID(Общий!B369,SEARCH("Karcher",Общий!B369,1),19),".",""),"-","")),SEARCH("Karcher",TRIM(SUBSTITUTE(SUBSTITUTE(MID(Общий!B369,SEARCH("Karcher",Общий!B369,1),19),".",""),"-","")),1)+8,8)),VALUE(LEFT(SUBSTITUTE(SUBSTITUTE(Общий!B369,".",""),"-",""),8))),"0"),IFERROR(VALUE(MID(TRIM(SUBSTITUTE(SUBSTITUTE(MID(Общий!B369,SEARCH("Karcher",Общий!B369,1),19),".",""),"-","")),SEARCH("Karcher",TRIM(SUBSTITUTE(SUBSTITUTE(MID(Общий!B369,SEARCH("Karcher",Общий!B369,1),19),".",""),"-","")),1)+8,8)),VALUE(LEFT(SUBSTITUTE(SUBSTITUTE(Общий!B369,".",""),"-",""),8))))),0)</f>
        <v>0</v>
      </c>
      <c r="B369" s="25">
        <f>IFERROR(CONCATENATE(VALUE(IF(LEN(IFERROR(VALUE(MID(TRIM(SUBSTITUTE(SUBSTITUTE(MID(Общий!B369,SEARCH("Karcher",Общий!B369,1),19),".",""),"-","")),SEARCH("Karcher",TRIM(SUBSTITUTE(SUBSTITUTE(MID(Общий!B369,SEARCH("Karcher",Общий!B369,1),19),".",""),"-","")),1)+8,8)),VALUE(LEFT(SUBSTITUTE(SUBSTITUTE(Общий!B369,".",""),"-",""),8))))=7,CONCATENATE(IFERROR(VALUE(MID(TRIM(SUBSTITUTE(SUBSTITUTE(MID(Общий!B369,SEARCH("Karcher",Общий!B369,1),19),".",""),"-","")),SEARCH("Karcher",TRIM(SUBSTITUTE(SUBSTITUTE(MID(Общий!B369,SEARCH("Karcher",Общий!B369,1),19),".",""),"-","")),1)+8,8)),VALUE(LEFT(SUBSTITUTE(SUBSTITUTE(Общий!B369,".",""),"-",""),8))),"0"),IFERROR(VALUE(MID(TRIM(SUBSTITUTE(SUBSTITUTE(MID(Общий!B369,SEARCH("Karcher",Общий!B369,1),19),".",""),"-","")),SEARCH("Karcher",TRIM(SUBSTITUTE(SUBSTITUTE(MID(Общий!B369,SEARCH("Karcher",Общий!B369,1),19),".",""),"-","")),1)+8,8)),VALUE(LEFT(SUBSTITUTE(SUBSTITUTE(Общий!B369,".",""),"-",""),8)))))," ",Общий!C369),0)</f>
        <v>0</v>
      </c>
      <c r="C369" s="29" t="str">
        <f>Общий!A369</f>
        <v>361</v>
      </c>
      <c r="D369" s="27">
        <f>Общий!B369</f>
        <v>0</v>
      </c>
      <c r="E369" s="28">
        <f>Общий!C369</f>
        <v>0</v>
      </c>
      <c r="G369" s="44"/>
      <c r="H369" s="44"/>
      <c r="I369" s="44"/>
      <c r="J369" s="35"/>
    </row>
    <row r="370" spans="1:10">
      <c r="A370" s="31">
        <f>IFERROR(VALUE(IF(LEN(IFERROR(VALUE(MID(TRIM(SUBSTITUTE(SUBSTITUTE(MID(Общий!B370,SEARCH("Karcher",Общий!B370,1),19),".",""),"-","")),SEARCH("Karcher",TRIM(SUBSTITUTE(SUBSTITUTE(MID(Общий!B370,SEARCH("Karcher",Общий!B370,1),19),".",""),"-","")),1)+8,8)),VALUE(LEFT(SUBSTITUTE(SUBSTITUTE(Общий!B370,".",""),"-",""),8))))=7,CONCATENATE(IFERROR(VALUE(MID(TRIM(SUBSTITUTE(SUBSTITUTE(MID(Общий!B370,SEARCH("Karcher",Общий!B370,1),19),".",""),"-","")),SEARCH("Karcher",TRIM(SUBSTITUTE(SUBSTITUTE(MID(Общий!B370,SEARCH("Karcher",Общий!B370,1),19),".",""),"-","")),1)+8,8)),VALUE(LEFT(SUBSTITUTE(SUBSTITUTE(Общий!B370,".",""),"-",""),8))),"0"),IFERROR(VALUE(MID(TRIM(SUBSTITUTE(SUBSTITUTE(MID(Общий!B370,SEARCH("Karcher",Общий!B370,1),19),".",""),"-","")),SEARCH("Karcher",TRIM(SUBSTITUTE(SUBSTITUTE(MID(Общий!B370,SEARCH("Karcher",Общий!B370,1),19),".",""),"-","")),1)+8,8)),VALUE(LEFT(SUBSTITUTE(SUBSTITUTE(Общий!B370,".",""),"-",""),8))))),0)</f>
        <v>0</v>
      </c>
      <c r="B370" s="25">
        <f>IFERROR(CONCATENATE(VALUE(IF(LEN(IFERROR(VALUE(MID(TRIM(SUBSTITUTE(SUBSTITUTE(MID(Общий!B370,SEARCH("Karcher",Общий!B370,1),19),".",""),"-","")),SEARCH("Karcher",TRIM(SUBSTITUTE(SUBSTITUTE(MID(Общий!B370,SEARCH("Karcher",Общий!B370,1),19),".",""),"-","")),1)+8,8)),VALUE(LEFT(SUBSTITUTE(SUBSTITUTE(Общий!B370,".",""),"-",""),8))))=7,CONCATENATE(IFERROR(VALUE(MID(TRIM(SUBSTITUTE(SUBSTITUTE(MID(Общий!B370,SEARCH("Karcher",Общий!B370,1),19),".",""),"-","")),SEARCH("Karcher",TRIM(SUBSTITUTE(SUBSTITUTE(MID(Общий!B370,SEARCH("Karcher",Общий!B370,1),19),".",""),"-","")),1)+8,8)),VALUE(LEFT(SUBSTITUTE(SUBSTITUTE(Общий!B370,".",""),"-",""),8))),"0"),IFERROR(VALUE(MID(TRIM(SUBSTITUTE(SUBSTITUTE(MID(Общий!B370,SEARCH("Karcher",Общий!B370,1),19),".",""),"-","")),SEARCH("Karcher",TRIM(SUBSTITUTE(SUBSTITUTE(MID(Общий!B370,SEARCH("Karcher",Общий!B370,1),19),".",""),"-","")),1)+8,8)),VALUE(LEFT(SUBSTITUTE(SUBSTITUTE(Общий!B370,".",""),"-",""),8)))))," ",Общий!C370),0)</f>
        <v>0</v>
      </c>
      <c r="C370" s="29" t="str">
        <f>Общий!A370</f>
        <v>362</v>
      </c>
      <c r="D370" s="27">
        <f>Общий!B370</f>
        <v>0</v>
      </c>
      <c r="E370" s="28">
        <f>Общий!C370</f>
        <v>0</v>
      </c>
      <c r="G370" s="44"/>
      <c r="H370" s="44"/>
      <c r="I370" s="44"/>
      <c r="J370" s="35"/>
    </row>
    <row r="371" spans="1:10">
      <c r="A371" s="31">
        <f>IFERROR(VALUE(IF(LEN(IFERROR(VALUE(MID(TRIM(SUBSTITUTE(SUBSTITUTE(MID(Общий!B371,SEARCH("Karcher",Общий!B371,1),19),".",""),"-","")),SEARCH("Karcher",TRIM(SUBSTITUTE(SUBSTITUTE(MID(Общий!B371,SEARCH("Karcher",Общий!B371,1),19),".",""),"-","")),1)+8,8)),VALUE(LEFT(SUBSTITUTE(SUBSTITUTE(Общий!B371,".",""),"-",""),8))))=7,CONCATENATE(IFERROR(VALUE(MID(TRIM(SUBSTITUTE(SUBSTITUTE(MID(Общий!B371,SEARCH("Karcher",Общий!B371,1),19),".",""),"-","")),SEARCH("Karcher",TRIM(SUBSTITUTE(SUBSTITUTE(MID(Общий!B371,SEARCH("Karcher",Общий!B371,1),19),".",""),"-","")),1)+8,8)),VALUE(LEFT(SUBSTITUTE(SUBSTITUTE(Общий!B371,".",""),"-",""),8))),"0"),IFERROR(VALUE(MID(TRIM(SUBSTITUTE(SUBSTITUTE(MID(Общий!B371,SEARCH("Karcher",Общий!B371,1),19),".",""),"-","")),SEARCH("Karcher",TRIM(SUBSTITUTE(SUBSTITUTE(MID(Общий!B371,SEARCH("Karcher",Общий!B371,1),19),".",""),"-","")),1)+8,8)),VALUE(LEFT(SUBSTITUTE(SUBSTITUTE(Общий!B371,".",""),"-",""),8))))),0)</f>
        <v>0</v>
      </c>
      <c r="B371" s="25">
        <f>IFERROR(CONCATENATE(VALUE(IF(LEN(IFERROR(VALUE(MID(TRIM(SUBSTITUTE(SUBSTITUTE(MID(Общий!B371,SEARCH("Karcher",Общий!B371,1),19),".",""),"-","")),SEARCH("Karcher",TRIM(SUBSTITUTE(SUBSTITUTE(MID(Общий!B371,SEARCH("Karcher",Общий!B371,1),19),".",""),"-","")),1)+8,8)),VALUE(LEFT(SUBSTITUTE(SUBSTITUTE(Общий!B371,".",""),"-",""),8))))=7,CONCATENATE(IFERROR(VALUE(MID(TRIM(SUBSTITUTE(SUBSTITUTE(MID(Общий!B371,SEARCH("Karcher",Общий!B371,1),19),".",""),"-","")),SEARCH("Karcher",TRIM(SUBSTITUTE(SUBSTITUTE(MID(Общий!B371,SEARCH("Karcher",Общий!B371,1),19),".",""),"-","")),1)+8,8)),VALUE(LEFT(SUBSTITUTE(SUBSTITUTE(Общий!B371,".",""),"-",""),8))),"0"),IFERROR(VALUE(MID(TRIM(SUBSTITUTE(SUBSTITUTE(MID(Общий!B371,SEARCH("Karcher",Общий!B371,1),19),".",""),"-","")),SEARCH("Karcher",TRIM(SUBSTITUTE(SUBSTITUTE(MID(Общий!B371,SEARCH("Karcher",Общий!B371,1),19),".",""),"-","")),1)+8,8)),VALUE(LEFT(SUBSTITUTE(SUBSTITUTE(Общий!B371,".",""),"-",""),8)))))," ",Общий!C371),0)</f>
        <v>0</v>
      </c>
      <c r="C371" s="29" t="str">
        <f>Общий!A371</f>
        <v>363</v>
      </c>
      <c r="D371" s="27">
        <f>Общий!B371</f>
        <v>0</v>
      </c>
      <c r="E371" s="28">
        <f>Общий!C371</f>
        <v>0</v>
      </c>
      <c r="G371" s="44"/>
      <c r="H371" s="44"/>
      <c r="I371" s="44"/>
      <c r="J371" s="35"/>
    </row>
    <row r="372" spans="1:10">
      <c r="A372" s="31">
        <f>IFERROR(VALUE(IF(LEN(IFERROR(VALUE(MID(TRIM(SUBSTITUTE(SUBSTITUTE(MID(Общий!B372,SEARCH("Karcher",Общий!B372,1),19),".",""),"-","")),SEARCH("Karcher",TRIM(SUBSTITUTE(SUBSTITUTE(MID(Общий!B372,SEARCH("Karcher",Общий!B372,1),19),".",""),"-","")),1)+8,8)),VALUE(LEFT(SUBSTITUTE(SUBSTITUTE(Общий!B372,".",""),"-",""),8))))=7,CONCATENATE(IFERROR(VALUE(MID(TRIM(SUBSTITUTE(SUBSTITUTE(MID(Общий!B372,SEARCH("Karcher",Общий!B372,1),19),".",""),"-","")),SEARCH("Karcher",TRIM(SUBSTITUTE(SUBSTITUTE(MID(Общий!B372,SEARCH("Karcher",Общий!B372,1),19),".",""),"-","")),1)+8,8)),VALUE(LEFT(SUBSTITUTE(SUBSTITUTE(Общий!B372,".",""),"-",""),8))),"0"),IFERROR(VALUE(MID(TRIM(SUBSTITUTE(SUBSTITUTE(MID(Общий!B372,SEARCH("Karcher",Общий!B372,1),19),".",""),"-","")),SEARCH("Karcher",TRIM(SUBSTITUTE(SUBSTITUTE(MID(Общий!B372,SEARCH("Karcher",Общий!B372,1),19),".",""),"-","")),1)+8,8)),VALUE(LEFT(SUBSTITUTE(SUBSTITUTE(Общий!B372,".",""),"-",""),8))))),0)</f>
        <v>0</v>
      </c>
      <c r="B372" s="25">
        <f>IFERROR(CONCATENATE(VALUE(IF(LEN(IFERROR(VALUE(MID(TRIM(SUBSTITUTE(SUBSTITUTE(MID(Общий!B372,SEARCH("Karcher",Общий!B372,1),19),".",""),"-","")),SEARCH("Karcher",TRIM(SUBSTITUTE(SUBSTITUTE(MID(Общий!B372,SEARCH("Karcher",Общий!B372,1),19),".",""),"-","")),1)+8,8)),VALUE(LEFT(SUBSTITUTE(SUBSTITUTE(Общий!B372,".",""),"-",""),8))))=7,CONCATENATE(IFERROR(VALUE(MID(TRIM(SUBSTITUTE(SUBSTITUTE(MID(Общий!B372,SEARCH("Karcher",Общий!B372,1),19),".",""),"-","")),SEARCH("Karcher",TRIM(SUBSTITUTE(SUBSTITUTE(MID(Общий!B372,SEARCH("Karcher",Общий!B372,1),19),".",""),"-","")),1)+8,8)),VALUE(LEFT(SUBSTITUTE(SUBSTITUTE(Общий!B372,".",""),"-",""),8))),"0"),IFERROR(VALUE(MID(TRIM(SUBSTITUTE(SUBSTITUTE(MID(Общий!B372,SEARCH("Karcher",Общий!B372,1),19),".",""),"-","")),SEARCH("Karcher",TRIM(SUBSTITUTE(SUBSTITUTE(MID(Общий!B372,SEARCH("Karcher",Общий!B372,1),19),".",""),"-","")),1)+8,8)),VALUE(LEFT(SUBSTITUTE(SUBSTITUTE(Общий!B372,".",""),"-",""),8)))))," ",Общий!C372),0)</f>
        <v>0</v>
      </c>
      <c r="C372" s="29" t="str">
        <f>Общий!A372</f>
        <v>364</v>
      </c>
      <c r="D372" s="27">
        <f>Общий!B372</f>
        <v>0</v>
      </c>
      <c r="E372" s="28">
        <f>Общий!C372</f>
        <v>0</v>
      </c>
      <c r="G372" s="44"/>
      <c r="H372" s="44"/>
      <c r="I372" s="44"/>
      <c r="J372" s="35"/>
    </row>
    <row r="373" spans="1:10">
      <c r="A373" s="31">
        <f>IFERROR(VALUE(IF(LEN(IFERROR(VALUE(MID(TRIM(SUBSTITUTE(SUBSTITUTE(MID(Общий!B373,SEARCH("Karcher",Общий!B373,1),19),".",""),"-","")),SEARCH("Karcher",TRIM(SUBSTITUTE(SUBSTITUTE(MID(Общий!B373,SEARCH("Karcher",Общий!B373,1),19),".",""),"-","")),1)+8,8)),VALUE(LEFT(SUBSTITUTE(SUBSTITUTE(Общий!B373,".",""),"-",""),8))))=7,CONCATENATE(IFERROR(VALUE(MID(TRIM(SUBSTITUTE(SUBSTITUTE(MID(Общий!B373,SEARCH("Karcher",Общий!B373,1),19),".",""),"-","")),SEARCH("Karcher",TRIM(SUBSTITUTE(SUBSTITUTE(MID(Общий!B373,SEARCH("Karcher",Общий!B373,1),19),".",""),"-","")),1)+8,8)),VALUE(LEFT(SUBSTITUTE(SUBSTITUTE(Общий!B373,".",""),"-",""),8))),"0"),IFERROR(VALUE(MID(TRIM(SUBSTITUTE(SUBSTITUTE(MID(Общий!B373,SEARCH("Karcher",Общий!B373,1),19),".",""),"-","")),SEARCH("Karcher",TRIM(SUBSTITUTE(SUBSTITUTE(MID(Общий!B373,SEARCH("Karcher",Общий!B373,1),19),".",""),"-","")),1)+8,8)),VALUE(LEFT(SUBSTITUTE(SUBSTITUTE(Общий!B373,".",""),"-",""),8))))),0)</f>
        <v>0</v>
      </c>
      <c r="B373" s="25">
        <f>IFERROR(CONCATENATE(VALUE(IF(LEN(IFERROR(VALUE(MID(TRIM(SUBSTITUTE(SUBSTITUTE(MID(Общий!B373,SEARCH("Karcher",Общий!B373,1),19),".",""),"-","")),SEARCH("Karcher",TRIM(SUBSTITUTE(SUBSTITUTE(MID(Общий!B373,SEARCH("Karcher",Общий!B373,1),19),".",""),"-","")),1)+8,8)),VALUE(LEFT(SUBSTITUTE(SUBSTITUTE(Общий!B373,".",""),"-",""),8))))=7,CONCATENATE(IFERROR(VALUE(MID(TRIM(SUBSTITUTE(SUBSTITUTE(MID(Общий!B373,SEARCH("Karcher",Общий!B373,1),19),".",""),"-","")),SEARCH("Karcher",TRIM(SUBSTITUTE(SUBSTITUTE(MID(Общий!B373,SEARCH("Karcher",Общий!B373,1),19),".",""),"-","")),1)+8,8)),VALUE(LEFT(SUBSTITUTE(SUBSTITUTE(Общий!B373,".",""),"-",""),8))),"0"),IFERROR(VALUE(MID(TRIM(SUBSTITUTE(SUBSTITUTE(MID(Общий!B373,SEARCH("Karcher",Общий!B373,1),19),".",""),"-","")),SEARCH("Karcher",TRIM(SUBSTITUTE(SUBSTITUTE(MID(Общий!B373,SEARCH("Karcher",Общий!B373,1),19),".",""),"-","")),1)+8,8)),VALUE(LEFT(SUBSTITUTE(SUBSTITUTE(Общий!B373,".",""),"-",""),8)))))," ",Общий!C373),0)</f>
        <v>0</v>
      </c>
      <c r="C373" s="29" t="str">
        <f>Общий!A373</f>
        <v>365</v>
      </c>
      <c r="D373" s="27">
        <f>Общий!B373</f>
        <v>0</v>
      </c>
      <c r="E373" s="28">
        <f>Общий!C373</f>
        <v>0</v>
      </c>
      <c r="G373" s="44"/>
      <c r="H373" s="44"/>
      <c r="I373" s="44"/>
      <c r="J373" s="35"/>
    </row>
    <row r="374" spans="1:10">
      <c r="A374" s="31">
        <f>IFERROR(VALUE(IF(LEN(IFERROR(VALUE(MID(TRIM(SUBSTITUTE(SUBSTITUTE(MID(Общий!B374,SEARCH("Karcher",Общий!B374,1),19),".",""),"-","")),SEARCH("Karcher",TRIM(SUBSTITUTE(SUBSTITUTE(MID(Общий!B374,SEARCH("Karcher",Общий!B374,1),19),".",""),"-","")),1)+8,8)),VALUE(LEFT(SUBSTITUTE(SUBSTITUTE(Общий!B374,".",""),"-",""),8))))=7,CONCATENATE(IFERROR(VALUE(MID(TRIM(SUBSTITUTE(SUBSTITUTE(MID(Общий!B374,SEARCH("Karcher",Общий!B374,1),19),".",""),"-","")),SEARCH("Karcher",TRIM(SUBSTITUTE(SUBSTITUTE(MID(Общий!B374,SEARCH("Karcher",Общий!B374,1),19),".",""),"-","")),1)+8,8)),VALUE(LEFT(SUBSTITUTE(SUBSTITUTE(Общий!B374,".",""),"-",""),8))),"0"),IFERROR(VALUE(MID(TRIM(SUBSTITUTE(SUBSTITUTE(MID(Общий!B374,SEARCH("Karcher",Общий!B374,1),19),".",""),"-","")),SEARCH("Karcher",TRIM(SUBSTITUTE(SUBSTITUTE(MID(Общий!B374,SEARCH("Karcher",Общий!B374,1),19),".",""),"-","")),1)+8,8)),VALUE(LEFT(SUBSTITUTE(SUBSTITUTE(Общий!B374,".",""),"-",""),8))))),0)</f>
        <v>0</v>
      </c>
      <c r="B374" s="25">
        <f>IFERROR(CONCATENATE(VALUE(IF(LEN(IFERROR(VALUE(MID(TRIM(SUBSTITUTE(SUBSTITUTE(MID(Общий!B374,SEARCH("Karcher",Общий!B374,1),19),".",""),"-","")),SEARCH("Karcher",TRIM(SUBSTITUTE(SUBSTITUTE(MID(Общий!B374,SEARCH("Karcher",Общий!B374,1),19),".",""),"-","")),1)+8,8)),VALUE(LEFT(SUBSTITUTE(SUBSTITUTE(Общий!B374,".",""),"-",""),8))))=7,CONCATENATE(IFERROR(VALUE(MID(TRIM(SUBSTITUTE(SUBSTITUTE(MID(Общий!B374,SEARCH("Karcher",Общий!B374,1),19),".",""),"-","")),SEARCH("Karcher",TRIM(SUBSTITUTE(SUBSTITUTE(MID(Общий!B374,SEARCH("Karcher",Общий!B374,1),19),".",""),"-","")),1)+8,8)),VALUE(LEFT(SUBSTITUTE(SUBSTITUTE(Общий!B374,".",""),"-",""),8))),"0"),IFERROR(VALUE(MID(TRIM(SUBSTITUTE(SUBSTITUTE(MID(Общий!B374,SEARCH("Karcher",Общий!B374,1),19),".",""),"-","")),SEARCH("Karcher",TRIM(SUBSTITUTE(SUBSTITUTE(MID(Общий!B374,SEARCH("Karcher",Общий!B374,1),19),".",""),"-","")),1)+8,8)),VALUE(LEFT(SUBSTITUTE(SUBSTITUTE(Общий!B374,".",""),"-",""),8)))))," ",Общий!C374),0)</f>
        <v>0</v>
      </c>
      <c r="C374" s="29" t="str">
        <f>Общий!A374</f>
        <v>366</v>
      </c>
      <c r="D374" s="27">
        <f>Общий!B374</f>
        <v>0</v>
      </c>
      <c r="E374" s="28">
        <f>Общий!C374</f>
        <v>0</v>
      </c>
      <c r="G374" s="44"/>
      <c r="H374" s="44"/>
      <c r="I374" s="44"/>
      <c r="J374" s="35"/>
    </row>
    <row r="375" spans="1:10">
      <c r="A375" s="31">
        <f>IFERROR(VALUE(IF(LEN(IFERROR(VALUE(MID(TRIM(SUBSTITUTE(SUBSTITUTE(MID(Общий!B375,SEARCH("Karcher",Общий!B375,1),19),".",""),"-","")),SEARCH("Karcher",TRIM(SUBSTITUTE(SUBSTITUTE(MID(Общий!B375,SEARCH("Karcher",Общий!B375,1),19),".",""),"-","")),1)+8,8)),VALUE(LEFT(SUBSTITUTE(SUBSTITUTE(Общий!B375,".",""),"-",""),8))))=7,CONCATENATE(IFERROR(VALUE(MID(TRIM(SUBSTITUTE(SUBSTITUTE(MID(Общий!B375,SEARCH("Karcher",Общий!B375,1),19),".",""),"-","")),SEARCH("Karcher",TRIM(SUBSTITUTE(SUBSTITUTE(MID(Общий!B375,SEARCH("Karcher",Общий!B375,1),19),".",""),"-","")),1)+8,8)),VALUE(LEFT(SUBSTITUTE(SUBSTITUTE(Общий!B375,".",""),"-",""),8))),"0"),IFERROR(VALUE(MID(TRIM(SUBSTITUTE(SUBSTITUTE(MID(Общий!B375,SEARCH("Karcher",Общий!B375,1),19),".",""),"-","")),SEARCH("Karcher",TRIM(SUBSTITUTE(SUBSTITUTE(MID(Общий!B375,SEARCH("Karcher",Общий!B375,1),19),".",""),"-","")),1)+8,8)),VALUE(LEFT(SUBSTITUTE(SUBSTITUTE(Общий!B375,".",""),"-",""),8))))),0)</f>
        <v>0</v>
      </c>
      <c r="B375" s="25">
        <f>IFERROR(CONCATENATE(VALUE(IF(LEN(IFERROR(VALUE(MID(TRIM(SUBSTITUTE(SUBSTITUTE(MID(Общий!B375,SEARCH("Karcher",Общий!B375,1),19),".",""),"-","")),SEARCH("Karcher",TRIM(SUBSTITUTE(SUBSTITUTE(MID(Общий!B375,SEARCH("Karcher",Общий!B375,1),19),".",""),"-","")),1)+8,8)),VALUE(LEFT(SUBSTITUTE(SUBSTITUTE(Общий!B375,".",""),"-",""),8))))=7,CONCATENATE(IFERROR(VALUE(MID(TRIM(SUBSTITUTE(SUBSTITUTE(MID(Общий!B375,SEARCH("Karcher",Общий!B375,1),19),".",""),"-","")),SEARCH("Karcher",TRIM(SUBSTITUTE(SUBSTITUTE(MID(Общий!B375,SEARCH("Karcher",Общий!B375,1),19),".",""),"-","")),1)+8,8)),VALUE(LEFT(SUBSTITUTE(SUBSTITUTE(Общий!B375,".",""),"-",""),8))),"0"),IFERROR(VALUE(MID(TRIM(SUBSTITUTE(SUBSTITUTE(MID(Общий!B375,SEARCH("Karcher",Общий!B375,1),19),".",""),"-","")),SEARCH("Karcher",TRIM(SUBSTITUTE(SUBSTITUTE(MID(Общий!B375,SEARCH("Karcher",Общий!B375,1),19),".",""),"-","")),1)+8,8)),VALUE(LEFT(SUBSTITUTE(SUBSTITUTE(Общий!B375,".",""),"-",""),8)))))," ",Общий!C375),0)</f>
        <v>0</v>
      </c>
      <c r="C375" s="29" t="str">
        <f>Общий!A375</f>
        <v>367</v>
      </c>
      <c r="D375" s="27">
        <f>Общий!B375</f>
        <v>0</v>
      </c>
      <c r="E375" s="28">
        <f>Общий!C375</f>
        <v>0</v>
      </c>
      <c r="G375" s="44"/>
      <c r="H375" s="44"/>
      <c r="I375" s="44"/>
      <c r="J375" s="35"/>
    </row>
    <row r="376" spans="1:10">
      <c r="A376" s="31">
        <f>IFERROR(VALUE(IF(LEN(IFERROR(VALUE(MID(TRIM(SUBSTITUTE(SUBSTITUTE(MID(Общий!B376,SEARCH("Karcher",Общий!B376,1),19),".",""),"-","")),SEARCH("Karcher",TRIM(SUBSTITUTE(SUBSTITUTE(MID(Общий!B376,SEARCH("Karcher",Общий!B376,1),19),".",""),"-","")),1)+8,8)),VALUE(LEFT(SUBSTITUTE(SUBSTITUTE(Общий!B376,".",""),"-",""),8))))=7,CONCATENATE(IFERROR(VALUE(MID(TRIM(SUBSTITUTE(SUBSTITUTE(MID(Общий!B376,SEARCH("Karcher",Общий!B376,1),19),".",""),"-","")),SEARCH("Karcher",TRIM(SUBSTITUTE(SUBSTITUTE(MID(Общий!B376,SEARCH("Karcher",Общий!B376,1),19),".",""),"-","")),1)+8,8)),VALUE(LEFT(SUBSTITUTE(SUBSTITUTE(Общий!B376,".",""),"-",""),8))),"0"),IFERROR(VALUE(MID(TRIM(SUBSTITUTE(SUBSTITUTE(MID(Общий!B376,SEARCH("Karcher",Общий!B376,1),19),".",""),"-","")),SEARCH("Karcher",TRIM(SUBSTITUTE(SUBSTITUTE(MID(Общий!B376,SEARCH("Karcher",Общий!B376,1),19),".",""),"-","")),1)+8,8)),VALUE(LEFT(SUBSTITUTE(SUBSTITUTE(Общий!B376,".",""),"-",""),8))))),0)</f>
        <v>0</v>
      </c>
      <c r="B376" s="25">
        <f>IFERROR(CONCATENATE(VALUE(IF(LEN(IFERROR(VALUE(MID(TRIM(SUBSTITUTE(SUBSTITUTE(MID(Общий!B376,SEARCH("Karcher",Общий!B376,1),19),".",""),"-","")),SEARCH("Karcher",TRIM(SUBSTITUTE(SUBSTITUTE(MID(Общий!B376,SEARCH("Karcher",Общий!B376,1),19),".",""),"-","")),1)+8,8)),VALUE(LEFT(SUBSTITUTE(SUBSTITUTE(Общий!B376,".",""),"-",""),8))))=7,CONCATENATE(IFERROR(VALUE(MID(TRIM(SUBSTITUTE(SUBSTITUTE(MID(Общий!B376,SEARCH("Karcher",Общий!B376,1),19),".",""),"-","")),SEARCH("Karcher",TRIM(SUBSTITUTE(SUBSTITUTE(MID(Общий!B376,SEARCH("Karcher",Общий!B376,1),19),".",""),"-","")),1)+8,8)),VALUE(LEFT(SUBSTITUTE(SUBSTITUTE(Общий!B376,".",""),"-",""),8))),"0"),IFERROR(VALUE(MID(TRIM(SUBSTITUTE(SUBSTITUTE(MID(Общий!B376,SEARCH("Karcher",Общий!B376,1),19),".",""),"-","")),SEARCH("Karcher",TRIM(SUBSTITUTE(SUBSTITUTE(MID(Общий!B376,SEARCH("Karcher",Общий!B376,1),19),".",""),"-","")),1)+8,8)),VALUE(LEFT(SUBSTITUTE(SUBSTITUTE(Общий!B376,".",""),"-",""),8)))))," ",Общий!C376),0)</f>
        <v>0</v>
      </c>
      <c r="C376" s="29" t="str">
        <f>Общий!A376</f>
        <v>368</v>
      </c>
      <c r="D376" s="27">
        <f>Общий!B376</f>
        <v>0</v>
      </c>
      <c r="E376" s="28">
        <f>Общий!C376</f>
        <v>0</v>
      </c>
      <c r="G376" s="44"/>
      <c r="H376" s="44"/>
      <c r="I376" s="44"/>
      <c r="J376" s="35"/>
    </row>
    <row r="377" spans="1:10">
      <c r="A377" s="31">
        <f>IFERROR(VALUE(IF(LEN(IFERROR(VALUE(MID(TRIM(SUBSTITUTE(SUBSTITUTE(MID(Общий!B377,SEARCH("Karcher",Общий!B377,1),19),".",""),"-","")),SEARCH("Karcher",TRIM(SUBSTITUTE(SUBSTITUTE(MID(Общий!B377,SEARCH("Karcher",Общий!B377,1),19),".",""),"-","")),1)+8,8)),VALUE(LEFT(SUBSTITUTE(SUBSTITUTE(Общий!B377,".",""),"-",""),8))))=7,CONCATENATE(IFERROR(VALUE(MID(TRIM(SUBSTITUTE(SUBSTITUTE(MID(Общий!B377,SEARCH("Karcher",Общий!B377,1),19),".",""),"-","")),SEARCH("Karcher",TRIM(SUBSTITUTE(SUBSTITUTE(MID(Общий!B377,SEARCH("Karcher",Общий!B377,1),19),".",""),"-","")),1)+8,8)),VALUE(LEFT(SUBSTITUTE(SUBSTITUTE(Общий!B377,".",""),"-",""),8))),"0"),IFERROR(VALUE(MID(TRIM(SUBSTITUTE(SUBSTITUTE(MID(Общий!B377,SEARCH("Karcher",Общий!B377,1),19),".",""),"-","")),SEARCH("Karcher",TRIM(SUBSTITUTE(SUBSTITUTE(MID(Общий!B377,SEARCH("Karcher",Общий!B377,1),19),".",""),"-","")),1)+8,8)),VALUE(LEFT(SUBSTITUTE(SUBSTITUTE(Общий!B377,".",""),"-",""),8))))),0)</f>
        <v>0</v>
      </c>
      <c r="B377" s="25">
        <f>IFERROR(CONCATENATE(VALUE(IF(LEN(IFERROR(VALUE(MID(TRIM(SUBSTITUTE(SUBSTITUTE(MID(Общий!B377,SEARCH("Karcher",Общий!B377,1),19),".",""),"-","")),SEARCH("Karcher",TRIM(SUBSTITUTE(SUBSTITUTE(MID(Общий!B377,SEARCH("Karcher",Общий!B377,1),19),".",""),"-","")),1)+8,8)),VALUE(LEFT(SUBSTITUTE(SUBSTITUTE(Общий!B377,".",""),"-",""),8))))=7,CONCATENATE(IFERROR(VALUE(MID(TRIM(SUBSTITUTE(SUBSTITUTE(MID(Общий!B377,SEARCH("Karcher",Общий!B377,1),19),".",""),"-","")),SEARCH("Karcher",TRIM(SUBSTITUTE(SUBSTITUTE(MID(Общий!B377,SEARCH("Karcher",Общий!B377,1),19),".",""),"-","")),1)+8,8)),VALUE(LEFT(SUBSTITUTE(SUBSTITUTE(Общий!B377,".",""),"-",""),8))),"0"),IFERROR(VALUE(MID(TRIM(SUBSTITUTE(SUBSTITUTE(MID(Общий!B377,SEARCH("Karcher",Общий!B377,1),19),".",""),"-","")),SEARCH("Karcher",TRIM(SUBSTITUTE(SUBSTITUTE(MID(Общий!B377,SEARCH("Karcher",Общий!B377,1),19),".",""),"-","")),1)+8,8)),VALUE(LEFT(SUBSTITUTE(SUBSTITUTE(Общий!B377,".",""),"-",""),8)))))," ",Общий!C377),0)</f>
        <v>0</v>
      </c>
      <c r="C377" s="29" t="str">
        <f>Общий!A377</f>
        <v>369</v>
      </c>
      <c r="D377" s="27">
        <f>Общий!B377</f>
        <v>0</v>
      </c>
      <c r="E377" s="28">
        <f>Общий!C377</f>
        <v>0</v>
      </c>
      <c r="G377" s="44"/>
      <c r="H377" s="44"/>
      <c r="I377" s="44"/>
      <c r="J377" s="35"/>
    </row>
    <row r="378" spans="1:10">
      <c r="A378" s="31">
        <f>IFERROR(VALUE(IF(LEN(IFERROR(VALUE(MID(TRIM(SUBSTITUTE(SUBSTITUTE(MID(Общий!B378,SEARCH("Karcher",Общий!B378,1),19),".",""),"-","")),SEARCH("Karcher",TRIM(SUBSTITUTE(SUBSTITUTE(MID(Общий!B378,SEARCH("Karcher",Общий!B378,1),19),".",""),"-","")),1)+8,8)),VALUE(LEFT(SUBSTITUTE(SUBSTITUTE(Общий!B378,".",""),"-",""),8))))=7,CONCATENATE(IFERROR(VALUE(MID(TRIM(SUBSTITUTE(SUBSTITUTE(MID(Общий!B378,SEARCH("Karcher",Общий!B378,1),19),".",""),"-","")),SEARCH("Karcher",TRIM(SUBSTITUTE(SUBSTITUTE(MID(Общий!B378,SEARCH("Karcher",Общий!B378,1),19),".",""),"-","")),1)+8,8)),VALUE(LEFT(SUBSTITUTE(SUBSTITUTE(Общий!B378,".",""),"-",""),8))),"0"),IFERROR(VALUE(MID(TRIM(SUBSTITUTE(SUBSTITUTE(MID(Общий!B378,SEARCH("Karcher",Общий!B378,1),19),".",""),"-","")),SEARCH("Karcher",TRIM(SUBSTITUTE(SUBSTITUTE(MID(Общий!B378,SEARCH("Karcher",Общий!B378,1),19),".",""),"-","")),1)+8,8)),VALUE(LEFT(SUBSTITUTE(SUBSTITUTE(Общий!B378,".",""),"-",""),8))))),0)</f>
        <v>0</v>
      </c>
      <c r="B378" s="25">
        <f>IFERROR(CONCATENATE(VALUE(IF(LEN(IFERROR(VALUE(MID(TRIM(SUBSTITUTE(SUBSTITUTE(MID(Общий!B378,SEARCH("Karcher",Общий!B378,1),19),".",""),"-","")),SEARCH("Karcher",TRIM(SUBSTITUTE(SUBSTITUTE(MID(Общий!B378,SEARCH("Karcher",Общий!B378,1),19),".",""),"-","")),1)+8,8)),VALUE(LEFT(SUBSTITUTE(SUBSTITUTE(Общий!B378,".",""),"-",""),8))))=7,CONCATENATE(IFERROR(VALUE(MID(TRIM(SUBSTITUTE(SUBSTITUTE(MID(Общий!B378,SEARCH("Karcher",Общий!B378,1),19),".",""),"-","")),SEARCH("Karcher",TRIM(SUBSTITUTE(SUBSTITUTE(MID(Общий!B378,SEARCH("Karcher",Общий!B378,1),19),".",""),"-","")),1)+8,8)),VALUE(LEFT(SUBSTITUTE(SUBSTITUTE(Общий!B378,".",""),"-",""),8))),"0"),IFERROR(VALUE(MID(TRIM(SUBSTITUTE(SUBSTITUTE(MID(Общий!B378,SEARCH("Karcher",Общий!B378,1),19),".",""),"-","")),SEARCH("Karcher",TRIM(SUBSTITUTE(SUBSTITUTE(MID(Общий!B378,SEARCH("Karcher",Общий!B378,1),19),".",""),"-","")),1)+8,8)),VALUE(LEFT(SUBSTITUTE(SUBSTITUTE(Общий!B378,".",""),"-",""),8)))))," ",Общий!C378),0)</f>
        <v>0</v>
      </c>
      <c r="C378" s="29" t="str">
        <f>Общий!A378</f>
        <v>370</v>
      </c>
      <c r="D378" s="27">
        <f>Общий!B378</f>
        <v>0</v>
      </c>
      <c r="E378" s="28">
        <f>Общий!C378</f>
        <v>0</v>
      </c>
      <c r="G378" s="44"/>
      <c r="H378" s="44"/>
      <c r="I378" s="44"/>
      <c r="J378" s="35"/>
    </row>
    <row r="379" spans="1:10">
      <c r="A379" s="31">
        <f>IFERROR(VALUE(IF(LEN(IFERROR(VALUE(MID(TRIM(SUBSTITUTE(SUBSTITUTE(MID(Общий!B379,SEARCH("Karcher",Общий!B379,1),19),".",""),"-","")),SEARCH("Karcher",TRIM(SUBSTITUTE(SUBSTITUTE(MID(Общий!B379,SEARCH("Karcher",Общий!B379,1),19),".",""),"-","")),1)+8,8)),VALUE(LEFT(SUBSTITUTE(SUBSTITUTE(Общий!B379,".",""),"-",""),8))))=7,CONCATENATE(IFERROR(VALUE(MID(TRIM(SUBSTITUTE(SUBSTITUTE(MID(Общий!B379,SEARCH("Karcher",Общий!B379,1),19),".",""),"-","")),SEARCH("Karcher",TRIM(SUBSTITUTE(SUBSTITUTE(MID(Общий!B379,SEARCH("Karcher",Общий!B379,1),19),".",""),"-","")),1)+8,8)),VALUE(LEFT(SUBSTITUTE(SUBSTITUTE(Общий!B379,".",""),"-",""),8))),"0"),IFERROR(VALUE(MID(TRIM(SUBSTITUTE(SUBSTITUTE(MID(Общий!B379,SEARCH("Karcher",Общий!B379,1),19),".",""),"-","")),SEARCH("Karcher",TRIM(SUBSTITUTE(SUBSTITUTE(MID(Общий!B379,SEARCH("Karcher",Общий!B379,1),19),".",""),"-","")),1)+8,8)),VALUE(LEFT(SUBSTITUTE(SUBSTITUTE(Общий!B379,".",""),"-",""),8))))),0)</f>
        <v>0</v>
      </c>
      <c r="B379" s="25">
        <f>IFERROR(CONCATENATE(VALUE(IF(LEN(IFERROR(VALUE(MID(TRIM(SUBSTITUTE(SUBSTITUTE(MID(Общий!B379,SEARCH("Karcher",Общий!B379,1),19),".",""),"-","")),SEARCH("Karcher",TRIM(SUBSTITUTE(SUBSTITUTE(MID(Общий!B379,SEARCH("Karcher",Общий!B379,1),19),".",""),"-","")),1)+8,8)),VALUE(LEFT(SUBSTITUTE(SUBSTITUTE(Общий!B379,".",""),"-",""),8))))=7,CONCATENATE(IFERROR(VALUE(MID(TRIM(SUBSTITUTE(SUBSTITUTE(MID(Общий!B379,SEARCH("Karcher",Общий!B379,1),19),".",""),"-","")),SEARCH("Karcher",TRIM(SUBSTITUTE(SUBSTITUTE(MID(Общий!B379,SEARCH("Karcher",Общий!B379,1),19),".",""),"-","")),1)+8,8)),VALUE(LEFT(SUBSTITUTE(SUBSTITUTE(Общий!B379,".",""),"-",""),8))),"0"),IFERROR(VALUE(MID(TRIM(SUBSTITUTE(SUBSTITUTE(MID(Общий!B379,SEARCH("Karcher",Общий!B379,1),19),".",""),"-","")),SEARCH("Karcher",TRIM(SUBSTITUTE(SUBSTITUTE(MID(Общий!B379,SEARCH("Karcher",Общий!B379,1),19),".",""),"-","")),1)+8,8)),VALUE(LEFT(SUBSTITUTE(SUBSTITUTE(Общий!B379,".",""),"-",""),8)))))," ",Общий!C379),0)</f>
        <v>0</v>
      </c>
      <c r="C379" s="29" t="str">
        <f>Общий!A379</f>
        <v>371</v>
      </c>
      <c r="D379" s="27">
        <f>Общий!B379</f>
        <v>0</v>
      </c>
      <c r="E379" s="28">
        <f>Общий!C379</f>
        <v>0</v>
      </c>
      <c r="G379" s="44"/>
      <c r="H379" s="44"/>
      <c r="I379" s="44"/>
      <c r="J379" s="35"/>
    </row>
    <row r="380" spans="1:10">
      <c r="A380" s="31">
        <f>IFERROR(VALUE(IF(LEN(IFERROR(VALUE(MID(TRIM(SUBSTITUTE(SUBSTITUTE(MID(Общий!B380,SEARCH("Karcher",Общий!B380,1),19),".",""),"-","")),SEARCH("Karcher",TRIM(SUBSTITUTE(SUBSTITUTE(MID(Общий!B380,SEARCH("Karcher",Общий!B380,1),19),".",""),"-","")),1)+8,8)),VALUE(LEFT(SUBSTITUTE(SUBSTITUTE(Общий!B380,".",""),"-",""),8))))=7,CONCATENATE(IFERROR(VALUE(MID(TRIM(SUBSTITUTE(SUBSTITUTE(MID(Общий!B380,SEARCH("Karcher",Общий!B380,1),19),".",""),"-","")),SEARCH("Karcher",TRIM(SUBSTITUTE(SUBSTITUTE(MID(Общий!B380,SEARCH("Karcher",Общий!B380,1),19),".",""),"-","")),1)+8,8)),VALUE(LEFT(SUBSTITUTE(SUBSTITUTE(Общий!B380,".",""),"-",""),8))),"0"),IFERROR(VALUE(MID(TRIM(SUBSTITUTE(SUBSTITUTE(MID(Общий!B380,SEARCH("Karcher",Общий!B380,1),19),".",""),"-","")),SEARCH("Karcher",TRIM(SUBSTITUTE(SUBSTITUTE(MID(Общий!B380,SEARCH("Karcher",Общий!B380,1),19),".",""),"-","")),1)+8,8)),VALUE(LEFT(SUBSTITUTE(SUBSTITUTE(Общий!B380,".",""),"-",""),8))))),0)</f>
        <v>0</v>
      </c>
      <c r="B380" s="25">
        <f>IFERROR(CONCATENATE(VALUE(IF(LEN(IFERROR(VALUE(MID(TRIM(SUBSTITUTE(SUBSTITUTE(MID(Общий!B380,SEARCH("Karcher",Общий!B380,1),19),".",""),"-","")),SEARCH("Karcher",TRIM(SUBSTITUTE(SUBSTITUTE(MID(Общий!B380,SEARCH("Karcher",Общий!B380,1),19),".",""),"-","")),1)+8,8)),VALUE(LEFT(SUBSTITUTE(SUBSTITUTE(Общий!B380,".",""),"-",""),8))))=7,CONCATENATE(IFERROR(VALUE(MID(TRIM(SUBSTITUTE(SUBSTITUTE(MID(Общий!B380,SEARCH("Karcher",Общий!B380,1),19),".",""),"-","")),SEARCH("Karcher",TRIM(SUBSTITUTE(SUBSTITUTE(MID(Общий!B380,SEARCH("Karcher",Общий!B380,1),19),".",""),"-","")),1)+8,8)),VALUE(LEFT(SUBSTITUTE(SUBSTITUTE(Общий!B380,".",""),"-",""),8))),"0"),IFERROR(VALUE(MID(TRIM(SUBSTITUTE(SUBSTITUTE(MID(Общий!B380,SEARCH("Karcher",Общий!B380,1),19),".",""),"-","")),SEARCH("Karcher",TRIM(SUBSTITUTE(SUBSTITUTE(MID(Общий!B380,SEARCH("Karcher",Общий!B380,1),19),".",""),"-","")),1)+8,8)),VALUE(LEFT(SUBSTITUTE(SUBSTITUTE(Общий!B380,".",""),"-",""),8)))))," ",Общий!C380),0)</f>
        <v>0</v>
      </c>
      <c r="C380" s="29" t="str">
        <f>Общий!A380</f>
        <v>372</v>
      </c>
      <c r="D380" s="27">
        <f>Общий!B380</f>
        <v>0</v>
      </c>
      <c r="E380" s="28">
        <f>Общий!C380</f>
        <v>0</v>
      </c>
      <c r="G380" s="44"/>
      <c r="H380" s="44"/>
      <c r="I380" s="44"/>
      <c r="J380" s="35"/>
    </row>
    <row r="381" spans="1:10">
      <c r="A381" s="31">
        <f>IFERROR(VALUE(IF(LEN(IFERROR(VALUE(MID(TRIM(SUBSTITUTE(SUBSTITUTE(MID(Общий!B381,SEARCH("Karcher",Общий!B381,1),19),".",""),"-","")),SEARCH("Karcher",TRIM(SUBSTITUTE(SUBSTITUTE(MID(Общий!B381,SEARCH("Karcher",Общий!B381,1),19),".",""),"-","")),1)+8,8)),VALUE(LEFT(SUBSTITUTE(SUBSTITUTE(Общий!B381,".",""),"-",""),8))))=7,CONCATENATE(IFERROR(VALUE(MID(TRIM(SUBSTITUTE(SUBSTITUTE(MID(Общий!B381,SEARCH("Karcher",Общий!B381,1),19),".",""),"-","")),SEARCH("Karcher",TRIM(SUBSTITUTE(SUBSTITUTE(MID(Общий!B381,SEARCH("Karcher",Общий!B381,1),19),".",""),"-","")),1)+8,8)),VALUE(LEFT(SUBSTITUTE(SUBSTITUTE(Общий!B381,".",""),"-",""),8))),"0"),IFERROR(VALUE(MID(TRIM(SUBSTITUTE(SUBSTITUTE(MID(Общий!B381,SEARCH("Karcher",Общий!B381,1),19),".",""),"-","")),SEARCH("Karcher",TRIM(SUBSTITUTE(SUBSTITUTE(MID(Общий!B381,SEARCH("Karcher",Общий!B381,1),19),".",""),"-","")),1)+8,8)),VALUE(LEFT(SUBSTITUTE(SUBSTITUTE(Общий!B381,".",""),"-",""),8))))),0)</f>
        <v>0</v>
      </c>
      <c r="B381" s="25">
        <f>IFERROR(CONCATENATE(VALUE(IF(LEN(IFERROR(VALUE(MID(TRIM(SUBSTITUTE(SUBSTITUTE(MID(Общий!B381,SEARCH("Karcher",Общий!B381,1),19),".",""),"-","")),SEARCH("Karcher",TRIM(SUBSTITUTE(SUBSTITUTE(MID(Общий!B381,SEARCH("Karcher",Общий!B381,1),19),".",""),"-","")),1)+8,8)),VALUE(LEFT(SUBSTITUTE(SUBSTITUTE(Общий!B381,".",""),"-",""),8))))=7,CONCATENATE(IFERROR(VALUE(MID(TRIM(SUBSTITUTE(SUBSTITUTE(MID(Общий!B381,SEARCH("Karcher",Общий!B381,1),19),".",""),"-","")),SEARCH("Karcher",TRIM(SUBSTITUTE(SUBSTITUTE(MID(Общий!B381,SEARCH("Karcher",Общий!B381,1),19),".",""),"-","")),1)+8,8)),VALUE(LEFT(SUBSTITUTE(SUBSTITUTE(Общий!B381,".",""),"-",""),8))),"0"),IFERROR(VALUE(MID(TRIM(SUBSTITUTE(SUBSTITUTE(MID(Общий!B381,SEARCH("Karcher",Общий!B381,1),19),".",""),"-","")),SEARCH("Karcher",TRIM(SUBSTITUTE(SUBSTITUTE(MID(Общий!B381,SEARCH("Karcher",Общий!B381,1),19),".",""),"-","")),1)+8,8)),VALUE(LEFT(SUBSTITUTE(SUBSTITUTE(Общий!B381,".",""),"-",""),8)))))," ",Общий!C381),0)</f>
        <v>0</v>
      </c>
      <c r="C381" s="29" t="str">
        <f>Общий!A381</f>
        <v>373</v>
      </c>
      <c r="D381" s="27">
        <f>Общий!B381</f>
        <v>0</v>
      </c>
      <c r="E381" s="28">
        <f>Общий!C381</f>
        <v>0</v>
      </c>
      <c r="G381" s="44"/>
      <c r="H381" s="44"/>
      <c r="I381" s="44"/>
      <c r="J381" s="35"/>
    </row>
    <row r="382" spans="1:10">
      <c r="A382" s="31">
        <f>IFERROR(VALUE(IF(LEN(IFERROR(VALUE(MID(TRIM(SUBSTITUTE(SUBSTITUTE(MID(Общий!B382,SEARCH("Karcher",Общий!B382,1),19),".",""),"-","")),SEARCH("Karcher",TRIM(SUBSTITUTE(SUBSTITUTE(MID(Общий!B382,SEARCH("Karcher",Общий!B382,1),19),".",""),"-","")),1)+8,8)),VALUE(LEFT(SUBSTITUTE(SUBSTITUTE(Общий!B382,".",""),"-",""),8))))=7,CONCATENATE(IFERROR(VALUE(MID(TRIM(SUBSTITUTE(SUBSTITUTE(MID(Общий!B382,SEARCH("Karcher",Общий!B382,1),19),".",""),"-","")),SEARCH("Karcher",TRIM(SUBSTITUTE(SUBSTITUTE(MID(Общий!B382,SEARCH("Karcher",Общий!B382,1),19),".",""),"-","")),1)+8,8)),VALUE(LEFT(SUBSTITUTE(SUBSTITUTE(Общий!B382,".",""),"-",""),8))),"0"),IFERROR(VALUE(MID(TRIM(SUBSTITUTE(SUBSTITUTE(MID(Общий!B382,SEARCH("Karcher",Общий!B382,1),19),".",""),"-","")),SEARCH("Karcher",TRIM(SUBSTITUTE(SUBSTITUTE(MID(Общий!B382,SEARCH("Karcher",Общий!B382,1),19),".",""),"-","")),1)+8,8)),VALUE(LEFT(SUBSTITUTE(SUBSTITUTE(Общий!B382,".",""),"-",""),8))))),0)</f>
        <v>0</v>
      </c>
      <c r="B382" s="25">
        <f>IFERROR(CONCATENATE(VALUE(IF(LEN(IFERROR(VALUE(MID(TRIM(SUBSTITUTE(SUBSTITUTE(MID(Общий!B382,SEARCH("Karcher",Общий!B382,1),19),".",""),"-","")),SEARCH("Karcher",TRIM(SUBSTITUTE(SUBSTITUTE(MID(Общий!B382,SEARCH("Karcher",Общий!B382,1),19),".",""),"-","")),1)+8,8)),VALUE(LEFT(SUBSTITUTE(SUBSTITUTE(Общий!B382,".",""),"-",""),8))))=7,CONCATENATE(IFERROR(VALUE(MID(TRIM(SUBSTITUTE(SUBSTITUTE(MID(Общий!B382,SEARCH("Karcher",Общий!B382,1),19),".",""),"-","")),SEARCH("Karcher",TRIM(SUBSTITUTE(SUBSTITUTE(MID(Общий!B382,SEARCH("Karcher",Общий!B382,1),19),".",""),"-","")),1)+8,8)),VALUE(LEFT(SUBSTITUTE(SUBSTITUTE(Общий!B382,".",""),"-",""),8))),"0"),IFERROR(VALUE(MID(TRIM(SUBSTITUTE(SUBSTITUTE(MID(Общий!B382,SEARCH("Karcher",Общий!B382,1),19),".",""),"-","")),SEARCH("Karcher",TRIM(SUBSTITUTE(SUBSTITUTE(MID(Общий!B382,SEARCH("Karcher",Общий!B382,1),19),".",""),"-","")),1)+8,8)),VALUE(LEFT(SUBSTITUTE(SUBSTITUTE(Общий!B382,".",""),"-",""),8)))))," ",Общий!C382),0)</f>
        <v>0</v>
      </c>
      <c r="C382" s="29" t="str">
        <f>Общий!A382</f>
        <v>374</v>
      </c>
      <c r="D382" s="27">
        <f>Общий!B382</f>
        <v>0</v>
      </c>
      <c r="E382" s="28">
        <f>Общий!C382</f>
        <v>0</v>
      </c>
      <c r="G382" s="44"/>
      <c r="H382" s="44"/>
      <c r="I382" s="44"/>
      <c r="J382" s="35"/>
    </row>
    <row r="383" spans="1:10">
      <c r="A383" s="31">
        <f>IFERROR(VALUE(IF(LEN(IFERROR(VALUE(MID(TRIM(SUBSTITUTE(SUBSTITUTE(MID(Общий!B383,SEARCH("Karcher",Общий!B383,1),19),".",""),"-","")),SEARCH("Karcher",TRIM(SUBSTITUTE(SUBSTITUTE(MID(Общий!B383,SEARCH("Karcher",Общий!B383,1),19),".",""),"-","")),1)+8,8)),VALUE(LEFT(SUBSTITUTE(SUBSTITUTE(Общий!B383,".",""),"-",""),8))))=7,CONCATENATE(IFERROR(VALUE(MID(TRIM(SUBSTITUTE(SUBSTITUTE(MID(Общий!B383,SEARCH("Karcher",Общий!B383,1),19),".",""),"-","")),SEARCH("Karcher",TRIM(SUBSTITUTE(SUBSTITUTE(MID(Общий!B383,SEARCH("Karcher",Общий!B383,1),19),".",""),"-","")),1)+8,8)),VALUE(LEFT(SUBSTITUTE(SUBSTITUTE(Общий!B383,".",""),"-",""),8))),"0"),IFERROR(VALUE(MID(TRIM(SUBSTITUTE(SUBSTITUTE(MID(Общий!B383,SEARCH("Karcher",Общий!B383,1),19),".",""),"-","")),SEARCH("Karcher",TRIM(SUBSTITUTE(SUBSTITUTE(MID(Общий!B383,SEARCH("Karcher",Общий!B383,1),19),".",""),"-","")),1)+8,8)),VALUE(LEFT(SUBSTITUTE(SUBSTITUTE(Общий!B383,".",""),"-",""),8))))),0)</f>
        <v>0</v>
      </c>
      <c r="B383" s="25">
        <f>IFERROR(CONCATENATE(VALUE(IF(LEN(IFERROR(VALUE(MID(TRIM(SUBSTITUTE(SUBSTITUTE(MID(Общий!B383,SEARCH("Karcher",Общий!B383,1),19),".",""),"-","")),SEARCH("Karcher",TRIM(SUBSTITUTE(SUBSTITUTE(MID(Общий!B383,SEARCH("Karcher",Общий!B383,1),19),".",""),"-","")),1)+8,8)),VALUE(LEFT(SUBSTITUTE(SUBSTITUTE(Общий!B383,".",""),"-",""),8))))=7,CONCATENATE(IFERROR(VALUE(MID(TRIM(SUBSTITUTE(SUBSTITUTE(MID(Общий!B383,SEARCH("Karcher",Общий!B383,1),19),".",""),"-","")),SEARCH("Karcher",TRIM(SUBSTITUTE(SUBSTITUTE(MID(Общий!B383,SEARCH("Karcher",Общий!B383,1),19),".",""),"-","")),1)+8,8)),VALUE(LEFT(SUBSTITUTE(SUBSTITUTE(Общий!B383,".",""),"-",""),8))),"0"),IFERROR(VALUE(MID(TRIM(SUBSTITUTE(SUBSTITUTE(MID(Общий!B383,SEARCH("Karcher",Общий!B383,1),19),".",""),"-","")),SEARCH("Karcher",TRIM(SUBSTITUTE(SUBSTITUTE(MID(Общий!B383,SEARCH("Karcher",Общий!B383,1),19),".",""),"-","")),1)+8,8)),VALUE(LEFT(SUBSTITUTE(SUBSTITUTE(Общий!B383,".",""),"-",""),8)))))," ",Общий!C383),0)</f>
        <v>0</v>
      </c>
      <c r="C383" s="29" t="str">
        <f>Общий!A383</f>
        <v>375</v>
      </c>
      <c r="D383" s="27">
        <f>Общий!B383</f>
        <v>0</v>
      </c>
      <c r="E383" s="28">
        <f>Общий!C383</f>
        <v>0</v>
      </c>
      <c r="G383" s="44"/>
      <c r="H383" s="44"/>
      <c r="I383" s="44"/>
      <c r="J383" s="35"/>
    </row>
    <row r="384" spans="1:10">
      <c r="A384" s="31">
        <f>IFERROR(VALUE(IF(LEN(IFERROR(VALUE(MID(TRIM(SUBSTITUTE(SUBSTITUTE(MID(Общий!B384,SEARCH("Karcher",Общий!B384,1),19),".",""),"-","")),SEARCH("Karcher",TRIM(SUBSTITUTE(SUBSTITUTE(MID(Общий!B384,SEARCH("Karcher",Общий!B384,1),19),".",""),"-","")),1)+8,8)),VALUE(LEFT(SUBSTITUTE(SUBSTITUTE(Общий!B384,".",""),"-",""),8))))=7,CONCATENATE(IFERROR(VALUE(MID(TRIM(SUBSTITUTE(SUBSTITUTE(MID(Общий!B384,SEARCH("Karcher",Общий!B384,1),19),".",""),"-","")),SEARCH("Karcher",TRIM(SUBSTITUTE(SUBSTITUTE(MID(Общий!B384,SEARCH("Karcher",Общий!B384,1),19),".",""),"-","")),1)+8,8)),VALUE(LEFT(SUBSTITUTE(SUBSTITUTE(Общий!B384,".",""),"-",""),8))),"0"),IFERROR(VALUE(MID(TRIM(SUBSTITUTE(SUBSTITUTE(MID(Общий!B384,SEARCH("Karcher",Общий!B384,1),19),".",""),"-","")),SEARCH("Karcher",TRIM(SUBSTITUTE(SUBSTITUTE(MID(Общий!B384,SEARCH("Karcher",Общий!B384,1),19),".",""),"-","")),1)+8,8)),VALUE(LEFT(SUBSTITUTE(SUBSTITUTE(Общий!B384,".",""),"-",""),8))))),0)</f>
        <v>0</v>
      </c>
      <c r="B384" s="25">
        <f>IFERROR(CONCATENATE(VALUE(IF(LEN(IFERROR(VALUE(MID(TRIM(SUBSTITUTE(SUBSTITUTE(MID(Общий!B384,SEARCH("Karcher",Общий!B384,1),19),".",""),"-","")),SEARCH("Karcher",TRIM(SUBSTITUTE(SUBSTITUTE(MID(Общий!B384,SEARCH("Karcher",Общий!B384,1),19),".",""),"-","")),1)+8,8)),VALUE(LEFT(SUBSTITUTE(SUBSTITUTE(Общий!B384,".",""),"-",""),8))))=7,CONCATENATE(IFERROR(VALUE(MID(TRIM(SUBSTITUTE(SUBSTITUTE(MID(Общий!B384,SEARCH("Karcher",Общий!B384,1),19),".",""),"-","")),SEARCH("Karcher",TRIM(SUBSTITUTE(SUBSTITUTE(MID(Общий!B384,SEARCH("Karcher",Общий!B384,1),19),".",""),"-","")),1)+8,8)),VALUE(LEFT(SUBSTITUTE(SUBSTITUTE(Общий!B384,".",""),"-",""),8))),"0"),IFERROR(VALUE(MID(TRIM(SUBSTITUTE(SUBSTITUTE(MID(Общий!B384,SEARCH("Karcher",Общий!B384,1),19),".",""),"-","")),SEARCH("Karcher",TRIM(SUBSTITUTE(SUBSTITUTE(MID(Общий!B384,SEARCH("Karcher",Общий!B384,1),19),".",""),"-","")),1)+8,8)),VALUE(LEFT(SUBSTITUTE(SUBSTITUTE(Общий!B384,".",""),"-",""),8)))))," ",Общий!C384),0)</f>
        <v>0</v>
      </c>
      <c r="C384" s="29" t="str">
        <f>Общий!A384</f>
        <v>376</v>
      </c>
      <c r="D384" s="27">
        <f>Общий!B384</f>
        <v>0</v>
      </c>
      <c r="E384" s="28">
        <f>Общий!C384</f>
        <v>0</v>
      </c>
      <c r="G384" s="44"/>
      <c r="H384" s="44"/>
      <c r="I384" s="44"/>
      <c r="J384" s="35"/>
    </row>
    <row r="385" spans="1:10">
      <c r="A385" s="31">
        <f>IFERROR(VALUE(IF(LEN(IFERROR(VALUE(MID(TRIM(SUBSTITUTE(SUBSTITUTE(MID(Общий!B385,SEARCH("Karcher",Общий!B385,1),19),".",""),"-","")),SEARCH("Karcher",TRIM(SUBSTITUTE(SUBSTITUTE(MID(Общий!B385,SEARCH("Karcher",Общий!B385,1),19),".",""),"-","")),1)+8,8)),VALUE(LEFT(SUBSTITUTE(SUBSTITUTE(Общий!B385,".",""),"-",""),8))))=7,CONCATENATE(IFERROR(VALUE(MID(TRIM(SUBSTITUTE(SUBSTITUTE(MID(Общий!B385,SEARCH("Karcher",Общий!B385,1),19),".",""),"-","")),SEARCH("Karcher",TRIM(SUBSTITUTE(SUBSTITUTE(MID(Общий!B385,SEARCH("Karcher",Общий!B385,1),19),".",""),"-","")),1)+8,8)),VALUE(LEFT(SUBSTITUTE(SUBSTITUTE(Общий!B385,".",""),"-",""),8))),"0"),IFERROR(VALUE(MID(TRIM(SUBSTITUTE(SUBSTITUTE(MID(Общий!B385,SEARCH("Karcher",Общий!B385,1),19),".",""),"-","")),SEARCH("Karcher",TRIM(SUBSTITUTE(SUBSTITUTE(MID(Общий!B385,SEARCH("Karcher",Общий!B385,1),19),".",""),"-","")),1)+8,8)),VALUE(LEFT(SUBSTITUTE(SUBSTITUTE(Общий!B385,".",""),"-",""),8))))),0)</f>
        <v>0</v>
      </c>
      <c r="B385" s="25">
        <f>IFERROR(CONCATENATE(VALUE(IF(LEN(IFERROR(VALUE(MID(TRIM(SUBSTITUTE(SUBSTITUTE(MID(Общий!B385,SEARCH("Karcher",Общий!B385,1),19),".",""),"-","")),SEARCH("Karcher",TRIM(SUBSTITUTE(SUBSTITUTE(MID(Общий!B385,SEARCH("Karcher",Общий!B385,1),19),".",""),"-","")),1)+8,8)),VALUE(LEFT(SUBSTITUTE(SUBSTITUTE(Общий!B385,".",""),"-",""),8))))=7,CONCATENATE(IFERROR(VALUE(MID(TRIM(SUBSTITUTE(SUBSTITUTE(MID(Общий!B385,SEARCH("Karcher",Общий!B385,1),19),".",""),"-","")),SEARCH("Karcher",TRIM(SUBSTITUTE(SUBSTITUTE(MID(Общий!B385,SEARCH("Karcher",Общий!B385,1),19),".",""),"-","")),1)+8,8)),VALUE(LEFT(SUBSTITUTE(SUBSTITUTE(Общий!B385,".",""),"-",""),8))),"0"),IFERROR(VALUE(MID(TRIM(SUBSTITUTE(SUBSTITUTE(MID(Общий!B385,SEARCH("Karcher",Общий!B385,1),19),".",""),"-","")),SEARCH("Karcher",TRIM(SUBSTITUTE(SUBSTITUTE(MID(Общий!B385,SEARCH("Karcher",Общий!B385,1),19),".",""),"-","")),1)+8,8)),VALUE(LEFT(SUBSTITUTE(SUBSTITUTE(Общий!B385,".",""),"-",""),8)))))," ",Общий!C385),0)</f>
        <v>0</v>
      </c>
      <c r="C385" s="29" t="str">
        <f>Общий!A385</f>
        <v>377</v>
      </c>
      <c r="D385" s="27">
        <f>Общий!B385</f>
        <v>0</v>
      </c>
      <c r="E385" s="28">
        <f>Общий!C385</f>
        <v>0</v>
      </c>
      <c r="G385" s="44"/>
      <c r="H385" s="44"/>
      <c r="I385" s="44"/>
      <c r="J385" s="35"/>
    </row>
    <row r="386" spans="1:10">
      <c r="A386" s="31">
        <f>IFERROR(VALUE(IF(LEN(IFERROR(VALUE(MID(TRIM(SUBSTITUTE(SUBSTITUTE(MID(Общий!B386,SEARCH("Karcher",Общий!B386,1),19),".",""),"-","")),SEARCH("Karcher",TRIM(SUBSTITUTE(SUBSTITUTE(MID(Общий!B386,SEARCH("Karcher",Общий!B386,1),19),".",""),"-","")),1)+8,8)),VALUE(LEFT(SUBSTITUTE(SUBSTITUTE(Общий!B386,".",""),"-",""),8))))=7,CONCATENATE(IFERROR(VALUE(MID(TRIM(SUBSTITUTE(SUBSTITUTE(MID(Общий!B386,SEARCH("Karcher",Общий!B386,1),19),".",""),"-","")),SEARCH("Karcher",TRIM(SUBSTITUTE(SUBSTITUTE(MID(Общий!B386,SEARCH("Karcher",Общий!B386,1),19),".",""),"-","")),1)+8,8)),VALUE(LEFT(SUBSTITUTE(SUBSTITUTE(Общий!B386,".",""),"-",""),8))),"0"),IFERROR(VALUE(MID(TRIM(SUBSTITUTE(SUBSTITUTE(MID(Общий!B386,SEARCH("Karcher",Общий!B386,1),19),".",""),"-","")),SEARCH("Karcher",TRIM(SUBSTITUTE(SUBSTITUTE(MID(Общий!B386,SEARCH("Karcher",Общий!B386,1),19),".",""),"-","")),1)+8,8)),VALUE(LEFT(SUBSTITUTE(SUBSTITUTE(Общий!B386,".",""),"-",""),8))))),0)</f>
        <v>0</v>
      </c>
      <c r="B386" s="25">
        <f>IFERROR(CONCATENATE(VALUE(IF(LEN(IFERROR(VALUE(MID(TRIM(SUBSTITUTE(SUBSTITUTE(MID(Общий!B386,SEARCH("Karcher",Общий!B386,1),19),".",""),"-","")),SEARCH("Karcher",TRIM(SUBSTITUTE(SUBSTITUTE(MID(Общий!B386,SEARCH("Karcher",Общий!B386,1),19),".",""),"-","")),1)+8,8)),VALUE(LEFT(SUBSTITUTE(SUBSTITUTE(Общий!B386,".",""),"-",""),8))))=7,CONCATENATE(IFERROR(VALUE(MID(TRIM(SUBSTITUTE(SUBSTITUTE(MID(Общий!B386,SEARCH("Karcher",Общий!B386,1),19),".",""),"-","")),SEARCH("Karcher",TRIM(SUBSTITUTE(SUBSTITUTE(MID(Общий!B386,SEARCH("Karcher",Общий!B386,1),19),".",""),"-","")),1)+8,8)),VALUE(LEFT(SUBSTITUTE(SUBSTITUTE(Общий!B386,".",""),"-",""),8))),"0"),IFERROR(VALUE(MID(TRIM(SUBSTITUTE(SUBSTITUTE(MID(Общий!B386,SEARCH("Karcher",Общий!B386,1),19),".",""),"-","")),SEARCH("Karcher",TRIM(SUBSTITUTE(SUBSTITUTE(MID(Общий!B386,SEARCH("Karcher",Общий!B386,1),19),".",""),"-","")),1)+8,8)),VALUE(LEFT(SUBSTITUTE(SUBSTITUTE(Общий!B386,".",""),"-",""),8)))))," ",Общий!C386),0)</f>
        <v>0</v>
      </c>
      <c r="C386" s="29" t="str">
        <f>Общий!A386</f>
        <v>378</v>
      </c>
      <c r="D386" s="27">
        <f>Общий!B386</f>
        <v>0</v>
      </c>
      <c r="E386" s="28">
        <f>Общий!C386</f>
        <v>0</v>
      </c>
      <c r="G386" s="44"/>
      <c r="H386" s="44"/>
      <c r="I386" s="44"/>
      <c r="J386" s="35"/>
    </row>
    <row r="387" spans="1:10">
      <c r="A387" s="31">
        <f>IFERROR(VALUE(IF(LEN(IFERROR(VALUE(MID(TRIM(SUBSTITUTE(SUBSTITUTE(MID(Общий!B387,SEARCH("Karcher",Общий!B387,1),19),".",""),"-","")),SEARCH("Karcher",TRIM(SUBSTITUTE(SUBSTITUTE(MID(Общий!B387,SEARCH("Karcher",Общий!B387,1),19),".",""),"-","")),1)+8,8)),VALUE(LEFT(SUBSTITUTE(SUBSTITUTE(Общий!B387,".",""),"-",""),8))))=7,CONCATENATE(IFERROR(VALUE(MID(TRIM(SUBSTITUTE(SUBSTITUTE(MID(Общий!B387,SEARCH("Karcher",Общий!B387,1),19),".",""),"-","")),SEARCH("Karcher",TRIM(SUBSTITUTE(SUBSTITUTE(MID(Общий!B387,SEARCH("Karcher",Общий!B387,1),19),".",""),"-","")),1)+8,8)),VALUE(LEFT(SUBSTITUTE(SUBSTITUTE(Общий!B387,".",""),"-",""),8))),"0"),IFERROR(VALUE(MID(TRIM(SUBSTITUTE(SUBSTITUTE(MID(Общий!B387,SEARCH("Karcher",Общий!B387,1),19),".",""),"-","")),SEARCH("Karcher",TRIM(SUBSTITUTE(SUBSTITUTE(MID(Общий!B387,SEARCH("Karcher",Общий!B387,1),19),".",""),"-","")),1)+8,8)),VALUE(LEFT(SUBSTITUTE(SUBSTITUTE(Общий!B387,".",""),"-",""),8))))),0)</f>
        <v>0</v>
      </c>
      <c r="B387" s="25">
        <f>IFERROR(CONCATENATE(VALUE(IF(LEN(IFERROR(VALUE(MID(TRIM(SUBSTITUTE(SUBSTITUTE(MID(Общий!B387,SEARCH("Karcher",Общий!B387,1),19),".",""),"-","")),SEARCH("Karcher",TRIM(SUBSTITUTE(SUBSTITUTE(MID(Общий!B387,SEARCH("Karcher",Общий!B387,1),19),".",""),"-","")),1)+8,8)),VALUE(LEFT(SUBSTITUTE(SUBSTITUTE(Общий!B387,".",""),"-",""),8))))=7,CONCATENATE(IFERROR(VALUE(MID(TRIM(SUBSTITUTE(SUBSTITUTE(MID(Общий!B387,SEARCH("Karcher",Общий!B387,1),19),".",""),"-","")),SEARCH("Karcher",TRIM(SUBSTITUTE(SUBSTITUTE(MID(Общий!B387,SEARCH("Karcher",Общий!B387,1),19),".",""),"-","")),1)+8,8)),VALUE(LEFT(SUBSTITUTE(SUBSTITUTE(Общий!B387,".",""),"-",""),8))),"0"),IFERROR(VALUE(MID(TRIM(SUBSTITUTE(SUBSTITUTE(MID(Общий!B387,SEARCH("Karcher",Общий!B387,1),19),".",""),"-","")),SEARCH("Karcher",TRIM(SUBSTITUTE(SUBSTITUTE(MID(Общий!B387,SEARCH("Karcher",Общий!B387,1),19),".",""),"-","")),1)+8,8)),VALUE(LEFT(SUBSTITUTE(SUBSTITUTE(Общий!B387,".",""),"-",""),8)))))," ",Общий!C387),0)</f>
        <v>0</v>
      </c>
      <c r="C387" s="29" t="str">
        <f>Общий!A387</f>
        <v>379</v>
      </c>
      <c r="D387" s="27">
        <f>Общий!B387</f>
        <v>0</v>
      </c>
      <c r="E387" s="28">
        <f>Общий!C387</f>
        <v>0</v>
      </c>
      <c r="G387" s="44"/>
      <c r="H387" s="44"/>
      <c r="I387" s="44"/>
      <c r="J387" s="35"/>
    </row>
    <row r="388" spans="1:10">
      <c r="A388" s="31">
        <f>IFERROR(VALUE(IF(LEN(IFERROR(VALUE(MID(TRIM(SUBSTITUTE(SUBSTITUTE(MID(Общий!B388,SEARCH("Karcher",Общий!B388,1),19),".",""),"-","")),SEARCH("Karcher",TRIM(SUBSTITUTE(SUBSTITUTE(MID(Общий!B388,SEARCH("Karcher",Общий!B388,1),19),".",""),"-","")),1)+8,8)),VALUE(LEFT(SUBSTITUTE(SUBSTITUTE(Общий!B388,".",""),"-",""),8))))=7,CONCATENATE(IFERROR(VALUE(MID(TRIM(SUBSTITUTE(SUBSTITUTE(MID(Общий!B388,SEARCH("Karcher",Общий!B388,1),19),".",""),"-","")),SEARCH("Karcher",TRIM(SUBSTITUTE(SUBSTITUTE(MID(Общий!B388,SEARCH("Karcher",Общий!B388,1),19),".",""),"-","")),1)+8,8)),VALUE(LEFT(SUBSTITUTE(SUBSTITUTE(Общий!B388,".",""),"-",""),8))),"0"),IFERROR(VALUE(MID(TRIM(SUBSTITUTE(SUBSTITUTE(MID(Общий!B388,SEARCH("Karcher",Общий!B388,1),19),".",""),"-","")),SEARCH("Karcher",TRIM(SUBSTITUTE(SUBSTITUTE(MID(Общий!B388,SEARCH("Karcher",Общий!B388,1),19),".",""),"-","")),1)+8,8)),VALUE(LEFT(SUBSTITUTE(SUBSTITUTE(Общий!B388,".",""),"-",""),8))))),0)</f>
        <v>0</v>
      </c>
      <c r="B388" s="25">
        <f>IFERROR(CONCATENATE(VALUE(IF(LEN(IFERROR(VALUE(MID(TRIM(SUBSTITUTE(SUBSTITUTE(MID(Общий!B388,SEARCH("Karcher",Общий!B388,1),19),".",""),"-","")),SEARCH("Karcher",TRIM(SUBSTITUTE(SUBSTITUTE(MID(Общий!B388,SEARCH("Karcher",Общий!B388,1),19),".",""),"-","")),1)+8,8)),VALUE(LEFT(SUBSTITUTE(SUBSTITUTE(Общий!B388,".",""),"-",""),8))))=7,CONCATENATE(IFERROR(VALUE(MID(TRIM(SUBSTITUTE(SUBSTITUTE(MID(Общий!B388,SEARCH("Karcher",Общий!B388,1),19),".",""),"-","")),SEARCH("Karcher",TRIM(SUBSTITUTE(SUBSTITUTE(MID(Общий!B388,SEARCH("Karcher",Общий!B388,1),19),".",""),"-","")),1)+8,8)),VALUE(LEFT(SUBSTITUTE(SUBSTITUTE(Общий!B388,".",""),"-",""),8))),"0"),IFERROR(VALUE(MID(TRIM(SUBSTITUTE(SUBSTITUTE(MID(Общий!B388,SEARCH("Karcher",Общий!B388,1),19),".",""),"-","")),SEARCH("Karcher",TRIM(SUBSTITUTE(SUBSTITUTE(MID(Общий!B388,SEARCH("Karcher",Общий!B388,1),19),".",""),"-","")),1)+8,8)),VALUE(LEFT(SUBSTITUTE(SUBSTITUTE(Общий!B388,".",""),"-",""),8)))))," ",Общий!C388),0)</f>
        <v>0</v>
      </c>
      <c r="C388" s="29" t="str">
        <f>Общий!A388</f>
        <v>380</v>
      </c>
      <c r="D388" s="27">
        <f>Общий!B388</f>
        <v>0</v>
      </c>
      <c r="E388" s="28">
        <f>Общий!C388</f>
        <v>0</v>
      </c>
      <c r="G388" s="44"/>
      <c r="H388" s="44"/>
      <c r="I388" s="44"/>
      <c r="J388" s="35"/>
    </row>
    <row r="389" spans="1:10">
      <c r="A389" s="31">
        <f>IFERROR(VALUE(IF(LEN(IFERROR(VALUE(MID(TRIM(SUBSTITUTE(SUBSTITUTE(MID(Общий!B389,SEARCH("Karcher",Общий!B389,1),19),".",""),"-","")),SEARCH("Karcher",TRIM(SUBSTITUTE(SUBSTITUTE(MID(Общий!B389,SEARCH("Karcher",Общий!B389,1),19),".",""),"-","")),1)+8,8)),VALUE(LEFT(SUBSTITUTE(SUBSTITUTE(Общий!B389,".",""),"-",""),8))))=7,CONCATENATE(IFERROR(VALUE(MID(TRIM(SUBSTITUTE(SUBSTITUTE(MID(Общий!B389,SEARCH("Karcher",Общий!B389,1),19),".",""),"-","")),SEARCH("Karcher",TRIM(SUBSTITUTE(SUBSTITUTE(MID(Общий!B389,SEARCH("Karcher",Общий!B389,1),19),".",""),"-","")),1)+8,8)),VALUE(LEFT(SUBSTITUTE(SUBSTITUTE(Общий!B389,".",""),"-",""),8))),"0"),IFERROR(VALUE(MID(TRIM(SUBSTITUTE(SUBSTITUTE(MID(Общий!B389,SEARCH("Karcher",Общий!B389,1),19),".",""),"-","")),SEARCH("Karcher",TRIM(SUBSTITUTE(SUBSTITUTE(MID(Общий!B389,SEARCH("Karcher",Общий!B389,1),19),".",""),"-","")),1)+8,8)),VALUE(LEFT(SUBSTITUTE(SUBSTITUTE(Общий!B389,".",""),"-",""),8))))),0)</f>
        <v>0</v>
      </c>
      <c r="B389" s="25">
        <f>IFERROR(CONCATENATE(VALUE(IF(LEN(IFERROR(VALUE(MID(TRIM(SUBSTITUTE(SUBSTITUTE(MID(Общий!B389,SEARCH("Karcher",Общий!B389,1),19),".",""),"-","")),SEARCH("Karcher",TRIM(SUBSTITUTE(SUBSTITUTE(MID(Общий!B389,SEARCH("Karcher",Общий!B389,1),19),".",""),"-","")),1)+8,8)),VALUE(LEFT(SUBSTITUTE(SUBSTITUTE(Общий!B389,".",""),"-",""),8))))=7,CONCATENATE(IFERROR(VALUE(MID(TRIM(SUBSTITUTE(SUBSTITUTE(MID(Общий!B389,SEARCH("Karcher",Общий!B389,1),19),".",""),"-","")),SEARCH("Karcher",TRIM(SUBSTITUTE(SUBSTITUTE(MID(Общий!B389,SEARCH("Karcher",Общий!B389,1),19),".",""),"-","")),1)+8,8)),VALUE(LEFT(SUBSTITUTE(SUBSTITUTE(Общий!B389,".",""),"-",""),8))),"0"),IFERROR(VALUE(MID(TRIM(SUBSTITUTE(SUBSTITUTE(MID(Общий!B389,SEARCH("Karcher",Общий!B389,1),19),".",""),"-","")),SEARCH("Karcher",TRIM(SUBSTITUTE(SUBSTITUTE(MID(Общий!B389,SEARCH("Karcher",Общий!B389,1),19),".",""),"-","")),1)+8,8)),VALUE(LEFT(SUBSTITUTE(SUBSTITUTE(Общий!B389,".",""),"-",""),8)))))," ",Общий!C389),0)</f>
        <v>0</v>
      </c>
      <c r="C389" s="29" t="str">
        <f>Общий!A389</f>
        <v>381</v>
      </c>
      <c r="D389" s="27">
        <f>Общий!B389</f>
        <v>0</v>
      </c>
      <c r="E389" s="28">
        <f>Общий!C389</f>
        <v>0</v>
      </c>
      <c r="G389" s="44"/>
      <c r="H389" s="44"/>
      <c r="I389" s="44"/>
      <c r="J389" s="35"/>
    </row>
    <row r="390" spans="1:10">
      <c r="A390" s="31">
        <f>IFERROR(VALUE(IF(LEN(IFERROR(VALUE(MID(TRIM(SUBSTITUTE(SUBSTITUTE(MID(Общий!B390,SEARCH("Karcher",Общий!B390,1),19),".",""),"-","")),SEARCH("Karcher",TRIM(SUBSTITUTE(SUBSTITUTE(MID(Общий!B390,SEARCH("Karcher",Общий!B390,1),19),".",""),"-","")),1)+8,8)),VALUE(LEFT(SUBSTITUTE(SUBSTITUTE(Общий!B390,".",""),"-",""),8))))=7,CONCATENATE(IFERROR(VALUE(MID(TRIM(SUBSTITUTE(SUBSTITUTE(MID(Общий!B390,SEARCH("Karcher",Общий!B390,1),19),".",""),"-","")),SEARCH("Karcher",TRIM(SUBSTITUTE(SUBSTITUTE(MID(Общий!B390,SEARCH("Karcher",Общий!B390,1),19),".",""),"-","")),1)+8,8)),VALUE(LEFT(SUBSTITUTE(SUBSTITUTE(Общий!B390,".",""),"-",""),8))),"0"),IFERROR(VALUE(MID(TRIM(SUBSTITUTE(SUBSTITUTE(MID(Общий!B390,SEARCH("Karcher",Общий!B390,1),19),".",""),"-","")),SEARCH("Karcher",TRIM(SUBSTITUTE(SUBSTITUTE(MID(Общий!B390,SEARCH("Karcher",Общий!B390,1),19),".",""),"-","")),1)+8,8)),VALUE(LEFT(SUBSTITUTE(SUBSTITUTE(Общий!B390,".",""),"-",""),8))))),0)</f>
        <v>0</v>
      </c>
      <c r="B390" s="25">
        <f>IFERROR(CONCATENATE(VALUE(IF(LEN(IFERROR(VALUE(MID(TRIM(SUBSTITUTE(SUBSTITUTE(MID(Общий!B390,SEARCH("Karcher",Общий!B390,1),19),".",""),"-","")),SEARCH("Karcher",TRIM(SUBSTITUTE(SUBSTITUTE(MID(Общий!B390,SEARCH("Karcher",Общий!B390,1),19),".",""),"-","")),1)+8,8)),VALUE(LEFT(SUBSTITUTE(SUBSTITUTE(Общий!B390,".",""),"-",""),8))))=7,CONCATENATE(IFERROR(VALUE(MID(TRIM(SUBSTITUTE(SUBSTITUTE(MID(Общий!B390,SEARCH("Karcher",Общий!B390,1),19),".",""),"-","")),SEARCH("Karcher",TRIM(SUBSTITUTE(SUBSTITUTE(MID(Общий!B390,SEARCH("Karcher",Общий!B390,1),19),".",""),"-","")),1)+8,8)),VALUE(LEFT(SUBSTITUTE(SUBSTITUTE(Общий!B390,".",""),"-",""),8))),"0"),IFERROR(VALUE(MID(TRIM(SUBSTITUTE(SUBSTITUTE(MID(Общий!B390,SEARCH("Karcher",Общий!B390,1),19),".",""),"-","")),SEARCH("Karcher",TRIM(SUBSTITUTE(SUBSTITUTE(MID(Общий!B390,SEARCH("Karcher",Общий!B390,1),19),".",""),"-","")),1)+8,8)),VALUE(LEFT(SUBSTITUTE(SUBSTITUTE(Общий!B390,".",""),"-",""),8)))))," ",Общий!C390),0)</f>
        <v>0</v>
      </c>
      <c r="C390" s="29" t="str">
        <f>Общий!A390</f>
        <v>382</v>
      </c>
      <c r="D390" s="27">
        <f>Общий!B390</f>
        <v>0</v>
      </c>
      <c r="E390" s="28">
        <f>Общий!C390</f>
        <v>0</v>
      </c>
      <c r="G390" s="44"/>
      <c r="H390" s="44"/>
      <c r="I390" s="44"/>
      <c r="J390" s="35"/>
    </row>
    <row r="391" spans="1:10">
      <c r="A391" s="31">
        <f>IFERROR(VALUE(IF(LEN(IFERROR(VALUE(MID(TRIM(SUBSTITUTE(SUBSTITUTE(MID(Общий!B391,SEARCH("Karcher",Общий!B391,1),19),".",""),"-","")),SEARCH("Karcher",TRIM(SUBSTITUTE(SUBSTITUTE(MID(Общий!B391,SEARCH("Karcher",Общий!B391,1),19),".",""),"-","")),1)+8,8)),VALUE(LEFT(SUBSTITUTE(SUBSTITUTE(Общий!B391,".",""),"-",""),8))))=7,CONCATENATE(IFERROR(VALUE(MID(TRIM(SUBSTITUTE(SUBSTITUTE(MID(Общий!B391,SEARCH("Karcher",Общий!B391,1),19),".",""),"-","")),SEARCH("Karcher",TRIM(SUBSTITUTE(SUBSTITUTE(MID(Общий!B391,SEARCH("Karcher",Общий!B391,1),19),".",""),"-","")),1)+8,8)),VALUE(LEFT(SUBSTITUTE(SUBSTITUTE(Общий!B391,".",""),"-",""),8))),"0"),IFERROR(VALUE(MID(TRIM(SUBSTITUTE(SUBSTITUTE(MID(Общий!B391,SEARCH("Karcher",Общий!B391,1),19),".",""),"-","")),SEARCH("Karcher",TRIM(SUBSTITUTE(SUBSTITUTE(MID(Общий!B391,SEARCH("Karcher",Общий!B391,1),19),".",""),"-","")),1)+8,8)),VALUE(LEFT(SUBSTITUTE(SUBSTITUTE(Общий!B391,".",""),"-",""),8))))),0)</f>
        <v>0</v>
      </c>
      <c r="B391" s="25">
        <f>IFERROR(CONCATENATE(VALUE(IF(LEN(IFERROR(VALUE(MID(TRIM(SUBSTITUTE(SUBSTITUTE(MID(Общий!B391,SEARCH("Karcher",Общий!B391,1),19),".",""),"-","")),SEARCH("Karcher",TRIM(SUBSTITUTE(SUBSTITUTE(MID(Общий!B391,SEARCH("Karcher",Общий!B391,1),19),".",""),"-","")),1)+8,8)),VALUE(LEFT(SUBSTITUTE(SUBSTITUTE(Общий!B391,".",""),"-",""),8))))=7,CONCATENATE(IFERROR(VALUE(MID(TRIM(SUBSTITUTE(SUBSTITUTE(MID(Общий!B391,SEARCH("Karcher",Общий!B391,1),19),".",""),"-","")),SEARCH("Karcher",TRIM(SUBSTITUTE(SUBSTITUTE(MID(Общий!B391,SEARCH("Karcher",Общий!B391,1),19),".",""),"-","")),1)+8,8)),VALUE(LEFT(SUBSTITUTE(SUBSTITUTE(Общий!B391,".",""),"-",""),8))),"0"),IFERROR(VALUE(MID(TRIM(SUBSTITUTE(SUBSTITUTE(MID(Общий!B391,SEARCH("Karcher",Общий!B391,1),19),".",""),"-","")),SEARCH("Karcher",TRIM(SUBSTITUTE(SUBSTITUTE(MID(Общий!B391,SEARCH("Karcher",Общий!B391,1),19),".",""),"-","")),1)+8,8)),VALUE(LEFT(SUBSTITUTE(SUBSTITUTE(Общий!B391,".",""),"-",""),8)))))," ",Общий!C391),0)</f>
        <v>0</v>
      </c>
      <c r="C391" s="29" t="str">
        <f>Общий!A391</f>
        <v>383</v>
      </c>
      <c r="D391" s="27">
        <f>Общий!B391</f>
        <v>0</v>
      </c>
      <c r="E391" s="28">
        <f>Общий!C391</f>
        <v>0</v>
      </c>
      <c r="G391" s="44"/>
      <c r="H391" s="44"/>
      <c r="I391" s="44"/>
      <c r="J391" s="35"/>
    </row>
    <row r="392" spans="1:10">
      <c r="A392" s="31">
        <f>IFERROR(VALUE(IF(LEN(IFERROR(VALUE(MID(TRIM(SUBSTITUTE(SUBSTITUTE(MID(Общий!B392,SEARCH("Karcher",Общий!B392,1),19),".",""),"-","")),SEARCH("Karcher",TRIM(SUBSTITUTE(SUBSTITUTE(MID(Общий!B392,SEARCH("Karcher",Общий!B392,1),19),".",""),"-","")),1)+8,8)),VALUE(LEFT(SUBSTITUTE(SUBSTITUTE(Общий!B392,".",""),"-",""),8))))=7,CONCATENATE(IFERROR(VALUE(MID(TRIM(SUBSTITUTE(SUBSTITUTE(MID(Общий!B392,SEARCH("Karcher",Общий!B392,1),19),".",""),"-","")),SEARCH("Karcher",TRIM(SUBSTITUTE(SUBSTITUTE(MID(Общий!B392,SEARCH("Karcher",Общий!B392,1),19),".",""),"-","")),1)+8,8)),VALUE(LEFT(SUBSTITUTE(SUBSTITUTE(Общий!B392,".",""),"-",""),8))),"0"),IFERROR(VALUE(MID(TRIM(SUBSTITUTE(SUBSTITUTE(MID(Общий!B392,SEARCH("Karcher",Общий!B392,1),19),".",""),"-","")),SEARCH("Karcher",TRIM(SUBSTITUTE(SUBSTITUTE(MID(Общий!B392,SEARCH("Karcher",Общий!B392,1),19),".",""),"-","")),1)+8,8)),VALUE(LEFT(SUBSTITUTE(SUBSTITUTE(Общий!B392,".",""),"-",""),8))))),0)</f>
        <v>0</v>
      </c>
      <c r="B392" s="25">
        <f>IFERROR(CONCATENATE(VALUE(IF(LEN(IFERROR(VALUE(MID(TRIM(SUBSTITUTE(SUBSTITUTE(MID(Общий!B392,SEARCH("Karcher",Общий!B392,1),19),".",""),"-","")),SEARCH("Karcher",TRIM(SUBSTITUTE(SUBSTITUTE(MID(Общий!B392,SEARCH("Karcher",Общий!B392,1),19),".",""),"-","")),1)+8,8)),VALUE(LEFT(SUBSTITUTE(SUBSTITUTE(Общий!B392,".",""),"-",""),8))))=7,CONCATENATE(IFERROR(VALUE(MID(TRIM(SUBSTITUTE(SUBSTITUTE(MID(Общий!B392,SEARCH("Karcher",Общий!B392,1),19),".",""),"-","")),SEARCH("Karcher",TRIM(SUBSTITUTE(SUBSTITUTE(MID(Общий!B392,SEARCH("Karcher",Общий!B392,1),19),".",""),"-","")),1)+8,8)),VALUE(LEFT(SUBSTITUTE(SUBSTITUTE(Общий!B392,".",""),"-",""),8))),"0"),IFERROR(VALUE(MID(TRIM(SUBSTITUTE(SUBSTITUTE(MID(Общий!B392,SEARCH("Karcher",Общий!B392,1),19),".",""),"-","")),SEARCH("Karcher",TRIM(SUBSTITUTE(SUBSTITUTE(MID(Общий!B392,SEARCH("Karcher",Общий!B392,1),19),".",""),"-","")),1)+8,8)),VALUE(LEFT(SUBSTITUTE(SUBSTITUTE(Общий!B392,".",""),"-",""),8)))))," ",Общий!C392),0)</f>
        <v>0</v>
      </c>
      <c r="C392" s="29" t="str">
        <f>Общий!A392</f>
        <v>384</v>
      </c>
      <c r="D392" s="27">
        <f>Общий!B392</f>
        <v>0</v>
      </c>
      <c r="E392" s="28">
        <f>Общий!C392</f>
        <v>0</v>
      </c>
      <c r="G392" s="44"/>
      <c r="H392" s="44"/>
      <c r="I392" s="44"/>
      <c r="J392" s="35"/>
    </row>
    <row r="393" spans="1:10">
      <c r="A393" s="31">
        <f>IFERROR(VALUE(IF(LEN(IFERROR(VALUE(MID(TRIM(SUBSTITUTE(SUBSTITUTE(MID(Общий!B393,SEARCH("Karcher",Общий!B393,1),19),".",""),"-","")),SEARCH("Karcher",TRIM(SUBSTITUTE(SUBSTITUTE(MID(Общий!B393,SEARCH("Karcher",Общий!B393,1),19),".",""),"-","")),1)+8,8)),VALUE(LEFT(SUBSTITUTE(SUBSTITUTE(Общий!B393,".",""),"-",""),8))))=7,CONCATENATE(IFERROR(VALUE(MID(TRIM(SUBSTITUTE(SUBSTITUTE(MID(Общий!B393,SEARCH("Karcher",Общий!B393,1),19),".",""),"-","")),SEARCH("Karcher",TRIM(SUBSTITUTE(SUBSTITUTE(MID(Общий!B393,SEARCH("Karcher",Общий!B393,1),19),".",""),"-","")),1)+8,8)),VALUE(LEFT(SUBSTITUTE(SUBSTITUTE(Общий!B393,".",""),"-",""),8))),"0"),IFERROR(VALUE(MID(TRIM(SUBSTITUTE(SUBSTITUTE(MID(Общий!B393,SEARCH("Karcher",Общий!B393,1),19),".",""),"-","")),SEARCH("Karcher",TRIM(SUBSTITUTE(SUBSTITUTE(MID(Общий!B393,SEARCH("Karcher",Общий!B393,1),19),".",""),"-","")),1)+8,8)),VALUE(LEFT(SUBSTITUTE(SUBSTITUTE(Общий!B393,".",""),"-",""),8))))),0)</f>
        <v>0</v>
      </c>
      <c r="B393" s="25">
        <f>IFERROR(CONCATENATE(VALUE(IF(LEN(IFERROR(VALUE(MID(TRIM(SUBSTITUTE(SUBSTITUTE(MID(Общий!B393,SEARCH("Karcher",Общий!B393,1),19),".",""),"-","")),SEARCH("Karcher",TRIM(SUBSTITUTE(SUBSTITUTE(MID(Общий!B393,SEARCH("Karcher",Общий!B393,1),19),".",""),"-","")),1)+8,8)),VALUE(LEFT(SUBSTITUTE(SUBSTITUTE(Общий!B393,".",""),"-",""),8))))=7,CONCATENATE(IFERROR(VALUE(MID(TRIM(SUBSTITUTE(SUBSTITUTE(MID(Общий!B393,SEARCH("Karcher",Общий!B393,1),19),".",""),"-","")),SEARCH("Karcher",TRIM(SUBSTITUTE(SUBSTITUTE(MID(Общий!B393,SEARCH("Karcher",Общий!B393,1),19),".",""),"-","")),1)+8,8)),VALUE(LEFT(SUBSTITUTE(SUBSTITUTE(Общий!B393,".",""),"-",""),8))),"0"),IFERROR(VALUE(MID(TRIM(SUBSTITUTE(SUBSTITUTE(MID(Общий!B393,SEARCH("Karcher",Общий!B393,1),19),".",""),"-","")),SEARCH("Karcher",TRIM(SUBSTITUTE(SUBSTITUTE(MID(Общий!B393,SEARCH("Karcher",Общий!B393,1),19),".",""),"-","")),1)+8,8)),VALUE(LEFT(SUBSTITUTE(SUBSTITUTE(Общий!B393,".",""),"-",""),8)))))," ",Общий!C393),0)</f>
        <v>0</v>
      </c>
      <c r="C393" s="29" t="str">
        <f>Общий!A393</f>
        <v>385</v>
      </c>
      <c r="D393" s="27">
        <f>Общий!B393</f>
        <v>0</v>
      </c>
      <c r="E393" s="28">
        <f>Общий!C393</f>
        <v>0</v>
      </c>
      <c r="G393" s="44"/>
      <c r="H393" s="44"/>
      <c r="I393" s="44"/>
      <c r="J393" s="35"/>
    </row>
    <row r="394" spans="1:10">
      <c r="A394" s="31">
        <f>IFERROR(VALUE(IF(LEN(IFERROR(VALUE(MID(TRIM(SUBSTITUTE(SUBSTITUTE(MID(Общий!B394,SEARCH("Karcher",Общий!B394,1),19),".",""),"-","")),SEARCH("Karcher",TRIM(SUBSTITUTE(SUBSTITUTE(MID(Общий!B394,SEARCH("Karcher",Общий!B394,1),19),".",""),"-","")),1)+8,8)),VALUE(LEFT(SUBSTITUTE(SUBSTITUTE(Общий!B394,".",""),"-",""),8))))=7,CONCATENATE(IFERROR(VALUE(MID(TRIM(SUBSTITUTE(SUBSTITUTE(MID(Общий!B394,SEARCH("Karcher",Общий!B394,1),19),".",""),"-","")),SEARCH("Karcher",TRIM(SUBSTITUTE(SUBSTITUTE(MID(Общий!B394,SEARCH("Karcher",Общий!B394,1),19),".",""),"-","")),1)+8,8)),VALUE(LEFT(SUBSTITUTE(SUBSTITUTE(Общий!B394,".",""),"-",""),8))),"0"),IFERROR(VALUE(MID(TRIM(SUBSTITUTE(SUBSTITUTE(MID(Общий!B394,SEARCH("Karcher",Общий!B394,1),19),".",""),"-","")),SEARCH("Karcher",TRIM(SUBSTITUTE(SUBSTITUTE(MID(Общий!B394,SEARCH("Karcher",Общий!B394,1),19),".",""),"-","")),1)+8,8)),VALUE(LEFT(SUBSTITUTE(SUBSTITUTE(Общий!B394,".",""),"-",""),8))))),0)</f>
        <v>0</v>
      </c>
      <c r="B394" s="25">
        <f>IFERROR(CONCATENATE(VALUE(IF(LEN(IFERROR(VALUE(MID(TRIM(SUBSTITUTE(SUBSTITUTE(MID(Общий!B394,SEARCH("Karcher",Общий!B394,1),19),".",""),"-","")),SEARCH("Karcher",TRIM(SUBSTITUTE(SUBSTITUTE(MID(Общий!B394,SEARCH("Karcher",Общий!B394,1),19),".",""),"-","")),1)+8,8)),VALUE(LEFT(SUBSTITUTE(SUBSTITUTE(Общий!B394,".",""),"-",""),8))))=7,CONCATENATE(IFERROR(VALUE(MID(TRIM(SUBSTITUTE(SUBSTITUTE(MID(Общий!B394,SEARCH("Karcher",Общий!B394,1),19),".",""),"-","")),SEARCH("Karcher",TRIM(SUBSTITUTE(SUBSTITUTE(MID(Общий!B394,SEARCH("Karcher",Общий!B394,1),19),".",""),"-","")),1)+8,8)),VALUE(LEFT(SUBSTITUTE(SUBSTITUTE(Общий!B394,".",""),"-",""),8))),"0"),IFERROR(VALUE(MID(TRIM(SUBSTITUTE(SUBSTITUTE(MID(Общий!B394,SEARCH("Karcher",Общий!B394,1),19),".",""),"-","")),SEARCH("Karcher",TRIM(SUBSTITUTE(SUBSTITUTE(MID(Общий!B394,SEARCH("Karcher",Общий!B394,1),19),".",""),"-","")),1)+8,8)),VALUE(LEFT(SUBSTITUTE(SUBSTITUTE(Общий!B394,".",""),"-",""),8)))))," ",Общий!C394),0)</f>
        <v>0</v>
      </c>
      <c r="C394" s="29" t="str">
        <f>Общий!A394</f>
        <v>386</v>
      </c>
      <c r="D394" s="27">
        <f>Общий!B394</f>
        <v>0</v>
      </c>
      <c r="E394" s="28">
        <f>Общий!C394</f>
        <v>0</v>
      </c>
      <c r="G394" s="44"/>
      <c r="H394" s="44"/>
      <c r="I394" s="44"/>
      <c r="J394" s="35"/>
    </row>
    <row r="395" spans="1:10">
      <c r="A395" s="31">
        <f>IFERROR(VALUE(IF(LEN(IFERROR(VALUE(MID(TRIM(SUBSTITUTE(SUBSTITUTE(MID(Общий!B395,SEARCH("Karcher",Общий!B395,1),19),".",""),"-","")),SEARCH("Karcher",TRIM(SUBSTITUTE(SUBSTITUTE(MID(Общий!B395,SEARCH("Karcher",Общий!B395,1),19),".",""),"-","")),1)+8,8)),VALUE(LEFT(SUBSTITUTE(SUBSTITUTE(Общий!B395,".",""),"-",""),8))))=7,CONCATENATE(IFERROR(VALUE(MID(TRIM(SUBSTITUTE(SUBSTITUTE(MID(Общий!B395,SEARCH("Karcher",Общий!B395,1),19),".",""),"-","")),SEARCH("Karcher",TRIM(SUBSTITUTE(SUBSTITUTE(MID(Общий!B395,SEARCH("Karcher",Общий!B395,1),19),".",""),"-","")),1)+8,8)),VALUE(LEFT(SUBSTITUTE(SUBSTITUTE(Общий!B395,".",""),"-",""),8))),"0"),IFERROR(VALUE(MID(TRIM(SUBSTITUTE(SUBSTITUTE(MID(Общий!B395,SEARCH("Karcher",Общий!B395,1),19),".",""),"-","")),SEARCH("Karcher",TRIM(SUBSTITUTE(SUBSTITUTE(MID(Общий!B395,SEARCH("Karcher",Общий!B395,1),19),".",""),"-","")),1)+8,8)),VALUE(LEFT(SUBSTITUTE(SUBSTITUTE(Общий!B395,".",""),"-",""),8))))),0)</f>
        <v>0</v>
      </c>
      <c r="B395" s="25">
        <f>IFERROR(CONCATENATE(VALUE(IF(LEN(IFERROR(VALUE(MID(TRIM(SUBSTITUTE(SUBSTITUTE(MID(Общий!B395,SEARCH("Karcher",Общий!B395,1),19),".",""),"-","")),SEARCH("Karcher",TRIM(SUBSTITUTE(SUBSTITUTE(MID(Общий!B395,SEARCH("Karcher",Общий!B395,1),19),".",""),"-","")),1)+8,8)),VALUE(LEFT(SUBSTITUTE(SUBSTITUTE(Общий!B395,".",""),"-",""),8))))=7,CONCATENATE(IFERROR(VALUE(MID(TRIM(SUBSTITUTE(SUBSTITUTE(MID(Общий!B395,SEARCH("Karcher",Общий!B395,1),19),".",""),"-","")),SEARCH("Karcher",TRIM(SUBSTITUTE(SUBSTITUTE(MID(Общий!B395,SEARCH("Karcher",Общий!B395,1),19),".",""),"-","")),1)+8,8)),VALUE(LEFT(SUBSTITUTE(SUBSTITUTE(Общий!B395,".",""),"-",""),8))),"0"),IFERROR(VALUE(MID(TRIM(SUBSTITUTE(SUBSTITUTE(MID(Общий!B395,SEARCH("Karcher",Общий!B395,1),19),".",""),"-","")),SEARCH("Karcher",TRIM(SUBSTITUTE(SUBSTITUTE(MID(Общий!B395,SEARCH("Karcher",Общий!B395,1),19),".",""),"-","")),1)+8,8)),VALUE(LEFT(SUBSTITUTE(SUBSTITUTE(Общий!B395,".",""),"-",""),8)))))," ",Общий!C395),0)</f>
        <v>0</v>
      </c>
      <c r="C395" s="29" t="str">
        <f>Общий!A395</f>
        <v>387</v>
      </c>
      <c r="D395" s="27">
        <f>Общий!B395</f>
        <v>0</v>
      </c>
      <c r="E395" s="28">
        <f>Общий!C395</f>
        <v>0</v>
      </c>
      <c r="G395" s="44"/>
      <c r="H395" s="44"/>
      <c r="I395" s="44"/>
      <c r="J395" s="35"/>
    </row>
    <row r="396" spans="1:10">
      <c r="A396" s="31">
        <f>IFERROR(VALUE(IF(LEN(IFERROR(VALUE(MID(TRIM(SUBSTITUTE(SUBSTITUTE(MID(Общий!B396,SEARCH("Karcher",Общий!B396,1),19),".",""),"-","")),SEARCH("Karcher",TRIM(SUBSTITUTE(SUBSTITUTE(MID(Общий!B396,SEARCH("Karcher",Общий!B396,1),19),".",""),"-","")),1)+8,8)),VALUE(LEFT(SUBSTITUTE(SUBSTITUTE(Общий!B396,".",""),"-",""),8))))=7,CONCATENATE(IFERROR(VALUE(MID(TRIM(SUBSTITUTE(SUBSTITUTE(MID(Общий!B396,SEARCH("Karcher",Общий!B396,1),19),".",""),"-","")),SEARCH("Karcher",TRIM(SUBSTITUTE(SUBSTITUTE(MID(Общий!B396,SEARCH("Karcher",Общий!B396,1),19),".",""),"-","")),1)+8,8)),VALUE(LEFT(SUBSTITUTE(SUBSTITUTE(Общий!B396,".",""),"-",""),8))),"0"),IFERROR(VALUE(MID(TRIM(SUBSTITUTE(SUBSTITUTE(MID(Общий!B396,SEARCH("Karcher",Общий!B396,1),19),".",""),"-","")),SEARCH("Karcher",TRIM(SUBSTITUTE(SUBSTITUTE(MID(Общий!B396,SEARCH("Karcher",Общий!B396,1),19),".",""),"-","")),1)+8,8)),VALUE(LEFT(SUBSTITUTE(SUBSTITUTE(Общий!B396,".",""),"-",""),8))))),0)</f>
        <v>0</v>
      </c>
      <c r="B396" s="25">
        <f>IFERROR(CONCATENATE(VALUE(IF(LEN(IFERROR(VALUE(MID(TRIM(SUBSTITUTE(SUBSTITUTE(MID(Общий!B396,SEARCH("Karcher",Общий!B396,1),19),".",""),"-","")),SEARCH("Karcher",TRIM(SUBSTITUTE(SUBSTITUTE(MID(Общий!B396,SEARCH("Karcher",Общий!B396,1),19),".",""),"-","")),1)+8,8)),VALUE(LEFT(SUBSTITUTE(SUBSTITUTE(Общий!B396,".",""),"-",""),8))))=7,CONCATENATE(IFERROR(VALUE(MID(TRIM(SUBSTITUTE(SUBSTITUTE(MID(Общий!B396,SEARCH("Karcher",Общий!B396,1),19),".",""),"-","")),SEARCH("Karcher",TRIM(SUBSTITUTE(SUBSTITUTE(MID(Общий!B396,SEARCH("Karcher",Общий!B396,1),19),".",""),"-","")),1)+8,8)),VALUE(LEFT(SUBSTITUTE(SUBSTITUTE(Общий!B396,".",""),"-",""),8))),"0"),IFERROR(VALUE(MID(TRIM(SUBSTITUTE(SUBSTITUTE(MID(Общий!B396,SEARCH("Karcher",Общий!B396,1),19),".",""),"-","")),SEARCH("Karcher",TRIM(SUBSTITUTE(SUBSTITUTE(MID(Общий!B396,SEARCH("Karcher",Общий!B396,1),19),".",""),"-","")),1)+8,8)),VALUE(LEFT(SUBSTITUTE(SUBSTITUTE(Общий!B396,".",""),"-",""),8)))))," ",Общий!C396),0)</f>
        <v>0</v>
      </c>
      <c r="C396" s="29" t="str">
        <f>Общий!A396</f>
        <v>388</v>
      </c>
      <c r="D396" s="27">
        <f>Общий!B396</f>
        <v>0</v>
      </c>
      <c r="E396" s="28">
        <f>Общий!C396</f>
        <v>0</v>
      </c>
      <c r="G396" s="44"/>
      <c r="H396" s="44"/>
      <c r="I396" s="44"/>
      <c r="J396" s="35"/>
    </row>
    <row r="397" spans="1:10">
      <c r="A397" s="31">
        <f>IFERROR(VALUE(IF(LEN(IFERROR(VALUE(MID(TRIM(SUBSTITUTE(SUBSTITUTE(MID(Общий!B397,SEARCH("Karcher",Общий!B397,1),19),".",""),"-","")),SEARCH("Karcher",TRIM(SUBSTITUTE(SUBSTITUTE(MID(Общий!B397,SEARCH("Karcher",Общий!B397,1),19),".",""),"-","")),1)+8,8)),VALUE(LEFT(SUBSTITUTE(SUBSTITUTE(Общий!B397,".",""),"-",""),8))))=7,CONCATENATE(IFERROR(VALUE(MID(TRIM(SUBSTITUTE(SUBSTITUTE(MID(Общий!B397,SEARCH("Karcher",Общий!B397,1),19),".",""),"-","")),SEARCH("Karcher",TRIM(SUBSTITUTE(SUBSTITUTE(MID(Общий!B397,SEARCH("Karcher",Общий!B397,1),19),".",""),"-","")),1)+8,8)),VALUE(LEFT(SUBSTITUTE(SUBSTITUTE(Общий!B397,".",""),"-",""),8))),"0"),IFERROR(VALUE(MID(TRIM(SUBSTITUTE(SUBSTITUTE(MID(Общий!B397,SEARCH("Karcher",Общий!B397,1),19),".",""),"-","")),SEARCH("Karcher",TRIM(SUBSTITUTE(SUBSTITUTE(MID(Общий!B397,SEARCH("Karcher",Общий!B397,1),19),".",""),"-","")),1)+8,8)),VALUE(LEFT(SUBSTITUTE(SUBSTITUTE(Общий!B397,".",""),"-",""),8))))),0)</f>
        <v>0</v>
      </c>
      <c r="B397" s="25">
        <f>IFERROR(CONCATENATE(VALUE(IF(LEN(IFERROR(VALUE(MID(TRIM(SUBSTITUTE(SUBSTITUTE(MID(Общий!B397,SEARCH("Karcher",Общий!B397,1),19),".",""),"-","")),SEARCH("Karcher",TRIM(SUBSTITUTE(SUBSTITUTE(MID(Общий!B397,SEARCH("Karcher",Общий!B397,1),19),".",""),"-","")),1)+8,8)),VALUE(LEFT(SUBSTITUTE(SUBSTITUTE(Общий!B397,".",""),"-",""),8))))=7,CONCATENATE(IFERROR(VALUE(MID(TRIM(SUBSTITUTE(SUBSTITUTE(MID(Общий!B397,SEARCH("Karcher",Общий!B397,1),19),".",""),"-","")),SEARCH("Karcher",TRIM(SUBSTITUTE(SUBSTITUTE(MID(Общий!B397,SEARCH("Karcher",Общий!B397,1),19),".",""),"-","")),1)+8,8)),VALUE(LEFT(SUBSTITUTE(SUBSTITUTE(Общий!B397,".",""),"-",""),8))),"0"),IFERROR(VALUE(MID(TRIM(SUBSTITUTE(SUBSTITUTE(MID(Общий!B397,SEARCH("Karcher",Общий!B397,1),19),".",""),"-","")),SEARCH("Karcher",TRIM(SUBSTITUTE(SUBSTITUTE(MID(Общий!B397,SEARCH("Karcher",Общий!B397,1),19),".",""),"-","")),1)+8,8)),VALUE(LEFT(SUBSTITUTE(SUBSTITUTE(Общий!B397,".",""),"-",""),8)))))," ",Общий!C397),0)</f>
        <v>0</v>
      </c>
      <c r="C397" s="29" t="str">
        <f>Общий!A397</f>
        <v>389</v>
      </c>
      <c r="D397" s="27">
        <f>Общий!B397</f>
        <v>0</v>
      </c>
      <c r="E397" s="28">
        <f>Общий!C397</f>
        <v>0</v>
      </c>
      <c r="G397" s="44"/>
      <c r="H397" s="44"/>
      <c r="I397" s="44"/>
      <c r="J397" s="35"/>
    </row>
    <row r="398" spans="1:10">
      <c r="A398" s="31">
        <f>IFERROR(VALUE(IF(LEN(IFERROR(VALUE(MID(TRIM(SUBSTITUTE(SUBSTITUTE(MID(Общий!B398,SEARCH("Karcher",Общий!B398,1),19),".",""),"-","")),SEARCH("Karcher",TRIM(SUBSTITUTE(SUBSTITUTE(MID(Общий!B398,SEARCH("Karcher",Общий!B398,1),19),".",""),"-","")),1)+8,8)),VALUE(LEFT(SUBSTITUTE(SUBSTITUTE(Общий!B398,".",""),"-",""),8))))=7,CONCATENATE(IFERROR(VALUE(MID(TRIM(SUBSTITUTE(SUBSTITUTE(MID(Общий!B398,SEARCH("Karcher",Общий!B398,1),19),".",""),"-","")),SEARCH("Karcher",TRIM(SUBSTITUTE(SUBSTITUTE(MID(Общий!B398,SEARCH("Karcher",Общий!B398,1),19),".",""),"-","")),1)+8,8)),VALUE(LEFT(SUBSTITUTE(SUBSTITUTE(Общий!B398,".",""),"-",""),8))),"0"),IFERROR(VALUE(MID(TRIM(SUBSTITUTE(SUBSTITUTE(MID(Общий!B398,SEARCH("Karcher",Общий!B398,1),19),".",""),"-","")),SEARCH("Karcher",TRIM(SUBSTITUTE(SUBSTITUTE(MID(Общий!B398,SEARCH("Karcher",Общий!B398,1),19),".",""),"-","")),1)+8,8)),VALUE(LEFT(SUBSTITUTE(SUBSTITUTE(Общий!B398,".",""),"-",""),8))))),0)</f>
        <v>0</v>
      </c>
      <c r="B398" s="25">
        <f>IFERROR(CONCATENATE(VALUE(IF(LEN(IFERROR(VALUE(MID(TRIM(SUBSTITUTE(SUBSTITUTE(MID(Общий!B398,SEARCH("Karcher",Общий!B398,1),19),".",""),"-","")),SEARCH("Karcher",TRIM(SUBSTITUTE(SUBSTITUTE(MID(Общий!B398,SEARCH("Karcher",Общий!B398,1),19),".",""),"-","")),1)+8,8)),VALUE(LEFT(SUBSTITUTE(SUBSTITUTE(Общий!B398,".",""),"-",""),8))))=7,CONCATENATE(IFERROR(VALUE(MID(TRIM(SUBSTITUTE(SUBSTITUTE(MID(Общий!B398,SEARCH("Karcher",Общий!B398,1),19),".",""),"-","")),SEARCH("Karcher",TRIM(SUBSTITUTE(SUBSTITUTE(MID(Общий!B398,SEARCH("Karcher",Общий!B398,1),19),".",""),"-","")),1)+8,8)),VALUE(LEFT(SUBSTITUTE(SUBSTITUTE(Общий!B398,".",""),"-",""),8))),"0"),IFERROR(VALUE(MID(TRIM(SUBSTITUTE(SUBSTITUTE(MID(Общий!B398,SEARCH("Karcher",Общий!B398,1),19),".",""),"-","")),SEARCH("Karcher",TRIM(SUBSTITUTE(SUBSTITUTE(MID(Общий!B398,SEARCH("Karcher",Общий!B398,1),19),".",""),"-","")),1)+8,8)),VALUE(LEFT(SUBSTITUTE(SUBSTITUTE(Общий!B398,".",""),"-",""),8)))))," ",Общий!C398),0)</f>
        <v>0</v>
      </c>
      <c r="C398" s="29" t="str">
        <f>Общий!A398</f>
        <v>390</v>
      </c>
      <c r="D398" s="27">
        <f>Общий!B398</f>
        <v>0</v>
      </c>
      <c r="E398" s="28">
        <f>Общий!C398</f>
        <v>0</v>
      </c>
      <c r="G398" s="44"/>
      <c r="H398" s="44"/>
      <c r="I398" s="44"/>
      <c r="J398" s="35"/>
    </row>
    <row r="399" spans="1:10">
      <c r="A399" s="31">
        <f>IFERROR(VALUE(IF(LEN(IFERROR(VALUE(MID(TRIM(SUBSTITUTE(SUBSTITUTE(MID(Общий!B399,SEARCH("Karcher",Общий!B399,1),19),".",""),"-","")),SEARCH("Karcher",TRIM(SUBSTITUTE(SUBSTITUTE(MID(Общий!B399,SEARCH("Karcher",Общий!B399,1),19),".",""),"-","")),1)+8,8)),VALUE(LEFT(SUBSTITUTE(SUBSTITUTE(Общий!B399,".",""),"-",""),8))))=7,CONCATENATE(IFERROR(VALUE(MID(TRIM(SUBSTITUTE(SUBSTITUTE(MID(Общий!B399,SEARCH("Karcher",Общий!B399,1),19),".",""),"-","")),SEARCH("Karcher",TRIM(SUBSTITUTE(SUBSTITUTE(MID(Общий!B399,SEARCH("Karcher",Общий!B399,1),19),".",""),"-","")),1)+8,8)),VALUE(LEFT(SUBSTITUTE(SUBSTITUTE(Общий!B399,".",""),"-",""),8))),"0"),IFERROR(VALUE(MID(TRIM(SUBSTITUTE(SUBSTITUTE(MID(Общий!B399,SEARCH("Karcher",Общий!B399,1),19),".",""),"-","")),SEARCH("Karcher",TRIM(SUBSTITUTE(SUBSTITUTE(MID(Общий!B399,SEARCH("Karcher",Общий!B399,1),19),".",""),"-","")),1)+8,8)),VALUE(LEFT(SUBSTITUTE(SUBSTITUTE(Общий!B399,".",""),"-",""),8))))),0)</f>
        <v>0</v>
      </c>
      <c r="B399" s="25">
        <f>IFERROR(CONCATENATE(VALUE(IF(LEN(IFERROR(VALUE(MID(TRIM(SUBSTITUTE(SUBSTITUTE(MID(Общий!B399,SEARCH("Karcher",Общий!B399,1),19),".",""),"-","")),SEARCH("Karcher",TRIM(SUBSTITUTE(SUBSTITUTE(MID(Общий!B399,SEARCH("Karcher",Общий!B399,1),19),".",""),"-","")),1)+8,8)),VALUE(LEFT(SUBSTITUTE(SUBSTITUTE(Общий!B399,".",""),"-",""),8))))=7,CONCATENATE(IFERROR(VALUE(MID(TRIM(SUBSTITUTE(SUBSTITUTE(MID(Общий!B399,SEARCH("Karcher",Общий!B399,1),19),".",""),"-","")),SEARCH("Karcher",TRIM(SUBSTITUTE(SUBSTITUTE(MID(Общий!B399,SEARCH("Karcher",Общий!B399,1),19),".",""),"-","")),1)+8,8)),VALUE(LEFT(SUBSTITUTE(SUBSTITUTE(Общий!B399,".",""),"-",""),8))),"0"),IFERROR(VALUE(MID(TRIM(SUBSTITUTE(SUBSTITUTE(MID(Общий!B399,SEARCH("Karcher",Общий!B399,1),19),".",""),"-","")),SEARCH("Karcher",TRIM(SUBSTITUTE(SUBSTITUTE(MID(Общий!B399,SEARCH("Karcher",Общий!B399,1),19),".",""),"-","")),1)+8,8)),VALUE(LEFT(SUBSTITUTE(SUBSTITUTE(Общий!B399,".",""),"-",""),8)))))," ",Общий!C399),0)</f>
        <v>0</v>
      </c>
      <c r="C399" s="29" t="str">
        <f>Общий!A399</f>
        <v>391</v>
      </c>
      <c r="D399" s="27">
        <f>Общий!B399</f>
        <v>0</v>
      </c>
      <c r="E399" s="28">
        <f>Общий!C399</f>
        <v>0</v>
      </c>
      <c r="G399" s="44"/>
      <c r="H399" s="44"/>
      <c r="I399" s="44"/>
      <c r="J399" s="35"/>
    </row>
    <row r="400" spans="1:10">
      <c r="A400" s="31">
        <f>IFERROR(VALUE(IF(LEN(IFERROR(VALUE(MID(TRIM(SUBSTITUTE(SUBSTITUTE(MID(Общий!B400,SEARCH("Karcher",Общий!B400,1),19),".",""),"-","")),SEARCH("Karcher",TRIM(SUBSTITUTE(SUBSTITUTE(MID(Общий!B400,SEARCH("Karcher",Общий!B400,1),19),".",""),"-","")),1)+8,8)),VALUE(LEFT(SUBSTITUTE(SUBSTITUTE(Общий!B400,".",""),"-",""),8))))=7,CONCATENATE(IFERROR(VALUE(MID(TRIM(SUBSTITUTE(SUBSTITUTE(MID(Общий!B400,SEARCH("Karcher",Общий!B400,1),19),".",""),"-","")),SEARCH("Karcher",TRIM(SUBSTITUTE(SUBSTITUTE(MID(Общий!B400,SEARCH("Karcher",Общий!B400,1),19),".",""),"-","")),1)+8,8)),VALUE(LEFT(SUBSTITUTE(SUBSTITUTE(Общий!B400,".",""),"-",""),8))),"0"),IFERROR(VALUE(MID(TRIM(SUBSTITUTE(SUBSTITUTE(MID(Общий!B400,SEARCH("Karcher",Общий!B400,1),19),".",""),"-","")),SEARCH("Karcher",TRIM(SUBSTITUTE(SUBSTITUTE(MID(Общий!B400,SEARCH("Karcher",Общий!B400,1),19),".",""),"-","")),1)+8,8)),VALUE(LEFT(SUBSTITUTE(SUBSTITUTE(Общий!B400,".",""),"-",""),8))))),0)</f>
        <v>0</v>
      </c>
      <c r="B400" s="25">
        <f>IFERROR(CONCATENATE(VALUE(IF(LEN(IFERROR(VALUE(MID(TRIM(SUBSTITUTE(SUBSTITUTE(MID(Общий!B400,SEARCH("Karcher",Общий!B400,1),19),".",""),"-","")),SEARCH("Karcher",TRIM(SUBSTITUTE(SUBSTITUTE(MID(Общий!B400,SEARCH("Karcher",Общий!B400,1),19),".",""),"-","")),1)+8,8)),VALUE(LEFT(SUBSTITUTE(SUBSTITUTE(Общий!B400,".",""),"-",""),8))))=7,CONCATENATE(IFERROR(VALUE(MID(TRIM(SUBSTITUTE(SUBSTITUTE(MID(Общий!B400,SEARCH("Karcher",Общий!B400,1),19),".",""),"-","")),SEARCH("Karcher",TRIM(SUBSTITUTE(SUBSTITUTE(MID(Общий!B400,SEARCH("Karcher",Общий!B400,1),19),".",""),"-","")),1)+8,8)),VALUE(LEFT(SUBSTITUTE(SUBSTITUTE(Общий!B400,".",""),"-",""),8))),"0"),IFERROR(VALUE(MID(TRIM(SUBSTITUTE(SUBSTITUTE(MID(Общий!B400,SEARCH("Karcher",Общий!B400,1),19),".",""),"-","")),SEARCH("Karcher",TRIM(SUBSTITUTE(SUBSTITUTE(MID(Общий!B400,SEARCH("Karcher",Общий!B400,1),19),".",""),"-","")),1)+8,8)),VALUE(LEFT(SUBSTITUTE(SUBSTITUTE(Общий!B400,".",""),"-",""),8)))))," ",Общий!C400),0)</f>
        <v>0</v>
      </c>
      <c r="C400" s="29" t="str">
        <f>Общий!A400</f>
        <v>392</v>
      </c>
      <c r="D400" s="27">
        <f>Общий!B400</f>
        <v>0</v>
      </c>
      <c r="E400" s="28">
        <f>Общий!C400</f>
        <v>0</v>
      </c>
      <c r="G400" s="44"/>
      <c r="H400" s="44"/>
      <c r="I400" s="44"/>
      <c r="J400" s="35"/>
    </row>
    <row r="401" spans="1:10">
      <c r="A401" s="31">
        <f>IFERROR(VALUE(IF(LEN(IFERROR(VALUE(MID(TRIM(SUBSTITUTE(SUBSTITUTE(MID(Общий!B401,SEARCH("Karcher",Общий!B401,1),19),".",""),"-","")),SEARCH("Karcher",TRIM(SUBSTITUTE(SUBSTITUTE(MID(Общий!B401,SEARCH("Karcher",Общий!B401,1),19),".",""),"-","")),1)+8,8)),VALUE(LEFT(SUBSTITUTE(SUBSTITUTE(Общий!B401,".",""),"-",""),8))))=7,CONCATENATE(IFERROR(VALUE(MID(TRIM(SUBSTITUTE(SUBSTITUTE(MID(Общий!B401,SEARCH("Karcher",Общий!B401,1),19),".",""),"-","")),SEARCH("Karcher",TRIM(SUBSTITUTE(SUBSTITUTE(MID(Общий!B401,SEARCH("Karcher",Общий!B401,1),19),".",""),"-","")),1)+8,8)),VALUE(LEFT(SUBSTITUTE(SUBSTITUTE(Общий!B401,".",""),"-",""),8))),"0"),IFERROR(VALUE(MID(TRIM(SUBSTITUTE(SUBSTITUTE(MID(Общий!B401,SEARCH("Karcher",Общий!B401,1),19),".",""),"-","")),SEARCH("Karcher",TRIM(SUBSTITUTE(SUBSTITUTE(MID(Общий!B401,SEARCH("Karcher",Общий!B401,1),19),".",""),"-","")),1)+8,8)),VALUE(LEFT(SUBSTITUTE(SUBSTITUTE(Общий!B401,".",""),"-",""),8))))),0)</f>
        <v>0</v>
      </c>
      <c r="B401" s="25">
        <f>IFERROR(CONCATENATE(VALUE(IF(LEN(IFERROR(VALUE(MID(TRIM(SUBSTITUTE(SUBSTITUTE(MID(Общий!B401,SEARCH("Karcher",Общий!B401,1),19),".",""),"-","")),SEARCH("Karcher",TRIM(SUBSTITUTE(SUBSTITUTE(MID(Общий!B401,SEARCH("Karcher",Общий!B401,1),19),".",""),"-","")),1)+8,8)),VALUE(LEFT(SUBSTITUTE(SUBSTITUTE(Общий!B401,".",""),"-",""),8))))=7,CONCATENATE(IFERROR(VALUE(MID(TRIM(SUBSTITUTE(SUBSTITUTE(MID(Общий!B401,SEARCH("Karcher",Общий!B401,1),19),".",""),"-","")),SEARCH("Karcher",TRIM(SUBSTITUTE(SUBSTITUTE(MID(Общий!B401,SEARCH("Karcher",Общий!B401,1),19),".",""),"-","")),1)+8,8)),VALUE(LEFT(SUBSTITUTE(SUBSTITUTE(Общий!B401,".",""),"-",""),8))),"0"),IFERROR(VALUE(MID(TRIM(SUBSTITUTE(SUBSTITUTE(MID(Общий!B401,SEARCH("Karcher",Общий!B401,1),19),".",""),"-","")),SEARCH("Karcher",TRIM(SUBSTITUTE(SUBSTITUTE(MID(Общий!B401,SEARCH("Karcher",Общий!B401,1),19),".",""),"-","")),1)+8,8)),VALUE(LEFT(SUBSTITUTE(SUBSTITUTE(Общий!B401,".",""),"-",""),8)))))," ",Общий!C401),0)</f>
        <v>0</v>
      </c>
      <c r="C401" s="29" t="str">
        <f>Общий!A401</f>
        <v>393</v>
      </c>
      <c r="D401" s="27">
        <f>Общий!B401</f>
        <v>0</v>
      </c>
      <c r="E401" s="28">
        <f>Общий!C401</f>
        <v>0</v>
      </c>
      <c r="G401" s="44"/>
      <c r="H401" s="44"/>
      <c r="I401" s="44"/>
      <c r="J401" s="35"/>
    </row>
    <row r="402" spans="1:10">
      <c r="A402" s="31">
        <f>IFERROR(VALUE(IF(LEN(IFERROR(VALUE(MID(TRIM(SUBSTITUTE(SUBSTITUTE(MID(Общий!B402,SEARCH("Karcher",Общий!B402,1),19),".",""),"-","")),SEARCH("Karcher",TRIM(SUBSTITUTE(SUBSTITUTE(MID(Общий!B402,SEARCH("Karcher",Общий!B402,1),19),".",""),"-","")),1)+8,8)),VALUE(LEFT(SUBSTITUTE(SUBSTITUTE(Общий!B402,".",""),"-",""),8))))=7,CONCATENATE(IFERROR(VALUE(MID(TRIM(SUBSTITUTE(SUBSTITUTE(MID(Общий!B402,SEARCH("Karcher",Общий!B402,1),19),".",""),"-","")),SEARCH("Karcher",TRIM(SUBSTITUTE(SUBSTITUTE(MID(Общий!B402,SEARCH("Karcher",Общий!B402,1),19),".",""),"-","")),1)+8,8)),VALUE(LEFT(SUBSTITUTE(SUBSTITUTE(Общий!B402,".",""),"-",""),8))),"0"),IFERROR(VALUE(MID(TRIM(SUBSTITUTE(SUBSTITUTE(MID(Общий!B402,SEARCH("Karcher",Общий!B402,1),19),".",""),"-","")),SEARCH("Karcher",TRIM(SUBSTITUTE(SUBSTITUTE(MID(Общий!B402,SEARCH("Karcher",Общий!B402,1),19),".",""),"-","")),1)+8,8)),VALUE(LEFT(SUBSTITUTE(SUBSTITUTE(Общий!B402,".",""),"-",""),8))))),0)</f>
        <v>0</v>
      </c>
      <c r="B402" s="25">
        <f>IFERROR(CONCATENATE(VALUE(IF(LEN(IFERROR(VALUE(MID(TRIM(SUBSTITUTE(SUBSTITUTE(MID(Общий!B402,SEARCH("Karcher",Общий!B402,1),19),".",""),"-","")),SEARCH("Karcher",TRIM(SUBSTITUTE(SUBSTITUTE(MID(Общий!B402,SEARCH("Karcher",Общий!B402,1),19),".",""),"-","")),1)+8,8)),VALUE(LEFT(SUBSTITUTE(SUBSTITUTE(Общий!B402,".",""),"-",""),8))))=7,CONCATENATE(IFERROR(VALUE(MID(TRIM(SUBSTITUTE(SUBSTITUTE(MID(Общий!B402,SEARCH("Karcher",Общий!B402,1),19),".",""),"-","")),SEARCH("Karcher",TRIM(SUBSTITUTE(SUBSTITUTE(MID(Общий!B402,SEARCH("Karcher",Общий!B402,1),19),".",""),"-","")),1)+8,8)),VALUE(LEFT(SUBSTITUTE(SUBSTITUTE(Общий!B402,".",""),"-",""),8))),"0"),IFERROR(VALUE(MID(TRIM(SUBSTITUTE(SUBSTITUTE(MID(Общий!B402,SEARCH("Karcher",Общий!B402,1),19),".",""),"-","")),SEARCH("Karcher",TRIM(SUBSTITUTE(SUBSTITUTE(MID(Общий!B402,SEARCH("Karcher",Общий!B402,1),19),".",""),"-","")),1)+8,8)),VALUE(LEFT(SUBSTITUTE(SUBSTITUTE(Общий!B402,".",""),"-",""),8)))))," ",Общий!C402),0)</f>
        <v>0</v>
      </c>
      <c r="C402" s="29" t="str">
        <f>Общий!A402</f>
        <v>394</v>
      </c>
      <c r="D402" s="27">
        <f>Общий!B402</f>
        <v>0</v>
      </c>
      <c r="E402" s="28">
        <f>Общий!C402</f>
        <v>0</v>
      </c>
      <c r="G402" s="44"/>
      <c r="H402" s="44"/>
      <c r="I402" s="44"/>
      <c r="J402" s="35"/>
    </row>
    <row r="403" spans="1:10">
      <c r="A403" s="31">
        <f>IFERROR(VALUE(IF(LEN(IFERROR(VALUE(MID(TRIM(SUBSTITUTE(SUBSTITUTE(MID(Общий!B403,SEARCH("Karcher",Общий!B403,1),19),".",""),"-","")),SEARCH("Karcher",TRIM(SUBSTITUTE(SUBSTITUTE(MID(Общий!B403,SEARCH("Karcher",Общий!B403,1),19),".",""),"-","")),1)+8,8)),VALUE(LEFT(SUBSTITUTE(SUBSTITUTE(Общий!B403,".",""),"-",""),8))))=7,CONCATENATE(IFERROR(VALUE(MID(TRIM(SUBSTITUTE(SUBSTITUTE(MID(Общий!B403,SEARCH("Karcher",Общий!B403,1),19),".",""),"-","")),SEARCH("Karcher",TRIM(SUBSTITUTE(SUBSTITUTE(MID(Общий!B403,SEARCH("Karcher",Общий!B403,1),19),".",""),"-","")),1)+8,8)),VALUE(LEFT(SUBSTITUTE(SUBSTITUTE(Общий!B403,".",""),"-",""),8))),"0"),IFERROR(VALUE(MID(TRIM(SUBSTITUTE(SUBSTITUTE(MID(Общий!B403,SEARCH("Karcher",Общий!B403,1),19),".",""),"-","")),SEARCH("Karcher",TRIM(SUBSTITUTE(SUBSTITUTE(MID(Общий!B403,SEARCH("Karcher",Общий!B403,1),19),".",""),"-","")),1)+8,8)),VALUE(LEFT(SUBSTITUTE(SUBSTITUTE(Общий!B403,".",""),"-",""),8))))),0)</f>
        <v>0</v>
      </c>
      <c r="B403" s="25">
        <f>IFERROR(CONCATENATE(VALUE(IF(LEN(IFERROR(VALUE(MID(TRIM(SUBSTITUTE(SUBSTITUTE(MID(Общий!B403,SEARCH("Karcher",Общий!B403,1),19),".",""),"-","")),SEARCH("Karcher",TRIM(SUBSTITUTE(SUBSTITUTE(MID(Общий!B403,SEARCH("Karcher",Общий!B403,1),19),".",""),"-","")),1)+8,8)),VALUE(LEFT(SUBSTITUTE(SUBSTITUTE(Общий!B403,".",""),"-",""),8))))=7,CONCATENATE(IFERROR(VALUE(MID(TRIM(SUBSTITUTE(SUBSTITUTE(MID(Общий!B403,SEARCH("Karcher",Общий!B403,1),19),".",""),"-","")),SEARCH("Karcher",TRIM(SUBSTITUTE(SUBSTITUTE(MID(Общий!B403,SEARCH("Karcher",Общий!B403,1),19),".",""),"-","")),1)+8,8)),VALUE(LEFT(SUBSTITUTE(SUBSTITUTE(Общий!B403,".",""),"-",""),8))),"0"),IFERROR(VALUE(MID(TRIM(SUBSTITUTE(SUBSTITUTE(MID(Общий!B403,SEARCH("Karcher",Общий!B403,1),19),".",""),"-","")),SEARCH("Karcher",TRIM(SUBSTITUTE(SUBSTITUTE(MID(Общий!B403,SEARCH("Karcher",Общий!B403,1),19),".",""),"-","")),1)+8,8)),VALUE(LEFT(SUBSTITUTE(SUBSTITUTE(Общий!B403,".",""),"-",""),8)))))," ",Общий!C403),0)</f>
        <v>0</v>
      </c>
      <c r="C403" s="29" t="str">
        <f>Общий!A403</f>
        <v>395</v>
      </c>
      <c r="D403" s="27">
        <f>Общий!B403</f>
        <v>0</v>
      </c>
      <c r="E403" s="28">
        <f>Общий!C403</f>
        <v>0</v>
      </c>
      <c r="G403" s="44"/>
      <c r="H403" s="44"/>
      <c r="I403" s="44"/>
      <c r="J403" s="35"/>
    </row>
    <row r="404" spans="1:10">
      <c r="A404" s="31">
        <f>IFERROR(VALUE(IF(LEN(IFERROR(VALUE(MID(TRIM(SUBSTITUTE(SUBSTITUTE(MID(Общий!B404,SEARCH("Karcher",Общий!B404,1),19),".",""),"-","")),SEARCH("Karcher",TRIM(SUBSTITUTE(SUBSTITUTE(MID(Общий!B404,SEARCH("Karcher",Общий!B404,1),19),".",""),"-","")),1)+8,8)),VALUE(LEFT(SUBSTITUTE(SUBSTITUTE(Общий!B404,".",""),"-",""),8))))=7,CONCATENATE(IFERROR(VALUE(MID(TRIM(SUBSTITUTE(SUBSTITUTE(MID(Общий!B404,SEARCH("Karcher",Общий!B404,1),19),".",""),"-","")),SEARCH("Karcher",TRIM(SUBSTITUTE(SUBSTITUTE(MID(Общий!B404,SEARCH("Karcher",Общий!B404,1),19),".",""),"-","")),1)+8,8)),VALUE(LEFT(SUBSTITUTE(SUBSTITUTE(Общий!B404,".",""),"-",""),8))),"0"),IFERROR(VALUE(MID(TRIM(SUBSTITUTE(SUBSTITUTE(MID(Общий!B404,SEARCH("Karcher",Общий!B404,1),19),".",""),"-","")),SEARCH("Karcher",TRIM(SUBSTITUTE(SUBSTITUTE(MID(Общий!B404,SEARCH("Karcher",Общий!B404,1),19),".",""),"-","")),1)+8,8)),VALUE(LEFT(SUBSTITUTE(SUBSTITUTE(Общий!B404,".",""),"-",""),8))))),0)</f>
        <v>0</v>
      </c>
      <c r="B404" s="25">
        <f>IFERROR(CONCATENATE(VALUE(IF(LEN(IFERROR(VALUE(MID(TRIM(SUBSTITUTE(SUBSTITUTE(MID(Общий!B404,SEARCH("Karcher",Общий!B404,1),19),".",""),"-","")),SEARCH("Karcher",TRIM(SUBSTITUTE(SUBSTITUTE(MID(Общий!B404,SEARCH("Karcher",Общий!B404,1),19),".",""),"-","")),1)+8,8)),VALUE(LEFT(SUBSTITUTE(SUBSTITUTE(Общий!B404,".",""),"-",""),8))))=7,CONCATENATE(IFERROR(VALUE(MID(TRIM(SUBSTITUTE(SUBSTITUTE(MID(Общий!B404,SEARCH("Karcher",Общий!B404,1),19),".",""),"-","")),SEARCH("Karcher",TRIM(SUBSTITUTE(SUBSTITUTE(MID(Общий!B404,SEARCH("Karcher",Общий!B404,1),19),".",""),"-","")),1)+8,8)),VALUE(LEFT(SUBSTITUTE(SUBSTITUTE(Общий!B404,".",""),"-",""),8))),"0"),IFERROR(VALUE(MID(TRIM(SUBSTITUTE(SUBSTITUTE(MID(Общий!B404,SEARCH("Karcher",Общий!B404,1),19),".",""),"-","")),SEARCH("Karcher",TRIM(SUBSTITUTE(SUBSTITUTE(MID(Общий!B404,SEARCH("Karcher",Общий!B404,1),19),".",""),"-","")),1)+8,8)),VALUE(LEFT(SUBSTITUTE(SUBSTITUTE(Общий!B404,".",""),"-",""),8)))))," ",Общий!C404),0)</f>
        <v>0</v>
      </c>
      <c r="C404" s="29" t="str">
        <f>Общий!A404</f>
        <v>396</v>
      </c>
      <c r="D404" s="27">
        <f>Общий!B404</f>
        <v>0</v>
      </c>
      <c r="E404" s="28">
        <f>Общий!C404</f>
        <v>0</v>
      </c>
      <c r="G404" s="44"/>
      <c r="H404" s="44"/>
      <c r="I404" s="44"/>
      <c r="J404" s="35"/>
    </row>
    <row r="405" spans="1:10">
      <c r="A405" s="31">
        <f>IFERROR(VALUE(IF(LEN(IFERROR(VALUE(MID(TRIM(SUBSTITUTE(SUBSTITUTE(MID(Общий!B405,SEARCH("Karcher",Общий!B405,1),19),".",""),"-","")),SEARCH("Karcher",TRIM(SUBSTITUTE(SUBSTITUTE(MID(Общий!B405,SEARCH("Karcher",Общий!B405,1),19),".",""),"-","")),1)+8,8)),VALUE(LEFT(SUBSTITUTE(SUBSTITUTE(Общий!B405,".",""),"-",""),8))))=7,CONCATENATE(IFERROR(VALUE(MID(TRIM(SUBSTITUTE(SUBSTITUTE(MID(Общий!B405,SEARCH("Karcher",Общий!B405,1),19),".",""),"-","")),SEARCH("Karcher",TRIM(SUBSTITUTE(SUBSTITUTE(MID(Общий!B405,SEARCH("Karcher",Общий!B405,1),19),".",""),"-","")),1)+8,8)),VALUE(LEFT(SUBSTITUTE(SUBSTITUTE(Общий!B405,".",""),"-",""),8))),"0"),IFERROR(VALUE(MID(TRIM(SUBSTITUTE(SUBSTITUTE(MID(Общий!B405,SEARCH("Karcher",Общий!B405,1),19),".",""),"-","")),SEARCH("Karcher",TRIM(SUBSTITUTE(SUBSTITUTE(MID(Общий!B405,SEARCH("Karcher",Общий!B405,1),19),".",""),"-","")),1)+8,8)),VALUE(LEFT(SUBSTITUTE(SUBSTITUTE(Общий!B405,".",""),"-",""),8))))),0)</f>
        <v>0</v>
      </c>
      <c r="B405" s="25">
        <f>IFERROR(CONCATENATE(VALUE(IF(LEN(IFERROR(VALUE(MID(TRIM(SUBSTITUTE(SUBSTITUTE(MID(Общий!B405,SEARCH("Karcher",Общий!B405,1),19),".",""),"-","")),SEARCH("Karcher",TRIM(SUBSTITUTE(SUBSTITUTE(MID(Общий!B405,SEARCH("Karcher",Общий!B405,1),19),".",""),"-","")),1)+8,8)),VALUE(LEFT(SUBSTITUTE(SUBSTITUTE(Общий!B405,".",""),"-",""),8))))=7,CONCATENATE(IFERROR(VALUE(MID(TRIM(SUBSTITUTE(SUBSTITUTE(MID(Общий!B405,SEARCH("Karcher",Общий!B405,1),19),".",""),"-","")),SEARCH("Karcher",TRIM(SUBSTITUTE(SUBSTITUTE(MID(Общий!B405,SEARCH("Karcher",Общий!B405,1),19),".",""),"-","")),1)+8,8)),VALUE(LEFT(SUBSTITUTE(SUBSTITUTE(Общий!B405,".",""),"-",""),8))),"0"),IFERROR(VALUE(MID(TRIM(SUBSTITUTE(SUBSTITUTE(MID(Общий!B405,SEARCH("Karcher",Общий!B405,1),19),".",""),"-","")),SEARCH("Karcher",TRIM(SUBSTITUTE(SUBSTITUTE(MID(Общий!B405,SEARCH("Karcher",Общий!B405,1),19),".",""),"-","")),1)+8,8)),VALUE(LEFT(SUBSTITUTE(SUBSTITUTE(Общий!B405,".",""),"-",""),8)))))," ",Общий!C405),0)</f>
        <v>0</v>
      </c>
      <c r="C405" s="29" t="str">
        <f>Общий!A405</f>
        <v>397</v>
      </c>
      <c r="D405" s="27">
        <f>Общий!B405</f>
        <v>0</v>
      </c>
      <c r="E405" s="28">
        <f>Общий!C405</f>
        <v>0</v>
      </c>
      <c r="G405" s="44"/>
      <c r="H405" s="44"/>
      <c r="I405" s="44"/>
      <c r="J405" s="35"/>
    </row>
    <row r="406" spans="1:10">
      <c r="A406" s="31">
        <f>IFERROR(VALUE(IF(LEN(IFERROR(VALUE(MID(TRIM(SUBSTITUTE(SUBSTITUTE(MID(Общий!B406,SEARCH("Karcher",Общий!B406,1),19),".",""),"-","")),SEARCH("Karcher",TRIM(SUBSTITUTE(SUBSTITUTE(MID(Общий!B406,SEARCH("Karcher",Общий!B406,1),19),".",""),"-","")),1)+8,8)),VALUE(LEFT(SUBSTITUTE(SUBSTITUTE(Общий!B406,".",""),"-",""),8))))=7,CONCATENATE(IFERROR(VALUE(MID(TRIM(SUBSTITUTE(SUBSTITUTE(MID(Общий!B406,SEARCH("Karcher",Общий!B406,1),19),".",""),"-","")),SEARCH("Karcher",TRIM(SUBSTITUTE(SUBSTITUTE(MID(Общий!B406,SEARCH("Karcher",Общий!B406,1),19),".",""),"-","")),1)+8,8)),VALUE(LEFT(SUBSTITUTE(SUBSTITUTE(Общий!B406,".",""),"-",""),8))),"0"),IFERROR(VALUE(MID(TRIM(SUBSTITUTE(SUBSTITUTE(MID(Общий!B406,SEARCH("Karcher",Общий!B406,1),19),".",""),"-","")),SEARCH("Karcher",TRIM(SUBSTITUTE(SUBSTITUTE(MID(Общий!B406,SEARCH("Karcher",Общий!B406,1),19),".",""),"-","")),1)+8,8)),VALUE(LEFT(SUBSTITUTE(SUBSTITUTE(Общий!B406,".",""),"-",""),8))))),0)</f>
        <v>0</v>
      </c>
      <c r="B406" s="25">
        <f>IFERROR(CONCATENATE(VALUE(IF(LEN(IFERROR(VALUE(MID(TRIM(SUBSTITUTE(SUBSTITUTE(MID(Общий!B406,SEARCH("Karcher",Общий!B406,1),19),".",""),"-","")),SEARCH("Karcher",TRIM(SUBSTITUTE(SUBSTITUTE(MID(Общий!B406,SEARCH("Karcher",Общий!B406,1),19),".",""),"-","")),1)+8,8)),VALUE(LEFT(SUBSTITUTE(SUBSTITUTE(Общий!B406,".",""),"-",""),8))))=7,CONCATENATE(IFERROR(VALUE(MID(TRIM(SUBSTITUTE(SUBSTITUTE(MID(Общий!B406,SEARCH("Karcher",Общий!B406,1),19),".",""),"-","")),SEARCH("Karcher",TRIM(SUBSTITUTE(SUBSTITUTE(MID(Общий!B406,SEARCH("Karcher",Общий!B406,1),19),".",""),"-","")),1)+8,8)),VALUE(LEFT(SUBSTITUTE(SUBSTITUTE(Общий!B406,".",""),"-",""),8))),"0"),IFERROR(VALUE(MID(TRIM(SUBSTITUTE(SUBSTITUTE(MID(Общий!B406,SEARCH("Karcher",Общий!B406,1),19),".",""),"-","")),SEARCH("Karcher",TRIM(SUBSTITUTE(SUBSTITUTE(MID(Общий!B406,SEARCH("Karcher",Общий!B406,1),19),".",""),"-","")),1)+8,8)),VALUE(LEFT(SUBSTITUTE(SUBSTITUTE(Общий!B406,".",""),"-",""),8)))))," ",Общий!C406),0)</f>
        <v>0</v>
      </c>
      <c r="C406" s="29" t="str">
        <f>Общий!A406</f>
        <v>398</v>
      </c>
      <c r="D406" s="27">
        <f>Общий!B406</f>
        <v>0</v>
      </c>
      <c r="E406" s="28">
        <f>Общий!C406</f>
        <v>0</v>
      </c>
      <c r="G406" s="44"/>
      <c r="H406" s="44"/>
      <c r="I406" s="44"/>
      <c r="J406" s="35"/>
    </row>
    <row r="407" spans="1:10">
      <c r="A407" s="31">
        <f>IFERROR(VALUE(IF(LEN(IFERROR(VALUE(MID(TRIM(SUBSTITUTE(SUBSTITUTE(MID(Общий!B407,SEARCH("Karcher",Общий!B407,1),19),".",""),"-","")),SEARCH("Karcher",TRIM(SUBSTITUTE(SUBSTITUTE(MID(Общий!B407,SEARCH("Karcher",Общий!B407,1),19),".",""),"-","")),1)+8,8)),VALUE(LEFT(SUBSTITUTE(SUBSTITUTE(Общий!B407,".",""),"-",""),8))))=7,CONCATENATE(IFERROR(VALUE(MID(TRIM(SUBSTITUTE(SUBSTITUTE(MID(Общий!B407,SEARCH("Karcher",Общий!B407,1),19),".",""),"-","")),SEARCH("Karcher",TRIM(SUBSTITUTE(SUBSTITUTE(MID(Общий!B407,SEARCH("Karcher",Общий!B407,1),19),".",""),"-","")),1)+8,8)),VALUE(LEFT(SUBSTITUTE(SUBSTITUTE(Общий!B407,".",""),"-",""),8))),"0"),IFERROR(VALUE(MID(TRIM(SUBSTITUTE(SUBSTITUTE(MID(Общий!B407,SEARCH("Karcher",Общий!B407,1),19),".",""),"-","")),SEARCH("Karcher",TRIM(SUBSTITUTE(SUBSTITUTE(MID(Общий!B407,SEARCH("Karcher",Общий!B407,1),19),".",""),"-","")),1)+8,8)),VALUE(LEFT(SUBSTITUTE(SUBSTITUTE(Общий!B407,".",""),"-",""),8))))),0)</f>
        <v>0</v>
      </c>
      <c r="B407" s="25">
        <f>IFERROR(CONCATENATE(VALUE(IF(LEN(IFERROR(VALUE(MID(TRIM(SUBSTITUTE(SUBSTITUTE(MID(Общий!B407,SEARCH("Karcher",Общий!B407,1),19),".",""),"-","")),SEARCH("Karcher",TRIM(SUBSTITUTE(SUBSTITUTE(MID(Общий!B407,SEARCH("Karcher",Общий!B407,1),19),".",""),"-","")),1)+8,8)),VALUE(LEFT(SUBSTITUTE(SUBSTITUTE(Общий!B407,".",""),"-",""),8))))=7,CONCATENATE(IFERROR(VALUE(MID(TRIM(SUBSTITUTE(SUBSTITUTE(MID(Общий!B407,SEARCH("Karcher",Общий!B407,1),19),".",""),"-","")),SEARCH("Karcher",TRIM(SUBSTITUTE(SUBSTITUTE(MID(Общий!B407,SEARCH("Karcher",Общий!B407,1),19),".",""),"-","")),1)+8,8)),VALUE(LEFT(SUBSTITUTE(SUBSTITUTE(Общий!B407,".",""),"-",""),8))),"0"),IFERROR(VALUE(MID(TRIM(SUBSTITUTE(SUBSTITUTE(MID(Общий!B407,SEARCH("Karcher",Общий!B407,1),19),".",""),"-","")),SEARCH("Karcher",TRIM(SUBSTITUTE(SUBSTITUTE(MID(Общий!B407,SEARCH("Karcher",Общий!B407,1),19),".",""),"-","")),1)+8,8)),VALUE(LEFT(SUBSTITUTE(SUBSTITUTE(Общий!B407,".",""),"-",""),8)))))," ",Общий!C407),0)</f>
        <v>0</v>
      </c>
      <c r="C407" s="29" t="str">
        <f>Общий!A407</f>
        <v>399</v>
      </c>
      <c r="D407" s="27">
        <f>Общий!B407</f>
        <v>0</v>
      </c>
      <c r="E407" s="28">
        <f>Общий!C407</f>
        <v>0</v>
      </c>
      <c r="G407" s="44"/>
      <c r="H407" s="44"/>
      <c r="I407" s="44"/>
      <c r="J407" s="35"/>
    </row>
    <row r="408" spans="1:10">
      <c r="A408" s="31">
        <f>IFERROR(VALUE(IF(LEN(IFERROR(VALUE(MID(TRIM(SUBSTITUTE(SUBSTITUTE(MID(Общий!B408,SEARCH("Karcher",Общий!B408,1),19),".",""),"-","")),SEARCH("Karcher",TRIM(SUBSTITUTE(SUBSTITUTE(MID(Общий!B408,SEARCH("Karcher",Общий!B408,1),19),".",""),"-","")),1)+8,8)),VALUE(LEFT(SUBSTITUTE(SUBSTITUTE(Общий!B408,".",""),"-",""),8))))=7,CONCATENATE(IFERROR(VALUE(MID(TRIM(SUBSTITUTE(SUBSTITUTE(MID(Общий!B408,SEARCH("Karcher",Общий!B408,1),19),".",""),"-","")),SEARCH("Karcher",TRIM(SUBSTITUTE(SUBSTITUTE(MID(Общий!B408,SEARCH("Karcher",Общий!B408,1),19),".",""),"-","")),1)+8,8)),VALUE(LEFT(SUBSTITUTE(SUBSTITUTE(Общий!B408,".",""),"-",""),8))),"0"),IFERROR(VALUE(MID(TRIM(SUBSTITUTE(SUBSTITUTE(MID(Общий!B408,SEARCH("Karcher",Общий!B408,1),19),".",""),"-","")),SEARCH("Karcher",TRIM(SUBSTITUTE(SUBSTITUTE(MID(Общий!B408,SEARCH("Karcher",Общий!B408,1),19),".",""),"-","")),1)+8,8)),VALUE(LEFT(SUBSTITUTE(SUBSTITUTE(Общий!B408,".",""),"-",""),8))))),0)</f>
        <v>0</v>
      </c>
      <c r="B408" s="25">
        <f>IFERROR(CONCATENATE(VALUE(IF(LEN(IFERROR(VALUE(MID(TRIM(SUBSTITUTE(SUBSTITUTE(MID(Общий!B408,SEARCH("Karcher",Общий!B408,1),19),".",""),"-","")),SEARCH("Karcher",TRIM(SUBSTITUTE(SUBSTITUTE(MID(Общий!B408,SEARCH("Karcher",Общий!B408,1),19),".",""),"-","")),1)+8,8)),VALUE(LEFT(SUBSTITUTE(SUBSTITUTE(Общий!B408,".",""),"-",""),8))))=7,CONCATENATE(IFERROR(VALUE(MID(TRIM(SUBSTITUTE(SUBSTITUTE(MID(Общий!B408,SEARCH("Karcher",Общий!B408,1),19),".",""),"-","")),SEARCH("Karcher",TRIM(SUBSTITUTE(SUBSTITUTE(MID(Общий!B408,SEARCH("Karcher",Общий!B408,1),19),".",""),"-","")),1)+8,8)),VALUE(LEFT(SUBSTITUTE(SUBSTITUTE(Общий!B408,".",""),"-",""),8))),"0"),IFERROR(VALUE(MID(TRIM(SUBSTITUTE(SUBSTITUTE(MID(Общий!B408,SEARCH("Karcher",Общий!B408,1),19),".",""),"-","")),SEARCH("Karcher",TRIM(SUBSTITUTE(SUBSTITUTE(MID(Общий!B408,SEARCH("Karcher",Общий!B408,1),19),".",""),"-","")),1)+8,8)),VALUE(LEFT(SUBSTITUTE(SUBSTITUTE(Общий!B408,".",""),"-",""),8)))))," ",Общий!C408),0)</f>
        <v>0</v>
      </c>
      <c r="C408" s="29" t="str">
        <f>Общий!A408</f>
        <v>400</v>
      </c>
      <c r="D408" s="27">
        <f>Общий!B408</f>
        <v>0</v>
      </c>
      <c r="E408" s="28">
        <f>Общий!C408</f>
        <v>0</v>
      </c>
      <c r="G408" s="44"/>
      <c r="H408" s="44"/>
      <c r="I408" s="44"/>
      <c r="J408" s="35"/>
    </row>
    <row r="409" spans="1:10">
      <c r="A409" s="31">
        <f>IFERROR(VALUE(IF(LEN(IFERROR(VALUE(MID(TRIM(SUBSTITUTE(SUBSTITUTE(MID(Общий!B409,SEARCH("Karcher",Общий!B409,1),19),".",""),"-","")),SEARCH("Karcher",TRIM(SUBSTITUTE(SUBSTITUTE(MID(Общий!B409,SEARCH("Karcher",Общий!B409,1),19),".",""),"-","")),1)+8,8)),VALUE(LEFT(SUBSTITUTE(SUBSTITUTE(Общий!B409,".",""),"-",""),8))))=7,CONCATENATE(IFERROR(VALUE(MID(TRIM(SUBSTITUTE(SUBSTITUTE(MID(Общий!B409,SEARCH("Karcher",Общий!B409,1),19),".",""),"-","")),SEARCH("Karcher",TRIM(SUBSTITUTE(SUBSTITUTE(MID(Общий!B409,SEARCH("Karcher",Общий!B409,1),19),".",""),"-","")),1)+8,8)),VALUE(LEFT(SUBSTITUTE(SUBSTITUTE(Общий!B409,".",""),"-",""),8))),"0"),IFERROR(VALUE(MID(TRIM(SUBSTITUTE(SUBSTITUTE(MID(Общий!B409,SEARCH("Karcher",Общий!B409,1),19),".",""),"-","")),SEARCH("Karcher",TRIM(SUBSTITUTE(SUBSTITUTE(MID(Общий!B409,SEARCH("Karcher",Общий!B409,1),19),".",""),"-","")),1)+8,8)),VALUE(LEFT(SUBSTITUTE(SUBSTITUTE(Общий!B409,".",""),"-",""),8))))),0)</f>
        <v>0</v>
      </c>
      <c r="B409" s="25">
        <f>IFERROR(CONCATENATE(VALUE(IF(LEN(IFERROR(VALUE(MID(TRIM(SUBSTITUTE(SUBSTITUTE(MID(Общий!B409,SEARCH("Karcher",Общий!B409,1),19),".",""),"-","")),SEARCH("Karcher",TRIM(SUBSTITUTE(SUBSTITUTE(MID(Общий!B409,SEARCH("Karcher",Общий!B409,1),19),".",""),"-","")),1)+8,8)),VALUE(LEFT(SUBSTITUTE(SUBSTITUTE(Общий!B409,".",""),"-",""),8))))=7,CONCATENATE(IFERROR(VALUE(MID(TRIM(SUBSTITUTE(SUBSTITUTE(MID(Общий!B409,SEARCH("Karcher",Общий!B409,1),19),".",""),"-","")),SEARCH("Karcher",TRIM(SUBSTITUTE(SUBSTITUTE(MID(Общий!B409,SEARCH("Karcher",Общий!B409,1),19),".",""),"-","")),1)+8,8)),VALUE(LEFT(SUBSTITUTE(SUBSTITUTE(Общий!B409,".",""),"-",""),8))),"0"),IFERROR(VALUE(MID(TRIM(SUBSTITUTE(SUBSTITUTE(MID(Общий!B409,SEARCH("Karcher",Общий!B409,1),19),".",""),"-","")),SEARCH("Karcher",TRIM(SUBSTITUTE(SUBSTITUTE(MID(Общий!B409,SEARCH("Karcher",Общий!B409,1),19),".",""),"-","")),1)+8,8)),VALUE(LEFT(SUBSTITUTE(SUBSTITUTE(Общий!B409,".",""),"-",""),8)))))," ",Общий!C409),0)</f>
        <v>0</v>
      </c>
      <c r="C409" s="29" t="str">
        <f>Общий!A409</f>
        <v>401</v>
      </c>
      <c r="D409" s="27">
        <f>Общий!B409</f>
        <v>0</v>
      </c>
      <c r="E409" s="28">
        <f>Общий!C409</f>
        <v>0</v>
      </c>
      <c r="G409" s="44"/>
      <c r="H409" s="44"/>
      <c r="I409" s="44"/>
      <c r="J409" s="35"/>
    </row>
    <row r="410" spans="1:10">
      <c r="A410" s="31">
        <f>IFERROR(VALUE(IF(LEN(IFERROR(VALUE(MID(TRIM(SUBSTITUTE(SUBSTITUTE(MID(Общий!B410,SEARCH("Karcher",Общий!B410,1),19),".",""),"-","")),SEARCH("Karcher",TRIM(SUBSTITUTE(SUBSTITUTE(MID(Общий!B410,SEARCH("Karcher",Общий!B410,1),19),".",""),"-","")),1)+8,8)),VALUE(LEFT(SUBSTITUTE(SUBSTITUTE(Общий!B410,".",""),"-",""),8))))=7,CONCATENATE(IFERROR(VALUE(MID(TRIM(SUBSTITUTE(SUBSTITUTE(MID(Общий!B410,SEARCH("Karcher",Общий!B410,1),19),".",""),"-","")),SEARCH("Karcher",TRIM(SUBSTITUTE(SUBSTITUTE(MID(Общий!B410,SEARCH("Karcher",Общий!B410,1),19),".",""),"-","")),1)+8,8)),VALUE(LEFT(SUBSTITUTE(SUBSTITUTE(Общий!B410,".",""),"-",""),8))),"0"),IFERROR(VALUE(MID(TRIM(SUBSTITUTE(SUBSTITUTE(MID(Общий!B410,SEARCH("Karcher",Общий!B410,1),19),".",""),"-","")),SEARCH("Karcher",TRIM(SUBSTITUTE(SUBSTITUTE(MID(Общий!B410,SEARCH("Karcher",Общий!B410,1),19),".",""),"-","")),1)+8,8)),VALUE(LEFT(SUBSTITUTE(SUBSTITUTE(Общий!B410,".",""),"-",""),8))))),0)</f>
        <v>0</v>
      </c>
      <c r="B410" s="25">
        <f>IFERROR(CONCATENATE(VALUE(IF(LEN(IFERROR(VALUE(MID(TRIM(SUBSTITUTE(SUBSTITUTE(MID(Общий!B410,SEARCH("Karcher",Общий!B410,1),19),".",""),"-","")),SEARCH("Karcher",TRIM(SUBSTITUTE(SUBSTITUTE(MID(Общий!B410,SEARCH("Karcher",Общий!B410,1),19),".",""),"-","")),1)+8,8)),VALUE(LEFT(SUBSTITUTE(SUBSTITUTE(Общий!B410,".",""),"-",""),8))))=7,CONCATENATE(IFERROR(VALUE(MID(TRIM(SUBSTITUTE(SUBSTITUTE(MID(Общий!B410,SEARCH("Karcher",Общий!B410,1),19),".",""),"-","")),SEARCH("Karcher",TRIM(SUBSTITUTE(SUBSTITUTE(MID(Общий!B410,SEARCH("Karcher",Общий!B410,1),19),".",""),"-","")),1)+8,8)),VALUE(LEFT(SUBSTITUTE(SUBSTITUTE(Общий!B410,".",""),"-",""),8))),"0"),IFERROR(VALUE(MID(TRIM(SUBSTITUTE(SUBSTITUTE(MID(Общий!B410,SEARCH("Karcher",Общий!B410,1),19),".",""),"-","")),SEARCH("Karcher",TRIM(SUBSTITUTE(SUBSTITUTE(MID(Общий!B410,SEARCH("Karcher",Общий!B410,1),19),".",""),"-","")),1)+8,8)),VALUE(LEFT(SUBSTITUTE(SUBSTITUTE(Общий!B410,".",""),"-",""),8)))))," ",Общий!C410),0)</f>
        <v>0</v>
      </c>
      <c r="C410" s="29" t="str">
        <f>Общий!A410</f>
        <v>402</v>
      </c>
      <c r="D410" s="27">
        <f>Общий!B410</f>
        <v>0</v>
      </c>
      <c r="E410" s="28">
        <f>Общий!C410</f>
        <v>0</v>
      </c>
      <c r="G410" s="44"/>
      <c r="H410" s="44"/>
      <c r="I410" s="44"/>
      <c r="J410" s="35"/>
    </row>
    <row r="411" spans="1:10">
      <c r="A411" s="31">
        <f>IFERROR(VALUE(IF(LEN(IFERROR(VALUE(MID(TRIM(SUBSTITUTE(SUBSTITUTE(MID(Общий!B411,SEARCH("Karcher",Общий!B411,1),19),".",""),"-","")),SEARCH("Karcher",TRIM(SUBSTITUTE(SUBSTITUTE(MID(Общий!B411,SEARCH("Karcher",Общий!B411,1),19),".",""),"-","")),1)+8,8)),VALUE(LEFT(SUBSTITUTE(SUBSTITUTE(Общий!B411,".",""),"-",""),8))))=7,CONCATENATE(IFERROR(VALUE(MID(TRIM(SUBSTITUTE(SUBSTITUTE(MID(Общий!B411,SEARCH("Karcher",Общий!B411,1),19),".",""),"-","")),SEARCH("Karcher",TRIM(SUBSTITUTE(SUBSTITUTE(MID(Общий!B411,SEARCH("Karcher",Общий!B411,1),19),".",""),"-","")),1)+8,8)),VALUE(LEFT(SUBSTITUTE(SUBSTITUTE(Общий!B411,".",""),"-",""),8))),"0"),IFERROR(VALUE(MID(TRIM(SUBSTITUTE(SUBSTITUTE(MID(Общий!B411,SEARCH("Karcher",Общий!B411,1),19),".",""),"-","")),SEARCH("Karcher",TRIM(SUBSTITUTE(SUBSTITUTE(MID(Общий!B411,SEARCH("Karcher",Общий!B411,1),19),".",""),"-","")),1)+8,8)),VALUE(LEFT(SUBSTITUTE(SUBSTITUTE(Общий!B411,".",""),"-",""),8))))),0)</f>
        <v>0</v>
      </c>
      <c r="B411" s="25">
        <f>IFERROR(CONCATENATE(VALUE(IF(LEN(IFERROR(VALUE(MID(TRIM(SUBSTITUTE(SUBSTITUTE(MID(Общий!B411,SEARCH("Karcher",Общий!B411,1),19),".",""),"-","")),SEARCH("Karcher",TRIM(SUBSTITUTE(SUBSTITUTE(MID(Общий!B411,SEARCH("Karcher",Общий!B411,1),19),".",""),"-","")),1)+8,8)),VALUE(LEFT(SUBSTITUTE(SUBSTITUTE(Общий!B411,".",""),"-",""),8))))=7,CONCATENATE(IFERROR(VALUE(MID(TRIM(SUBSTITUTE(SUBSTITUTE(MID(Общий!B411,SEARCH("Karcher",Общий!B411,1),19),".",""),"-","")),SEARCH("Karcher",TRIM(SUBSTITUTE(SUBSTITUTE(MID(Общий!B411,SEARCH("Karcher",Общий!B411,1),19),".",""),"-","")),1)+8,8)),VALUE(LEFT(SUBSTITUTE(SUBSTITUTE(Общий!B411,".",""),"-",""),8))),"0"),IFERROR(VALUE(MID(TRIM(SUBSTITUTE(SUBSTITUTE(MID(Общий!B411,SEARCH("Karcher",Общий!B411,1),19),".",""),"-","")),SEARCH("Karcher",TRIM(SUBSTITUTE(SUBSTITUTE(MID(Общий!B411,SEARCH("Karcher",Общий!B411,1),19),".",""),"-","")),1)+8,8)),VALUE(LEFT(SUBSTITUTE(SUBSTITUTE(Общий!B411,".",""),"-",""),8)))))," ",Общий!C411),0)</f>
        <v>0</v>
      </c>
      <c r="C411" s="29" t="str">
        <f>Общий!A411</f>
        <v>403</v>
      </c>
      <c r="D411" s="27">
        <f>Общий!B411</f>
        <v>0</v>
      </c>
      <c r="E411" s="28">
        <f>Общий!C411</f>
        <v>0</v>
      </c>
      <c r="G411" s="44"/>
      <c r="H411" s="44"/>
      <c r="I411" s="44"/>
      <c r="J411" s="35"/>
    </row>
    <row r="412" spans="1:10">
      <c r="A412" s="31">
        <f>IFERROR(VALUE(IF(LEN(IFERROR(VALUE(MID(TRIM(SUBSTITUTE(SUBSTITUTE(MID(Общий!B412,SEARCH("Karcher",Общий!B412,1),19),".",""),"-","")),SEARCH("Karcher",TRIM(SUBSTITUTE(SUBSTITUTE(MID(Общий!B412,SEARCH("Karcher",Общий!B412,1),19),".",""),"-","")),1)+8,8)),VALUE(LEFT(SUBSTITUTE(SUBSTITUTE(Общий!B412,".",""),"-",""),8))))=7,CONCATENATE(IFERROR(VALUE(MID(TRIM(SUBSTITUTE(SUBSTITUTE(MID(Общий!B412,SEARCH("Karcher",Общий!B412,1),19),".",""),"-","")),SEARCH("Karcher",TRIM(SUBSTITUTE(SUBSTITUTE(MID(Общий!B412,SEARCH("Karcher",Общий!B412,1),19),".",""),"-","")),1)+8,8)),VALUE(LEFT(SUBSTITUTE(SUBSTITUTE(Общий!B412,".",""),"-",""),8))),"0"),IFERROR(VALUE(MID(TRIM(SUBSTITUTE(SUBSTITUTE(MID(Общий!B412,SEARCH("Karcher",Общий!B412,1),19),".",""),"-","")),SEARCH("Karcher",TRIM(SUBSTITUTE(SUBSTITUTE(MID(Общий!B412,SEARCH("Karcher",Общий!B412,1),19),".",""),"-","")),1)+8,8)),VALUE(LEFT(SUBSTITUTE(SUBSTITUTE(Общий!B412,".",""),"-",""),8))))),0)</f>
        <v>0</v>
      </c>
      <c r="B412" s="25">
        <f>IFERROR(CONCATENATE(VALUE(IF(LEN(IFERROR(VALUE(MID(TRIM(SUBSTITUTE(SUBSTITUTE(MID(Общий!B412,SEARCH("Karcher",Общий!B412,1),19),".",""),"-","")),SEARCH("Karcher",TRIM(SUBSTITUTE(SUBSTITUTE(MID(Общий!B412,SEARCH("Karcher",Общий!B412,1),19),".",""),"-","")),1)+8,8)),VALUE(LEFT(SUBSTITUTE(SUBSTITUTE(Общий!B412,".",""),"-",""),8))))=7,CONCATENATE(IFERROR(VALUE(MID(TRIM(SUBSTITUTE(SUBSTITUTE(MID(Общий!B412,SEARCH("Karcher",Общий!B412,1),19),".",""),"-","")),SEARCH("Karcher",TRIM(SUBSTITUTE(SUBSTITUTE(MID(Общий!B412,SEARCH("Karcher",Общий!B412,1),19),".",""),"-","")),1)+8,8)),VALUE(LEFT(SUBSTITUTE(SUBSTITUTE(Общий!B412,".",""),"-",""),8))),"0"),IFERROR(VALUE(MID(TRIM(SUBSTITUTE(SUBSTITUTE(MID(Общий!B412,SEARCH("Karcher",Общий!B412,1),19),".",""),"-","")),SEARCH("Karcher",TRIM(SUBSTITUTE(SUBSTITUTE(MID(Общий!B412,SEARCH("Karcher",Общий!B412,1),19),".",""),"-","")),1)+8,8)),VALUE(LEFT(SUBSTITUTE(SUBSTITUTE(Общий!B412,".",""),"-",""),8)))))," ",Общий!C412),0)</f>
        <v>0</v>
      </c>
      <c r="C412" s="29" t="str">
        <f>Общий!A412</f>
        <v>404</v>
      </c>
      <c r="D412" s="27">
        <f>Общий!B412</f>
        <v>0</v>
      </c>
      <c r="E412" s="28">
        <f>Общий!C412</f>
        <v>0</v>
      </c>
      <c r="G412" s="44"/>
      <c r="H412" s="44"/>
      <c r="I412" s="44"/>
      <c r="J412" s="35"/>
    </row>
    <row r="413" spans="1:10">
      <c r="A413" s="31">
        <f>IFERROR(VALUE(IF(LEN(IFERROR(VALUE(MID(TRIM(SUBSTITUTE(SUBSTITUTE(MID(Общий!B413,SEARCH("Karcher",Общий!B413,1),19),".",""),"-","")),SEARCH("Karcher",TRIM(SUBSTITUTE(SUBSTITUTE(MID(Общий!B413,SEARCH("Karcher",Общий!B413,1),19),".",""),"-","")),1)+8,8)),VALUE(LEFT(SUBSTITUTE(SUBSTITUTE(Общий!B413,".",""),"-",""),8))))=7,CONCATENATE(IFERROR(VALUE(MID(TRIM(SUBSTITUTE(SUBSTITUTE(MID(Общий!B413,SEARCH("Karcher",Общий!B413,1),19),".",""),"-","")),SEARCH("Karcher",TRIM(SUBSTITUTE(SUBSTITUTE(MID(Общий!B413,SEARCH("Karcher",Общий!B413,1),19),".",""),"-","")),1)+8,8)),VALUE(LEFT(SUBSTITUTE(SUBSTITUTE(Общий!B413,".",""),"-",""),8))),"0"),IFERROR(VALUE(MID(TRIM(SUBSTITUTE(SUBSTITUTE(MID(Общий!B413,SEARCH("Karcher",Общий!B413,1),19),".",""),"-","")),SEARCH("Karcher",TRIM(SUBSTITUTE(SUBSTITUTE(MID(Общий!B413,SEARCH("Karcher",Общий!B413,1),19),".",""),"-","")),1)+8,8)),VALUE(LEFT(SUBSTITUTE(SUBSTITUTE(Общий!B413,".",""),"-",""),8))))),0)</f>
        <v>0</v>
      </c>
      <c r="B413" s="25">
        <f>IFERROR(CONCATENATE(VALUE(IF(LEN(IFERROR(VALUE(MID(TRIM(SUBSTITUTE(SUBSTITUTE(MID(Общий!B413,SEARCH("Karcher",Общий!B413,1),19),".",""),"-","")),SEARCH("Karcher",TRIM(SUBSTITUTE(SUBSTITUTE(MID(Общий!B413,SEARCH("Karcher",Общий!B413,1),19),".",""),"-","")),1)+8,8)),VALUE(LEFT(SUBSTITUTE(SUBSTITUTE(Общий!B413,".",""),"-",""),8))))=7,CONCATENATE(IFERROR(VALUE(MID(TRIM(SUBSTITUTE(SUBSTITUTE(MID(Общий!B413,SEARCH("Karcher",Общий!B413,1),19),".",""),"-","")),SEARCH("Karcher",TRIM(SUBSTITUTE(SUBSTITUTE(MID(Общий!B413,SEARCH("Karcher",Общий!B413,1),19),".",""),"-","")),1)+8,8)),VALUE(LEFT(SUBSTITUTE(SUBSTITUTE(Общий!B413,".",""),"-",""),8))),"0"),IFERROR(VALUE(MID(TRIM(SUBSTITUTE(SUBSTITUTE(MID(Общий!B413,SEARCH("Karcher",Общий!B413,1),19),".",""),"-","")),SEARCH("Karcher",TRIM(SUBSTITUTE(SUBSTITUTE(MID(Общий!B413,SEARCH("Karcher",Общий!B413,1),19),".",""),"-","")),1)+8,8)),VALUE(LEFT(SUBSTITUTE(SUBSTITUTE(Общий!B413,".",""),"-",""),8)))))," ",Общий!C413),0)</f>
        <v>0</v>
      </c>
      <c r="C413" s="29" t="str">
        <f>Общий!A413</f>
        <v>405</v>
      </c>
      <c r="D413" s="27">
        <f>Общий!B413</f>
        <v>0</v>
      </c>
      <c r="E413" s="28">
        <f>Общий!C413</f>
        <v>0</v>
      </c>
      <c r="G413" s="44"/>
      <c r="H413" s="44"/>
      <c r="I413" s="44"/>
      <c r="J413" s="35"/>
    </row>
    <row r="414" spans="1:10">
      <c r="A414" s="31">
        <f>IFERROR(VALUE(IF(LEN(IFERROR(VALUE(MID(TRIM(SUBSTITUTE(SUBSTITUTE(MID(Общий!B414,SEARCH("Karcher",Общий!B414,1),19),".",""),"-","")),SEARCH("Karcher",TRIM(SUBSTITUTE(SUBSTITUTE(MID(Общий!B414,SEARCH("Karcher",Общий!B414,1),19),".",""),"-","")),1)+8,8)),VALUE(LEFT(SUBSTITUTE(SUBSTITUTE(Общий!B414,".",""),"-",""),8))))=7,CONCATENATE(IFERROR(VALUE(MID(TRIM(SUBSTITUTE(SUBSTITUTE(MID(Общий!B414,SEARCH("Karcher",Общий!B414,1),19),".",""),"-","")),SEARCH("Karcher",TRIM(SUBSTITUTE(SUBSTITUTE(MID(Общий!B414,SEARCH("Karcher",Общий!B414,1),19),".",""),"-","")),1)+8,8)),VALUE(LEFT(SUBSTITUTE(SUBSTITUTE(Общий!B414,".",""),"-",""),8))),"0"),IFERROR(VALUE(MID(TRIM(SUBSTITUTE(SUBSTITUTE(MID(Общий!B414,SEARCH("Karcher",Общий!B414,1),19),".",""),"-","")),SEARCH("Karcher",TRIM(SUBSTITUTE(SUBSTITUTE(MID(Общий!B414,SEARCH("Karcher",Общий!B414,1),19),".",""),"-","")),1)+8,8)),VALUE(LEFT(SUBSTITUTE(SUBSTITUTE(Общий!B414,".",""),"-",""),8))))),0)</f>
        <v>0</v>
      </c>
      <c r="B414" s="25">
        <f>IFERROR(CONCATENATE(VALUE(IF(LEN(IFERROR(VALUE(MID(TRIM(SUBSTITUTE(SUBSTITUTE(MID(Общий!B414,SEARCH("Karcher",Общий!B414,1),19),".",""),"-","")),SEARCH("Karcher",TRIM(SUBSTITUTE(SUBSTITUTE(MID(Общий!B414,SEARCH("Karcher",Общий!B414,1),19),".",""),"-","")),1)+8,8)),VALUE(LEFT(SUBSTITUTE(SUBSTITUTE(Общий!B414,".",""),"-",""),8))))=7,CONCATENATE(IFERROR(VALUE(MID(TRIM(SUBSTITUTE(SUBSTITUTE(MID(Общий!B414,SEARCH("Karcher",Общий!B414,1),19),".",""),"-","")),SEARCH("Karcher",TRIM(SUBSTITUTE(SUBSTITUTE(MID(Общий!B414,SEARCH("Karcher",Общий!B414,1),19),".",""),"-","")),1)+8,8)),VALUE(LEFT(SUBSTITUTE(SUBSTITUTE(Общий!B414,".",""),"-",""),8))),"0"),IFERROR(VALUE(MID(TRIM(SUBSTITUTE(SUBSTITUTE(MID(Общий!B414,SEARCH("Karcher",Общий!B414,1),19),".",""),"-","")),SEARCH("Karcher",TRIM(SUBSTITUTE(SUBSTITUTE(MID(Общий!B414,SEARCH("Karcher",Общий!B414,1),19),".",""),"-","")),1)+8,8)),VALUE(LEFT(SUBSTITUTE(SUBSTITUTE(Общий!B414,".",""),"-",""),8)))))," ",Общий!C414),0)</f>
        <v>0</v>
      </c>
      <c r="C414" s="29" t="str">
        <f>Общий!A414</f>
        <v>406</v>
      </c>
      <c r="D414" s="27">
        <f>Общий!B414</f>
        <v>0</v>
      </c>
      <c r="E414" s="28">
        <f>Общий!C414</f>
        <v>0</v>
      </c>
      <c r="G414" s="44"/>
      <c r="H414" s="44"/>
      <c r="I414" s="44"/>
      <c r="J414" s="35"/>
    </row>
    <row r="415" spans="1:10">
      <c r="A415" s="31">
        <f>IFERROR(VALUE(IF(LEN(IFERROR(VALUE(MID(TRIM(SUBSTITUTE(SUBSTITUTE(MID(Общий!B415,SEARCH("Karcher",Общий!B415,1),19),".",""),"-","")),SEARCH("Karcher",TRIM(SUBSTITUTE(SUBSTITUTE(MID(Общий!B415,SEARCH("Karcher",Общий!B415,1),19),".",""),"-","")),1)+8,8)),VALUE(LEFT(SUBSTITUTE(SUBSTITUTE(Общий!B415,".",""),"-",""),8))))=7,CONCATENATE(IFERROR(VALUE(MID(TRIM(SUBSTITUTE(SUBSTITUTE(MID(Общий!B415,SEARCH("Karcher",Общий!B415,1),19),".",""),"-","")),SEARCH("Karcher",TRIM(SUBSTITUTE(SUBSTITUTE(MID(Общий!B415,SEARCH("Karcher",Общий!B415,1),19),".",""),"-","")),1)+8,8)),VALUE(LEFT(SUBSTITUTE(SUBSTITUTE(Общий!B415,".",""),"-",""),8))),"0"),IFERROR(VALUE(MID(TRIM(SUBSTITUTE(SUBSTITUTE(MID(Общий!B415,SEARCH("Karcher",Общий!B415,1),19),".",""),"-","")),SEARCH("Karcher",TRIM(SUBSTITUTE(SUBSTITUTE(MID(Общий!B415,SEARCH("Karcher",Общий!B415,1),19),".",""),"-","")),1)+8,8)),VALUE(LEFT(SUBSTITUTE(SUBSTITUTE(Общий!B415,".",""),"-",""),8))))),0)</f>
        <v>0</v>
      </c>
      <c r="B415" s="25">
        <f>IFERROR(CONCATENATE(VALUE(IF(LEN(IFERROR(VALUE(MID(TRIM(SUBSTITUTE(SUBSTITUTE(MID(Общий!B415,SEARCH("Karcher",Общий!B415,1),19),".",""),"-","")),SEARCH("Karcher",TRIM(SUBSTITUTE(SUBSTITUTE(MID(Общий!B415,SEARCH("Karcher",Общий!B415,1),19),".",""),"-","")),1)+8,8)),VALUE(LEFT(SUBSTITUTE(SUBSTITUTE(Общий!B415,".",""),"-",""),8))))=7,CONCATENATE(IFERROR(VALUE(MID(TRIM(SUBSTITUTE(SUBSTITUTE(MID(Общий!B415,SEARCH("Karcher",Общий!B415,1),19),".",""),"-","")),SEARCH("Karcher",TRIM(SUBSTITUTE(SUBSTITUTE(MID(Общий!B415,SEARCH("Karcher",Общий!B415,1),19),".",""),"-","")),1)+8,8)),VALUE(LEFT(SUBSTITUTE(SUBSTITUTE(Общий!B415,".",""),"-",""),8))),"0"),IFERROR(VALUE(MID(TRIM(SUBSTITUTE(SUBSTITUTE(MID(Общий!B415,SEARCH("Karcher",Общий!B415,1),19),".",""),"-","")),SEARCH("Karcher",TRIM(SUBSTITUTE(SUBSTITUTE(MID(Общий!B415,SEARCH("Karcher",Общий!B415,1),19),".",""),"-","")),1)+8,8)),VALUE(LEFT(SUBSTITUTE(SUBSTITUTE(Общий!B415,".",""),"-",""),8)))))," ",Общий!C415),0)</f>
        <v>0</v>
      </c>
      <c r="C415" s="29" t="str">
        <f>Общий!A415</f>
        <v>407</v>
      </c>
      <c r="D415" s="27">
        <f>Общий!B415</f>
        <v>0</v>
      </c>
      <c r="E415" s="28">
        <f>Общий!C415</f>
        <v>0</v>
      </c>
      <c r="G415" s="44"/>
      <c r="H415" s="44"/>
      <c r="I415" s="44"/>
      <c r="J415" s="35"/>
    </row>
    <row r="416" spans="1:10">
      <c r="A416" s="31">
        <f>IFERROR(VALUE(IF(LEN(IFERROR(VALUE(MID(TRIM(SUBSTITUTE(SUBSTITUTE(MID(Общий!B416,SEARCH("Karcher",Общий!B416,1),19),".",""),"-","")),SEARCH("Karcher",TRIM(SUBSTITUTE(SUBSTITUTE(MID(Общий!B416,SEARCH("Karcher",Общий!B416,1),19),".",""),"-","")),1)+8,8)),VALUE(LEFT(SUBSTITUTE(SUBSTITUTE(Общий!B416,".",""),"-",""),8))))=7,CONCATENATE(IFERROR(VALUE(MID(TRIM(SUBSTITUTE(SUBSTITUTE(MID(Общий!B416,SEARCH("Karcher",Общий!B416,1),19),".",""),"-","")),SEARCH("Karcher",TRIM(SUBSTITUTE(SUBSTITUTE(MID(Общий!B416,SEARCH("Karcher",Общий!B416,1),19),".",""),"-","")),1)+8,8)),VALUE(LEFT(SUBSTITUTE(SUBSTITUTE(Общий!B416,".",""),"-",""),8))),"0"),IFERROR(VALUE(MID(TRIM(SUBSTITUTE(SUBSTITUTE(MID(Общий!B416,SEARCH("Karcher",Общий!B416,1),19),".",""),"-","")),SEARCH("Karcher",TRIM(SUBSTITUTE(SUBSTITUTE(MID(Общий!B416,SEARCH("Karcher",Общий!B416,1),19),".",""),"-","")),1)+8,8)),VALUE(LEFT(SUBSTITUTE(SUBSTITUTE(Общий!B416,".",""),"-",""),8))))),0)</f>
        <v>0</v>
      </c>
      <c r="B416" s="25">
        <f>IFERROR(CONCATENATE(VALUE(IF(LEN(IFERROR(VALUE(MID(TRIM(SUBSTITUTE(SUBSTITUTE(MID(Общий!B416,SEARCH("Karcher",Общий!B416,1),19),".",""),"-","")),SEARCH("Karcher",TRIM(SUBSTITUTE(SUBSTITUTE(MID(Общий!B416,SEARCH("Karcher",Общий!B416,1),19),".",""),"-","")),1)+8,8)),VALUE(LEFT(SUBSTITUTE(SUBSTITUTE(Общий!B416,".",""),"-",""),8))))=7,CONCATENATE(IFERROR(VALUE(MID(TRIM(SUBSTITUTE(SUBSTITUTE(MID(Общий!B416,SEARCH("Karcher",Общий!B416,1),19),".",""),"-","")),SEARCH("Karcher",TRIM(SUBSTITUTE(SUBSTITUTE(MID(Общий!B416,SEARCH("Karcher",Общий!B416,1),19),".",""),"-","")),1)+8,8)),VALUE(LEFT(SUBSTITUTE(SUBSTITUTE(Общий!B416,".",""),"-",""),8))),"0"),IFERROR(VALUE(MID(TRIM(SUBSTITUTE(SUBSTITUTE(MID(Общий!B416,SEARCH("Karcher",Общий!B416,1),19),".",""),"-","")),SEARCH("Karcher",TRIM(SUBSTITUTE(SUBSTITUTE(MID(Общий!B416,SEARCH("Karcher",Общий!B416,1),19),".",""),"-","")),1)+8,8)),VALUE(LEFT(SUBSTITUTE(SUBSTITUTE(Общий!B416,".",""),"-",""),8)))))," ",Общий!C416),0)</f>
        <v>0</v>
      </c>
      <c r="C416" s="29" t="str">
        <f>Общий!A416</f>
        <v>408</v>
      </c>
      <c r="D416" s="27">
        <f>Общий!B416</f>
        <v>0</v>
      </c>
      <c r="E416" s="28">
        <f>Общий!C416</f>
        <v>0</v>
      </c>
      <c r="G416" s="44"/>
      <c r="H416" s="44"/>
      <c r="I416" s="44"/>
      <c r="J416" s="35"/>
    </row>
    <row r="417" spans="1:10">
      <c r="A417" s="31">
        <f>IFERROR(VALUE(IF(LEN(IFERROR(VALUE(MID(TRIM(SUBSTITUTE(SUBSTITUTE(MID(Общий!B417,SEARCH("Karcher",Общий!B417,1),19),".",""),"-","")),SEARCH("Karcher",TRIM(SUBSTITUTE(SUBSTITUTE(MID(Общий!B417,SEARCH("Karcher",Общий!B417,1),19),".",""),"-","")),1)+8,8)),VALUE(LEFT(SUBSTITUTE(SUBSTITUTE(Общий!B417,".",""),"-",""),8))))=7,CONCATENATE(IFERROR(VALUE(MID(TRIM(SUBSTITUTE(SUBSTITUTE(MID(Общий!B417,SEARCH("Karcher",Общий!B417,1),19),".",""),"-","")),SEARCH("Karcher",TRIM(SUBSTITUTE(SUBSTITUTE(MID(Общий!B417,SEARCH("Karcher",Общий!B417,1),19),".",""),"-","")),1)+8,8)),VALUE(LEFT(SUBSTITUTE(SUBSTITUTE(Общий!B417,".",""),"-",""),8))),"0"),IFERROR(VALUE(MID(TRIM(SUBSTITUTE(SUBSTITUTE(MID(Общий!B417,SEARCH("Karcher",Общий!B417,1),19),".",""),"-","")),SEARCH("Karcher",TRIM(SUBSTITUTE(SUBSTITUTE(MID(Общий!B417,SEARCH("Karcher",Общий!B417,1),19),".",""),"-","")),1)+8,8)),VALUE(LEFT(SUBSTITUTE(SUBSTITUTE(Общий!B417,".",""),"-",""),8))))),0)</f>
        <v>0</v>
      </c>
      <c r="B417" s="25">
        <f>IFERROR(CONCATENATE(VALUE(IF(LEN(IFERROR(VALUE(MID(TRIM(SUBSTITUTE(SUBSTITUTE(MID(Общий!B417,SEARCH("Karcher",Общий!B417,1),19),".",""),"-","")),SEARCH("Karcher",TRIM(SUBSTITUTE(SUBSTITUTE(MID(Общий!B417,SEARCH("Karcher",Общий!B417,1),19),".",""),"-","")),1)+8,8)),VALUE(LEFT(SUBSTITUTE(SUBSTITUTE(Общий!B417,".",""),"-",""),8))))=7,CONCATENATE(IFERROR(VALUE(MID(TRIM(SUBSTITUTE(SUBSTITUTE(MID(Общий!B417,SEARCH("Karcher",Общий!B417,1),19),".",""),"-","")),SEARCH("Karcher",TRIM(SUBSTITUTE(SUBSTITUTE(MID(Общий!B417,SEARCH("Karcher",Общий!B417,1),19),".",""),"-","")),1)+8,8)),VALUE(LEFT(SUBSTITUTE(SUBSTITUTE(Общий!B417,".",""),"-",""),8))),"0"),IFERROR(VALUE(MID(TRIM(SUBSTITUTE(SUBSTITUTE(MID(Общий!B417,SEARCH("Karcher",Общий!B417,1),19),".",""),"-","")),SEARCH("Karcher",TRIM(SUBSTITUTE(SUBSTITUTE(MID(Общий!B417,SEARCH("Karcher",Общий!B417,1),19),".",""),"-","")),1)+8,8)),VALUE(LEFT(SUBSTITUTE(SUBSTITUTE(Общий!B417,".",""),"-",""),8)))))," ",Общий!C417),0)</f>
        <v>0</v>
      </c>
      <c r="C417" s="29" t="str">
        <f>Общий!A417</f>
        <v>409</v>
      </c>
      <c r="D417" s="27">
        <f>Общий!B417</f>
        <v>0</v>
      </c>
      <c r="E417" s="28">
        <f>Общий!C417</f>
        <v>0</v>
      </c>
      <c r="G417" s="44"/>
      <c r="H417" s="44"/>
      <c r="I417" s="44"/>
      <c r="J417" s="35"/>
    </row>
    <row r="418" spans="1:10">
      <c r="A418" s="31">
        <f>IFERROR(VALUE(IF(LEN(IFERROR(VALUE(MID(TRIM(SUBSTITUTE(SUBSTITUTE(MID(Общий!B418,SEARCH("Karcher",Общий!B418,1),19),".",""),"-","")),SEARCH("Karcher",TRIM(SUBSTITUTE(SUBSTITUTE(MID(Общий!B418,SEARCH("Karcher",Общий!B418,1),19),".",""),"-","")),1)+8,8)),VALUE(LEFT(SUBSTITUTE(SUBSTITUTE(Общий!B418,".",""),"-",""),8))))=7,CONCATENATE(IFERROR(VALUE(MID(TRIM(SUBSTITUTE(SUBSTITUTE(MID(Общий!B418,SEARCH("Karcher",Общий!B418,1),19),".",""),"-","")),SEARCH("Karcher",TRIM(SUBSTITUTE(SUBSTITUTE(MID(Общий!B418,SEARCH("Karcher",Общий!B418,1),19),".",""),"-","")),1)+8,8)),VALUE(LEFT(SUBSTITUTE(SUBSTITUTE(Общий!B418,".",""),"-",""),8))),"0"),IFERROR(VALUE(MID(TRIM(SUBSTITUTE(SUBSTITUTE(MID(Общий!B418,SEARCH("Karcher",Общий!B418,1),19),".",""),"-","")),SEARCH("Karcher",TRIM(SUBSTITUTE(SUBSTITUTE(MID(Общий!B418,SEARCH("Karcher",Общий!B418,1),19),".",""),"-","")),1)+8,8)),VALUE(LEFT(SUBSTITUTE(SUBSTITUTE(Общий!B418,".",""),"-",""),8))))),0)</f>
        <v>0</v>
      </c>
      <c r="B418" s="25">
        <f>IFERROR(CONCATENATE(VALUE(IF(LEN(IFERROR(VALUE(MID(TRIM(SUBSTITUTE(SUBSTITUTE(MID(Общий!B418,SEARCH("Karcher",Общий!B418,1),19),".",""),"-","")),SEARCH("Karcher",TRIM(SUBSTITUTE(SUBSTITUTE(MID(Общий!B418,SEARCH("Karcher",Общий!B418,1),19),".",""),"-","")),1)+8,8)),VALUE(LEFT(SUBSTITUTE(SUBSTITUTE(Общий!B418,".",""),"-",""),8))))=7,CONCATENATE(IFERROR(VALUE(MID(TRIM(SUBSTITUTE(SUBSTITUTE(MID(Общий!B418,SEARCH("Karcher",Общий!B418,1),19),".",""),"-","")),SEARCH("Karcher",TRIM(SUBSTITUTE(SUBSTITUTE(MID(Общий!B418,SEARCH("Karcher",Общий!B418,1),19),".",""),"-","")),1)+8,8)),VALUE(LEFT(SUBSTITUTE(SUBSTITUTE(Общий!B418,".",""),"-",""),8))),"0"),IFERROR(VALUE(MID(TRIM(SUBSTITUTE(SUBSTITUTE(MID(Общий!B418,SEARCH("Karcher",Общий!B418,1),19),".",""),"-","")),SEARCH("Karcher",TRIM(SUBSTITUTE(SUBSTITUTE(MID(Общий!B418,SEARCH("Karcher",Общий!B418,1),19),".",""),"-","")),1)+8,8)),VALUE(LEFT(SUBSTITUTE(SUBSTITUTE(Общий!B418,".",""),"-",""),8)))))," ",Общий!C418),0)</f>
        <v>0</v>
      </c>
      <c r="C418" s="29" t="str">
        <f>Общий!A418</f>
        <v>410</v>
      </c>
      <c r="D418" s="27">
        <f>Общий!B418</f>
        <v>0</v>
      </c>
      <c r="E418" s="28">
        <f>Общий!C418</f>
        <v>0</v>
      </c>
      <c r="G418" s="44"/>
      <c r="H418" s="44"/>
      <c r="I418" s="44"/>
      <c r="J418" s="35"/>
    </row>
    <row r="419" spans="1:10">
      <c r="A419" s="31">
        <f>IFERROR(VALUE(IF(LEN(IFERROR(VALUE(MID(TRIM(SUBSTITUTE(SUBSTITUTE(MID(Общий!B419,SEARCH("Karcher",Общий!B419,1),19),".",""),"-","")),SEARCH("Karcher",TRIM(SUBSTITUTE(SUBSTITUTE(MID(Общий!B419,SEARCH("Karcher",Общий!B419,1),19),".",""),"-","")),1)+8,8)),VALUE(LEFT(SUBSTITUTE(SUBSTITUTE(Общий!B419,".",""),"-",""),8))))=7,CONCATENATE(IFERROR(VALUE(MID(TRIM(SUBSTITUTE(SUBSTITUTE(MID(Общий!B419,SEARCH("Karcher",Общий!B419,1),19),".",""),"-","")),SEARCH("Karcher",TRIM(SUBSTITUTE(SUBSTITUTE(MID(Общий!B419,SEARCH("Karcher",Общий!B419,1),19),".",""),"-","")),1)+8,8)),VALUE(LEFT(SUBSTITUTE(SUBSTITUTE(Общий!B419,".",""),"-",""),8))),"0"),IFERROR(VALUE(MID(TRIM(SUBSTITUTE(SUBSTITUTE(MID(Общий!B419,SEARCH("Karcher",Общий!B419,1),19),".",""),"-","")),SEARCH("Karcher",TRIM(SUBSTITUTE(SUBSTITUTE(MID(Общий!B419,SEARCH("Karcher",Общий!B419,1),19),".",""),"-","")),1)+8,8)),VALUE(LEFT(SUBSTITUTE(SUBSTITUTE(Общий!B419,".",""),"-",""),8))))),0)</f>
        <v>0</v>
      </c>
      <c r="B419" s="25">
        <f>IFERROR(CONCATENATE(VALUE(IF(LEN(IFERROR(VALUE(MID(TRIM(SUBSTITUTE(SUBSTITUTE(MID(Общий!B419,SEARCH("Karcher",Общий!B419,1),19),".",""),"-","")),SEARCH("Karcher",TRIM(SUBSTITUTE(SUBSTITUTE(MID(Общий!B419,SEARCH("Karcher",Общий!B419,1),19),".",""),"-","")),1)+8,8)),VALUE(LEFT(SUBSTITUTE(SUBSTITUTE(Общий!B419,".",""),"-",""),8))))=7,CONCATENATE(IFERROR(VALUE(MID(TRIM(SUBSTITUTE(SUBSTITUTE(MID(Общий!B419,SEARCH("Karcher",Общий!B419,1),19),".",""),"-","")),SEARCH("Karcher",TRIM(SUBSTITUTE(SUBSTITUTE(MID(Общий!B419,SEARCH("Karcher",Общий!B419,1),19),".",""),"-","")),1)+8,8)),VALUE(LEFT(SUBSTITUTE(SUBSTITUTE(Общий!B419,".",""),"-",""),8))),"0"),IFERROR(VALUE(MID(TRIM(SUBSTITUTE(SUBSTITUTE(MID(Общий!B419,SEARCH("Karcher",Общий!B419,1),19),".",""),"-","")),SEARCH("Karcher",TRIM(SUBSTITUTE(SUBSTITUTE(MID(Общий!B419,SEARCH("Karcher",Общий!B419,1),19),".",""),"-","")),1)+8,8)),VALUE(LEFT(SUBSTITUTE(SUBSTITUTE(Общий!B419,".",""),"-",""),8)))))," ",Общий!C419),0)</f>
        <v>0</v>
      </c>
      <c r="C419" s="29" t="str">
        <f>Общий!A419</f>
        <v>411</v>
      </c>
      <c r="D419" s="27">
        <f>Общий!B419</f>
        <v>0</v>
      </c>
      <c r="E419" s="28">
        <f>Общий!C419</f>
        <v>0</v>
      </c>
      <c r="G419" s="44"/>
      <c r="H419" s="44"/>
      <c r="I419" s="44"/>
      <c r="J419" s="35"/>
    </row>
    <row r="420" spans="1:10">
      <c r="A420" s="31">
        <f>IFERROR(VALUE(IF(LEN(IFERROR(VALUE(MID(TRIM(SUBSTITUTE(SUBSTITUTE(MID(Общий!B420,SEARCH("Karcher",Общий!B420,1),19),".",""),"-","")),SEARCH("Karcher",TRIM(SUBSTITUTE(SUBSTITUTE(MID(Общий!B420,SEARCH("Karcher",Общий!B420,1),19),".",""),"-","")),1)+8,8)),VALUE(LEFT(SUBSTITUTE(SUBSTITUTE(Общий!B420,".",""),"-",""),8))))=7,CONCATENATE(IFERROR(VALUE(MID(TRIM(SUBSTITUTE(SUBSTITUTE(MID(Общий!B420,SEARCH("Karcher",Общий!B420,1),19),".",""),"-","")),SEARCH("Karcher",TRIM(SUBSTITUTE(SUBSTITUTE(MID(Общий!B420,SEARCH("Karcher",Общий!B420,1),19),".",""),"-","")),1)+8,8)),VALUE(LEFT(SUBSTITUTE(SUBSTITUTE(Общий!B420,".",""),"-",""),8))),"0"),IFERROR(VALUE(MID(TRIM(SUBSTITUTE(SUBSTITUTE(MID(Общий!B420,SEARCH("Karcher",Общий!B420,1),19),".",""),"-","")),SEARCH("Karcher",TRIM(SUBSTITUTE(SUBSTITUTE(MID(Общий!B420,SEARCH("Karcher",Общий!B420,1),19),".",""),"-","")),1)+8,8)),VALUE(LEFT(SUBSTITUTE(SUBSTITUTE(Общий!B420,".",""),"-",""),8))))),0)</f>
        <v>0</v>
      </c>
      <c r="B420" s="25">
        <f>IFERROR(CONCATENATE(VALUE(IF(LEN(IFERROR(VALUE(MID(TRIM(SUBSTITUTE(SUBSTITUTE(MID(Общий!B420,SEARCH("Karcher",Общий!B420,1),19),".",""),"-","")),SEARCH("Karcher",TRIM(SUBSTITUTE(SUBSTITUTE(MID(Общий!B420,SEARCH("Karcher",Общий!B420,1),19),".",""),"-","")),1)+8,8)),VALUE(LEFT(SUBSTITUTE(SUBSTITUTE(Общий!B420,".",""),"-",""),8))))=7,CONCATENATE(IFERROR(VALUE(MID(TRIM(SUBSTITUTE(SUBSTITUTE(MID(Общий!B420,SEARCH("Karcher",Общий!B420,1),19),".",""),"-","")),SEARCH("Karcher",TRIM(SUBSTITUTE(SUBSTITUTE(MID(Общий!B420,SEARCH("Karcher",Общий!B420,1),19),".",""),"-","")),1)+8,8)),VALUE(LEFT(SUBSTITUTE(SUBSTITUTE(Общий!B420,".",""),"-",""),8))),"0"),IFERROR(VALUE(MID(TRIM(SUBSTITUTE(SUBSTITUTE(MID(Общий!B420,SEARCH("Karcher",Общий!B420,1),19),".",""),"-","")),SEARCH("Karcher",TRIM(SUBSTITUTE(SUBSTITUTE(MID(Общий!B420,SEARCH("Karcher",Общий!B420,1),19),".",""),"-","")),1)+8,8)),VALUE(LEFT(SUBSTITUTE(SUBSTITUTE(Общий!B420,".",""),"-",""),8)))))," ",Общий!C420),0)</f>
        <v>0</v>
      </c>
      <c r="C420" s="29" t="str">
        <f>Общий!A420</f>
        <v>412</v>
      </c>
      <c r="D420" s="27">
        <f>Общий!B420</f>
        <v>0</v>
      </c>
      <c r="E420" s="28">
        <f>Общий!C420</f>
        <v>0</v>
      </c>
      <c r="G420" s="44"/>
      <c r="H420" s="44"/>
      <c r="I420" s="44"/>
      <c r="J420" s="35"/>
    </row>
    <row r="421" spans="1:10">
      <c r="A421" s="31">
        <f>IFERROR(VALUE(IF(LEN(IFERROR(VALUE(MID(TRIM(SUBSTITUTE(SUBSTITUTE(MID(Общий!B421,SEARCH("Karcher",Общий!B421,1),19),".",""),"-","")),SEARCH("Karcher",TRIM(SUBSTITUTE(SUBSTITUTE(MID(Общий!B421,SEARCH("Karcher",Общий!B421,1),19),".",""),"-","")),1)+8,8)),VALUE(LEFT(SUBSTITUTE(SUBSTITUTE(Общий!B421,".",""),"-",""),8))))=7,CONCATENATE(IFERROR(VALUE(MID(TRIM(SUBSTITUTE(SUBSTITUTE(MID(Общий!B421,SEARCH("Karcher",Общий!B421,1),19),".",""),"-","")),SEARCH("Karcher",TRIM(SUBSTITUTE(SUBSTITUTE(MID(Общий!B421,SEARCH("Karcher",Общий!B421,1),19),".",""),"-","")),1)+8,8)),VALUE(LEFT(SUBSTITUTE(SUBSTITUTE(Общий!B421,".",""),"-",""),8))),"0"),IFERROR(VALUE(MID(TRIM(SUBSTITUTE(SUBSTITUTE(MID(Общий!B421,SEARCH("Karcher",Общий!B421,1),19),".",""),"-","")),SEARCH("Karcher",TRIM(SUBSTITUTE(SUBSTITUTE(MID(Общий!B421,SEARCH("Karcher",Общий!B421,1),19),".",""),"-","")),1)+8,8)),VALUE(LEFT(SUBSTITUTE(SUBSTITUTE(Общий!B421,".",""),"-",""),8))))),0)</f>
        <v>0</v>
      </c>
      <c r="B421" s="25">
        <f>IFERROR(CONCATENATE(VALUE(IF(LEN(IFERROR(VALUE(MID(TRIM(SUBSTITUTE(SUBSTITUTE(MID(Общий!B421,SEARCH("Karcher",Общий!B421,1),19),".",""),"-","")),SEARCH("Karcher",TRIM(SUBSTITUTE(SUBSTITUTE(MID(Общий!B421,SEARCH("Karcher",Общий!B421,1),19),".",""),"-","")),1)+8,8)),VALUE(LEFT(SUBSTITUTE(SUBSTITUTE(Общий!B421,".",""),"-",""),8))))=7,CONCATENATE(IFERROR(VALUE(MID(TRIM(SUBSTITUTE(SUBSTITUTE(MID(Общий!B421,SEARCH("Karcher",Общий!B421,1),19),".",""),"-","")),SEARCH("Karcher",TRIM(SUBSTITUTE(SUBSTITUTE(MID(Общий!B421,SEARCH("Karcher",Общий!B421,1),19),".",""),"-","")),1)+8,8)),VALUE(LEFT(SUBSTITUTE(SUBSTITUTE(Общий!B421,".",""),"-",""),8))),"0"),IFERROR(VALUE(MID(TRIM(SUBSTITUTE(SUBSTITUTE(MID(Общий!B421,SEARCH("Karcher",Общий!B421,1),19),".",""),"-","")),SEARCH("Karcher",TRIM(SUBSTITUTE(SUBSTITUTE(MID(Общий!B421,SEARCH("Karcher",Общий!B421,1),19),".",""),"-","")),1)+8,8)),VALUE(LEFT(SUBSTITUTE(SUBSTITUTE(Общий!B421,".",""),"-",""),8)))))," ",Общий!C421),0)</f>
        <v>0</v>
      </c>
      <c r="C421" s="29" t="str">
        <f>Общий!A421</f>
        <v>413</v>
      </c>
      <c r="D421" s="27">
        <f>Общий!B421</f>
        <v>0</v>
      </c>
      <c r="E421" s="28">
        <f>Общий!C421</f>
        <v>0</v>
      </c>
      <c r="G421" s="44"/>
      <c r="H421" s="44"/>
      <c r="I421" s="44"/>
      <c r="J421" s="35"/>
    </row>
    <row r="422" spans="1:10">
      <c r="A422" s="31">
        <f>IFERROR(VALUE(IF(LEN(IFERROR(VALUE(MID(TRIM(SUBSTITUTE(SUBSTITUTE(MID(Общий!B422,SEARCH("Karcher",Общий!B422,1),19),".",""),"-","")),SEARCH("Karcher",TRIM(SUBSTITUTE(SUBSTITUTE(MID(Общий!B422,SEARCH("Karcher",Общий!B422,1),19),".",""),"-","")),1)+8,8)),VALUE(LEFT(SUBSTITUTE(SUBSTITUTE(Общий!B422,".",""),"-",""),8))))=7,CONCATENATE(IFERROR(VALUE(MID(TRIM(SUBSTITUTE(SUBSTITUTE(MID(Общий!B422,SEARCH("Karcher",Общий!B422,1),19),".",""),"-","")),SEARCH("Karcher",TRIM(SUBSTITUTE(SUBSTITUTE(MID(Общий!B422,SEARCH("Karcher",Общий!B422,1),19),".",""),"-","")),1)+8,8)),VALUE(LEFT(SUBSTITUTE(SUBSTITUTE(Общий!B422,".",""),"-",""),8))),"0"),IFERROR(VALUE(MID(TRIM(SUBSTITUTE(SUBSTITUTE(MID(Общий!B422,SEARCH("Karcher",Общий!B422,1),19),".",""),"-","")),SEARCH("Karcher",TRIM(SUBSTITUTE(SUBSTITUTE(MID(Общий!B422,SEARCH("Karcher",Общий!B422,1),19),".",""),"-","")),1)+8,8)),VALUE(LEFT(SUBSTITUTE(SUBSTITUTE(Общий!B422,".",""),"-",""),8))))),0)</f>
        <v>0</v>
      </c>
      <c r="B422" s="25">
        <f>IFERROR(CONCATENATE(VALUE(IF(LEN(IFERROR(VALUE(MID(TRIM(SUBSTITUTE(SUBSTITUTE(MID(Общий!B422,SEARCH("Karcher",Общий!B422,1),19),".",""),"-","")),SEARCH("Karcher",TRIM(SUBSTITUTE(SUBSTITUTE(MID(Общий!B422,SEARCH("Karcher",Общий!B422,1),19),".",""),"-","")),1)+8,8)),VALUE(LEFT(SUBSTITUTE(SUBSTITUTE(Общий!B422,".",""),"-",""),8))))=7,CONCATENATE(IFERROR(VALUE(MID(TRIM(SUBSTITUTE(SUBSTITUTE(MID(Общий!B422,SEARCH("Karcher",Общий!B422,1),19),".",""),"-","")),SEARCH("Karcher",TRIM(SUBSTITUTE(SUBSTITUTE(MID(Общий!B422,SEARCH("Karcher",Общий!B422,1),19),".",""),"-","")),1)+8,8)),VALUE(LEFT(SUBSTITUTE(SUBSTITUTE(Общий!B422,".",""),"-",""),8))),"0"),IFERROR(VALUE(MID(TRIM(SUBSTITUTE(SUBSTITUTE(MID(Общий!B422,SEARCH("Karcher",Общий!B422,1),19),".",""),"-","")),SEARCH("Karcher",TRIM(SUBSTITUTE(SUBSTITUTE(MID(Общий!B422,SEARCH("Karcher",Общий!B422,1),19),".",""),"-","")),1)+8,8)),VALUE(LEFT(SUBSTITUTE(SUBSTITUTE(Общий!B422,".",""),"-",""),8)))))," ",Общий!C422),0)</f>
        <v>0</v>
      </c>
      <c r="C422" s="29" t="str">
        <f>Общий!A422</f>
        <v>414</v>
      </c>
      <c r="D422" s="27">
        <f>Общий!B422</f>
        <v>0</v>
      </c>
      <c r="E422" s="28">
        <f>Общий!C422</f>
        <v>0</v>
      </c>
      <c r="G422" s="44"/>
      <c r="H422" s="44"/>
      <c r="I422" s="44"/>
      <c r="J422" s="35"/>
    </row>
    <row r="423" spans="1:10">
      <c r="A423" s="31">
        <f>IFERROR(VALUE(IF(LEN(IFERROR(VALUE(MID(TRIM(SUBSTITUTE(SUBSTITUTE(MID(Общий!B423,SEARCH("Karcher",Общий!B423,1),19),".",""),"-","")),SEARCH("Karcher",TRIM(SUBSTITUTE(SUBSTITUTE(MID(Общий!B423,SEARCH("Karcher",Общий!B423,1),19),".",""),"-","")),1)+8,8)),VALUE(LEFT(SUBSTITUTE(SUBSTITUTE(Общий!B423,".",""),"-",""),8))))=7,CONCATENATE(IFERROR(VALUE(MID(TRIM(SUBSTITUTE(SUBSTITUTE(MID(Общий!B423,SEARCH("Karcher",Общий!B423,1),19),".",""),"-","")),SEARCH("Karcher",TRIM(SUBSTITUTE(SUBSTITUTE(MID(Общий!B423,SEARCH("Karcher",Общий!B423,1),19),".",""),"-","")),1)+8,8)),VALUE(LEFT(SUBSTITUTE(SUBSTITUTE(Общий!B423,".",""),"-",""),8))),"0"),IFERROR(VALUE(MID(TRIM(SUBSTITUTE(SUBSTITUTE(MID(Общий!B423,SEARCH("Karcher",Общий!B423,1),19),".",""),"-","")),SEARCH("Karcher",TRIM(SUBSTITUTE(SUBSTITUTE(MID(Общий!B423,SEARCH("Karcher",Общий!B423,1),19),".",""),"-","")),1)+8,8)),VALUE(LEFT(SUBSTITUTE(SUBSTITUTE(Общий!B423,".",""),"-",""),8))))),0)</f>
        <v>0</v>
      </c>
      <c r="B423" s="25">
        <f>IFERROR(CONCATENATE(VALUE(IF(LEN(IFERROR(VALUE(MID(TRIM(SUBSTITUTE(SUBSTITUTE(MID(Общий!B423,SEARCH("Karcher",Общий!B423,1),19),".",""),"-","")),SEARCH("Karcher",TRIM(SUBSTITUTE(SUBSTITUTE(MID(Общий!B423,SEARCH("Karcher",Общий!B423,1),19),".",""),"-","")),1)+8,8)),VALUE(LEFT(SUBSTITUTE(SUBSTITUTE(Общий!B423,".",""),"-",""),8))))=7,CONCATENATE(IFERROR(VALUE(MID(TRIM(SUBSTITUTE(SUBSTITUTE(MID(Общий!B423,SEARCH("Karcher",Общий!B423,1),19),".",""),"-","")),SEARCH("Karcher",TRIM(SUBSTITUTE(SUBSTITUTE(MID(Общий!B423,SEARCH("Karcher",Общий!B423,1),19),".",""),"-","")),1)+8,8)),VALUE(LEFT(SUBSTITUTE(SUBSTITUTE(Общий!B423,".",""),"-",""),8))),"0"),IFERROR(VALUE(MID(TRIM(SUBSTITUTE(SUBSTITUTE(MID(Общий!B423,SEARCH("Karcher",Общий!B423,1),19),".",""),"-","")),SEARCH("Karcher",TRIM(SUBSTITUTE(SUBSTITUTE(MID(Общий!B423,SEARCH("Karcher",Общий!B423,1),19),".",""),"-","")),1)+8,8)),VALUE(LEFT(SUBSTITUTE(SUBSTITUTE(Общий!B423,".",""),"-",""),8)))))," ",Общий!C423),0)</f>
        <v>0</v>
      </c>
      <c r="C423" s="29" t="str">
        <f>Общий!A423</f>
        <v>415</v>
      </c>
      <c r="D423" s="27">
        <f>Общий!B423</f>
        <v>0</v>
      </c>
      <c r="E423" s="28">
        <f>Общий!C423</f>
        <v>0</v>
      </c>
      <c r="G423" s="44"/>
      <c r="H423" s="44"/>
      <c r="I423" s="44"/>
      <c r="J423" s="35"/>
    </row>
    <row r="424" spans="1:10">
      <c r="A424" s="31">
        <f>IFERROR(VALUE(IF(LEN(IFERROR(VALUE(MID(TRIM(SUBSTITUTE(SUBSTITUTE(MID(Общий!B424,SEARCH("Karcher",Общий!B424,1),19),".",""),"-","")),SEARCH("Karcher",TRIM(SUBSTITUTE(SUBSTITUTE(MID(Общий!B424,SEARCH("Karcher",Общий!B424,1),19),".",""),"-","")),1)+8,8)),VALUE(LEFT(SUBSTITUTE(SUBSTITUTE(Общий!B424,".",""),"-",""),8))))=7,CONCATENATE(IFERROR(VALUE(MID(TRIM(SUBSTITUTE(SUBSTITUTE(MID(Общий!B424,SEARCH("Karcher",Общий!B424,1),19),".",""),"-","")),SEARCH("Karcher",TRIM(SUBSTITUTE(SUBSTITUTE(MID(Общий!B424,SEARCH("Karcher",Общий!B424,1),19),".",""),"-","")),1)+8,8)),VALUE(LEFT(SUBSTITUTE(SUBSTITUTE(Общий!B424,".",""),"-",""),8))),"0"),IFERROR(VALUE(MID(TRIM(SUBSTITUTE(SUBSTITUTE(MID(Общий!B424,SEARCH("Karcher",Общий!B424,1),19),".",""),"-","")),SEARCH("Karcher",TRIM(SUBSTITUTE(SUBSTITUTE(MID(Общий!B424,SEARCH("Karcher",Общий!B424,1),19),".",""),"-","")),1)+8,8)),VALUE(LEFT(SUBSTITUTE(SUBSTITUTE(Общий!B424,".",""),"-",""),8))))),0)</f>
        <v>0</v>
      </c>
      <c r="B424" s="25">
        <f>IFERROR(CONCATENATE(VALUE(IF(LEN(IFERROR(VALUE(MID(TRIM(SUBSTITUTE(SUBSTITUTE(MID(Общий!B424,SEARCH("Karcher",Общий!B424,1),19),".",""),"-","")),SEARCH("Karcher",TRIM(SUBSTITUTE(SUBSTITUTE(MID(Общий!B424,SEARCH("Karcher",Общий!B424,1),19),".",""),"-","")),1)+8,8)),VALUE(LEFT(SUBSTITUTE(SUBSTITUTE(Общий!B424,".",""),"-",""),8))))=7,CONCATENATE(IFERROR(VALUE(MID(TRIM(SUBSTITUTE(SUBSTITUTE(MID(Общий!B424,SEARCH("Karcher",Общий!B424,1),19),".",""),"-","")),SEARCH("Karcher",TRIM(SUBSTITUTE(SUBSTITUTE(MID(Общий!B424,SEARCH("Karcher",Общий!B424,1),19),".",""),"-","")),1)+8,8)),VALUE(LEFT(SUBSTITUTE(SUBSTITUTE(Общий!B424,".",""),"-",""),8))),"0"),IFERROR(VALUE(MID(TRIM(SUBSTITUTE(SUBSTITUTE(MID(Общий!B424,SEARCH("Karcher",Общий!B424,1),19),".",""),"-","")),SEARCH("Karcher",TRIM(SUBSTITUTE(SUBSTITUTE(MID(Общий!B424,SEARCH("Karcher",Общий!B424,1),19),".",""),"-","")),1)+8,8)),VALUE(LEFT(SUBSTITUTE(SUBSTITUTE(Общий!B424,".",""),"-",""),8)))))," ",Общий!C424),0)</f>
        <v>0</v>
      </c>
      <c r="C424" s="29" t="str">
        <f>Общий!A424</f>
        <v>416</v>
      </c>
      <c r="D424" s="27">
        <f>Общий!B424</f>
        <v>0</v>
      </c>
      <c r="E424" s="28">
        <f>Общий!C424</f>
        <v>0</v>
      </c>
      <c r="G424" s="44"/>
      <c r="H424" s="44"/>
      <c r="I424" s="44"/>
      <c r="J424" s="35"/>
    </row>
    <row r="425" spans="1:10">
      <c r="A425" s="31">
        <f>IFERROR(VALUE(IF(LEN(IFERROR(VALUE(MID(TRIM(SUBSTITUTE(SUBSTITUTE(MID(Общий!B425,SEARCH("Karcher",Общий!B425,1),19),".",""),"-","")),SEARCH("Karcher",TRIM(SUBSTITUTE(SUBSTITUTE(MID(Общий!B425,SEARCH("Karcher",Общий!B425,1),19),".",""),"-","")),1)+8,8)),VALUE(LEFT(SUBSTITUTE(SUBSTITUTE(Общий!B425,".",""),"-",""),8))))=7,CONCATENATE(IFERROR(VALUE(MID(TRIM(SUBSTITUTE(SUBSTITUTE(MID(Общий!B425,SEARCH("Karcher",Общий!B425,1),19),".",""),"-","")),SEARCH("Karcher",TRIM(SUBSTITUTE(SUBSTITUTE(MID(Общий!B425,SEARCH("Karcher",Общий!B425,1),19),".",""),"-","")),1)+8,8)),VALUE(LEFT(SUBSTITUTE(SUBSTITUTE(Общий!B425,".",""),"-",""),8))),"0"),IFERROR(VALUE(MID(TRIM(SUBSTITUTE(SUBSTITUTE(MID(Общий!B425,SEARCH("Karcher",Общий!B425,1),19),".",""),"-","")),SEARCH("Karcher",TRIM(SUBSTITUTE(SUBSTITUTE(MID(Общий!B425,SEARCH("Karcher",Общий!B425,1),19),".",""),"-","")),1)+8,8)),VALUE(LEFT(SUBSTITUTE(SUBSTITUTE(Общий!B425,".",""),"-",""),8))))),0)</f>
        <v>0</v>
      </c>
      <c r="B425" s="25">
        <f>IFERROR(CONCATENATE(VALUE(IF(LEN(IFERROR(VALUE(MID(TRIM(SUBSTITUTE(SUBSTITUTE(MID(Общий!B425,SEARCH("Karcher",Общий!B425,1),19),".",""),"-","")),SEARCH("Karcher",TRIM(SUBSTITUTE(SUBSTITUTE(MID(Общий!B425,SEARCH("Karcher",Общий!B425,1),19),".",""),"-","")),1)+8,8)),VALUE(LEFT(SUBSTITUTE(SUBSTITUTE(Общий!B425,".",""),"-",""),8))))=7,CONCATENATE(IFERROR(VALUE(MID(TRIM(SUBSTITUTE(SUBSTITUTE(MID(Общий!B425,SEARCH("Karcher",Общий!B425,1),19),".",""),"-","")),SEARCH("Karcher",TRIM(SUBSTITUTE(SUBSTITUTE(MID(Общий!B425,SEARCH("Karcher",Общий!B425,1),19),".",""),"-","")),1)+8,8)),VALUE(LEFT(SUBSTITUTE(SUBSTITUTE(Общий!B425,".",""),"-",""),8))),"0"),IFERROR(VALUE(MID(TRIM(SUBSTITUTE(SUBSTITUTE(MID(Общий!B425,SEARCH("Karcher",Общий!B425,1),19),".",""),"-","")),SEARCH("Karcher",TRIM(SUBSTITUTE(SUBSTITUTE(MID(Общий!B425,SEARCH("Karcher",Общий!B425,1),19),".",""),"-","")),1)+8,8)),VALUE(LEFT(SUBSTITUTE(SUBSTITUTE(Общий!B425,".",""),"-",""),8)))))," ",Общий!C425),0)</f>
        <v>0</v>
      </c>
      <c r="C425" s="29" t="str">
        <f>Общий!A425</f>
        <v>417</v>
      </c>
      <c r="D425" s="27">
        <f>Общий!B425</f>
        <v>0</v>
      </c>
      <c r="E425" s="28">
        <f>Общий!C425</f>
        <v>0</v>
      </c>
      <c r="G425" s="44"/>
      <c r="H425" s="44"/>
      <c r="I425" s="44"/>
      <c r="J425" s="35"/>
    </row>
    <row r="426" spans="1:10">
      <c r="A426" s="31">
        <f>IFERROR(VALUE(IF(LEN(IFERROR(VALUE(MID(TRIM(SUBSTITUTE(SUBSTITUTE(MID(Общий!B426,SEARCH("Karcher",Общий!B426,1),19),".",""),"-","")),SEARCH("Karcher",TRIM(SUBSTITUTE(SUBSTITUTE(MID(Общий!B426,SEARCH("Karcher",Общий!B426,1),19),".",""),"-","")),1)+8,8)),VALUE(LEFT(SUBSTITUTE(SUBSTITUTE(Общий!B426,".",""),"-",""),8))))=7,CONCATENATE(IFERROR(VALUE(MID(TRIM(SUBSTITUTE(SUBSTITUTE(MID(Общий!B426,SEARCH("Karcher",Общий!B426,1),19),".",""),"-","")),SEARCH("Karcher",TRIM(SUBSTITUTE(SUBSTITUTE(MID(Общий!B426,SEARCH("Karcher",Общий!B426,1),19),".",""),"-","")),1)+8,8)),VALUE(LEFT(SUBSTITUTE(SUBSTITUTE(Общий!B426,".",""),"-",""),8))),"0"),IFERROR(VALUE(MID(TRIM(SUBSTITUTE(SUBSTITUTE(MID(Общий!B426,SEARCH("Karcher",Общий!B426,1),19),".",""),"-","")),SEARCH("Karcher",TRIM(SUBSTITUTE(SUBSTITUTE(MID(Общий!B426,SEARCH("Karcher",Общий!B426,1),19),".",""),"-","")),1)+8,8)),VALUE(LEFT(SUBSTITUTE(SUBSTITUTE(Общий!B426,".",""),"-",""),8))))),0)</f>
        <v>0</v>
      </c>
      <c r="B426" s="25">
        <f>IFERROR(CONCATENATE(VALUE(IF(LEN(IFERROR(VALUE(MID(TRIM(SUBSTITUTE(SUBSTITUTE(MID(Общий!B426,SEARCH("Karcher",Общий!B426,1),19),".",""),"-","")),SEARCH("Karcher",TRIM(SUBSTITUTE(SUBSTITUTE(MID(Общий!B426,SEARCH("Karcher",Общий!B426,1),19),".",""),"-","")),1)+8,8)),VALUE(LEFT(SUBSTITUTE(SUBSTITUTE(Общий!B426,".",""),"-",""),8))))=7,CONCATENATE(IFERROR(VALUE(MID(TRIM(SUBSTITUTE(SUBSTITUTE(MID(Общий!B426,SEARCH("Karcher",Общий!B426,1),19),".",""),"-","")),SEARCH("Karcher",TRIM(SUBSTITUTE(SUBSTITUTE(MID(Общий!B426,SEARCH("Karcher",Общий!B426,1),19),".",""),"-","")),1)+8,8)),VALUE(LEFT(SUBSTITUTE(SUBSTITUTE(Общий!B426,".",""),"-",""),8))),"0"),IFERROR(VALUE(MID(TRIM(SUBSTITUTE(SUBSTITUTE(MID(Общий!B426,SEARCH("Karcher",Общий!B426,1),19),".",""),"-","")),SEARCH("Karcher",TRIM(SUBSTITUTE(SUBSTITUTE(MID(Общий!B426,SEARCH("Karcher",Общий!B426,1),19),".",""),"-","")),1)+8,8)),VALUE(LEFT(SUBSTITUTE(SUBSTITUTE(Общий!B426,".",""),"-",""),8)))))," ",Общий!C426),0)</f>
        <v>0</v>
      </c>
      <c r="C426" s="29" t="str">
        <f>Общий!A426</f>
        <v>418</v>
      </c>
      <c r="D426" s="27">
        <f>Общий!B426</f>
        <v>0</v>
      </c>
      <c r="E426" s="28">
        <f>Общий!C426</f>
        <v>0</v>
      </c>
      <c r="G426" s="44"/>
      <c r="H426" s="44"/>
      <c r="I426" s="44"/>
      <c r="J426" s="35"/>
    </row>
    <row r="427" spans="1:10">
      <c r="A427" s="31">
        <f>IFERROR(VALUE(IF(LEN(IFERROR(VALUE(MID(TRIM(SUBSTITUTE(SUBSTITUTE(MID(Общий!B427,SEARCH("Karcher",Общий!B427,1),19),".",""),"-","")),SEARCH("Karcher",TRIM(SUBSTITUTE(SUBSTITUTE(MID(Общий!B427,SEARCH("Karcher",Общий!B427,1),19),".",""),"-","")),1)+8,8)),VALUE(LEFT(SUBSTITUTE(SUBSTITUTE(Общий!B427,".",""),"-",""),8))))=7,CONCATENATE(IFERROR(VALUE(MID(TRIM(SUBSTITUTE(SUBSTITUTE(MID(Общий!B427,SEARCH("Karcher",Общий!B427,1),19),".",""),"-","")),SEARCH("Karcher",TRIM(SUBSTITUTE(SUBSTITUTE(MID(Общий!B427,SEARCH("Karcher",Общий!B427,1),19),".",""),"-","")),1)+8,8)),VALUE(LEFT(SUBSTITUTE(SUBSTITUTE(Общий!B427,".",""),"-",""),8))),"0"),IFERROR(VALUE(MID(TRIM(SUBSTITUTE(SUBSTITUTE(MID(Общий!B427,SEARCH("Karcher",Общий!B427,1),19),".",""),"-","")),SEARCH("Karcher",TRIM(SUBSTITUTE(SUBSTITUTE(MID(Общий!B427,SEARCH("Karcher",Общий!B427,1),19),".",""),"-","")),1)+8,8)),VALUE(LEFT(SUBSTITUTE(SUBSTITUTE(Общий!B427,".",""),"-",""),8))))),0)</f>
        <v>0</v>
      </c>
      <c r="B427" s="25">
        <f>IFERROR(CONCATENATE(VALUE(IF(LEN(IFERROR(VALUE(MID(TRIM(SUBSTITUTE(SUBSTITUTE(MID(Общий!B427,SEARCH("Karcher",Общий!B427,1),19),".",""),"-","")),SEARCH("Karcher",TRIM(SUBSTITUTE(SUBSTITUTE(MID(Общий!B427,SEARCH("Karcher",Общий!B427,1),19),".",""),"-","")),1)+8,8)),VALUE(LEFT(SUBSTITUTE(SUBSTITUTE(Общий!B427,".",""),"-",""),8))))=7,CONCATENATE(IFERROR(VALUE(MID(TRIM(SUBSTITUTE(SUBSTITUTE(MID(Общий!B427,SEARCH("Karcher",Общий!B427,1),19),".",""),"-","")),SEARCH("Karcher",TRIM(SUBSTITUTE(SUBSTITUTE(MID(Общий!B427,SEARCH("Karcher",Общий!B427,1),19),".",""),"-","")),1)+8,8)),VALUE(LEFT(SUBSTITUTE(SUBSTITUTE(Общий!B427,".",""),"-",""),8))),"0"),IFERROR(VALUE(MID(TRIM(SUBSTITUTE(SUBSTITUTE(MID(Общий!B427,SEARCH("Karcher",Общий!B427,1),19),".",""),"-","")),SEARCH("Karcher",TRIM(SUBSTITUTE(SUBSTITUTE(MID(Общий!B427,SEARCH("Karcher",Общий!B427,1),19),".",""),"-","")),1)+8,8)),VALUE(LEFT(SUBSTITUTE(SUBSTITUTE(Общий!B427,".",""),"-",""),8)))))," ",Общий!C427),0)</f>
        <v>0</v>
      </c>
      <c r="C427" s="29" t="str">
        <f>Общий!A427</f>
        <v>419</v>
      </c>
      <c r="D427" s="27">
        <f>Общий!B427</f>
        <v>0</v>
      </c>
      <c r="E427" s="28">
        <f>Общий!C427</f>
        <v>0</v>
      </c>
      <c r="G427" s="44"/>
      <c r="H427" s="44"/>
      <c r="I427" s="44"/>
      <c r="J427" s="35"/>
    </row>
    <row r="428" spans="1:10">
      <c r="A428" s="31">
        <f>IFERROR(VALUE(IF(LEN(IFERROR(VALUE(MID(TRIM(SUBSTITUTE(SUBSTITUTE(MID(Общий!B428,SEARCH("Karcher",Общий!B428,1),19),".",""),"-","")),SEARCH("Karcher",TRIM(SUBSTITUTE(SUBSTITUTE(MID(Общий!B428,SEARCH("Karcher",Общий!B428,1),19),".",""),"-","")),1)+8,8)),VALUE(LEFT(SUBSTITUTE(SUBSTITUTE(Общий!B428,".",""),"-",""),8))))=7,CONCATENATE(IFERROR(VALUE(MID(TRIM(SUBSTITUTE(SUBSTITUTE(MID(Общий!B428,SEARCH("Karcher",Общий!B428,1),19),".",""),"-","")),SEARCH("Karcher",TRIM(SUBSTITUTE(SUBSTITUTE(MID(Общий!B428,SEARCH("Karcher",Общий!B428,1),19),".",""),"-","")),1)+8,8)),VALUE(LEFT(SUBSTITUTE(SUBSTITUTE(Общий!B428,".",""),"-",""),8))),"0"),IFERROR(VALUE(MID(TRIM(SUBSTITUTE(SUBSTITUTE(MID(Общий!B428,SEARCH("Karcher",Общий!B428,1),19),".",""),"-","")),SEARCH("Karcher",TRIM(SUBSTITUTE(SUBSTITUTE(MID(Общий!B428,SEARCH("Karcher",Общий!B428,1),19),".",""),"-","")),1)+8,8)),VALUE(LEFT(SUBSTITUTE(SUBSTITUTE(Общий!B428,".",""),"-",""),8))))),0)</f>
        <v>0</v>
      </c>
      <c r="B428" s="25">
        <f>IFERROR(CONCATENATE(VALUE(IF(LEN(IFERROR(VALUE(MID(TRIM(SUBSTITUTE(SUBSTITUTE(MID(Общий!B428,SEARCH("Karcher",Общий!B428,1),19),".",""),"-","")),SEARCH("Karcher",TRIM(SUBSTITUTE(SUBSTITUTE(MID(Общий!B428,SEARCH("Karcher",Общий!B428,1),19),".",""),"-","")),1)+8,8)),VALUE(LEFT(SUBSTITUTE(SUBSTITUTE(Общий!B428,".",""),"-",""),8))))=7,CONCATENATE(IFERROR(VALUE(MID(TRIM(SUBSTITUTE(SUBSTITUTE(MID(Общий!B428,SEARCH("Karcher",Общий!B428,1),19),".",""),"-","")),SEARCH("Karcher",TRIM(SUBSTITUTE(SUBSTITUTE(MID(Общий!B428,SEARCH("Karcher",Общий!B428,1),19),".",""),"-","")),1)+8,8)),VALUE(LEFT(SUBSTITUTE(SUBSTITUTE(Общий!B428,".",""),"-",""),8))),"0"),IFERROR(VALUE(MID(TRIM(SUBSTITUTE(SUBSTITUTE(MID(Общий!B428,SEARCH("Karcher",Общий!B428,1),19),".",""),"-","")),SEARCH("Karcher",TRIM(SUBSTITUTE(SUBSTITUTE(MID(Общий!B428,SEARCH("Karcher",Общий!B428,1),19),".",""),"-","")),1)+8,8)),VALUE(LEFT(SUBSTITUTE(SUBSTITUTE(Общий!B428,".",""),"-",""),8)))))," ",Общий!C428),0)</f>
        <v>0</v>
      </c>
      <c r="C428" s="29" t="str">
        <f>Общий!A428</f>
        <v>420</v>
      </c>
      <c r="D428" s="27">
        <f>Общий!B428</f>
        <v>0</v>
      </c>
      <c r="E428" s="28">
        <f>Общий!C428</f>
        <v>0</v>
      </c>
      <c r="G428" s="44"/>
      <c r="H428" s="44"/>
      <c r="I428" s="44"/>
      <c r="J428" s="35"/>
    </row>
    <row r="429" spans="1:10">
      <c r="A429" s="31">
        <f>IFERROR(VALUE(IF(LEN(IFERROR(VALUE(MID(TRIM(SUBSTITUTE(SUBSTITUTE(MID(Общий!B429,SEARCH("Karcher",Общий!B429,1),19),".",""),"-","")),SEARCH("Karcher",TRIM(SUBSTITUTE(SUBSTITUTE(MID(Общий!B429,SEARCH("Karcher",Общий!B429,1),19),".",""),"-","")),1)+8,8)),VALUE(LEFT(SUBSTITUTE(SUBSTITUTE(Общий!B429,".",""),"-",""),8))))=7,CONCATENATE(IFERROR(VALUE(MID(TRIM(SUBSTITUTE(SUBSTITUTE(MID(Общий!B429,SEARCH("Karcher",Общий!B429,1),19),".",""),"-","")),SEARCH("Karcher",TRIM(SUBSTITUTE(SUBSTITUTE(MID(Общий!B429,SEARCH("Karcher",Общий!B429,1),19),".",""),"-","")),1)+8,8)),VALUE(LEFT(SUBSTITUTE(SUBSTITUTE(Общий!B429,".",""),"-",""),8))),"0"),IFERROR(VALUE(MID(TRIM(SUBSTITUTE(SUBSTITUTE(MID(Общий!B429,SEARCH("Karcher",Общий!B429,1),19),".",""),"-","")),SEARCH("Karcher",TRIM(SUBSTITUTE(SUBSTITUTE(MID(Общий!B429,SEARCH("Karcher",Общий!B429,1),19),".",""),"-","")),1)+8,8)),VALUE(LEFT(SUBSTITUTE(SUBSTITUTE(Общий!B429,".",""),"-",""),8))))),0)</f>
        <v>0</v>
      </c>
      <c r="B429" s="25">
        <f>IFERROR(CONCATENATE(VALUE(IF(LEN(IFERROR(VALUE(MID(TRIM(SUBSTITUTE(SUBSTITUTE(MID(Общий!B429,SEARCH("Karcher",Общий!B429,1),19),".",""),"-","")),SEARCH("Karcher",TRIM(SUBSTITUTE(SUBSTITUTE(MID(Общий!B429,SEARCH("Karcher",Общий!B429,1),19),".",""),"-","")),1)+8,8)),VALUE(LEFT(SUBSTITUTE(SUBSTITUTE(Общий!B429,".",""),"-",""),8))))=7,CONCATENATE(IFERROR(VALUE(MID(TRIM(SUBSTITUTE(SUBSTITUTE(MID(Общий!B429,SEARCH("Karcher",Общий!B429,1),19),".",""),"-","")),SEARCH("Karcher",TRIM(SUBSTITUTE(SUBSTITUTE(MID(Общий!B429,SEARCH("Karcher",Общий!B429,1),19),".",""),"-","")),1)+8,8)),VALUE(LEFT(SUBSTITUTE(SUBSTITUTE(Общий!B429,".",""),"-",""),8))),"0"),IFERROR(VALUE(MID(TRIM(SUBSTITUTE(SUBSTITUTE(MID(Общий!B429,SEARCH("Karcher",Общий!B429,1),19),".",""),"-","")),SEARCH("Karcher",TRIM(SUBSTITUTE(SUBSTITUTE(MID(Общий!B429,SEARCH("Karcher",Общий!B429,1),19),".",""),"-","")),1)+8,8)),VALUE(LEFT(SUBSTITUTE(SUBSTITUTE(Общий!B429,".",""),"-",""),8)))))," ",Общий!C429),0)</f>
        <v>0</v>
      </c>
      <c r="C429" s="29" t="str">
        <f>Общий!A429</f>
        <v>421</v>
      </c>
      <c r="D429" s="27">
        <f>Общий!B429</f>
        <v>0</v>
      </c>
      <c r="E429" s="28">
        <f>Общий!C429</f>
        <v>0</v>
      </c>
      <c r="G429" s="44"/>
      <c r="H429" s="44"/>
      <c r="I429" s="44"/>
      <c r="J429" s="35"/>
    </row>
    <row r="430" spans="1:10">
      <c r="A430" s="31">
        <f>IFERROR(VALUE(IF(LEN(IFERROR(VALUE(MID(TRIM(SUBSTITUTE(SUBSTITUTE(MID(Общий!B430,SEARCH("Karcher",Общий!B430,1),19),".",""),"-","")),SEARCH("Karcher",TRIM(SUBSTITUTE(SUBSTITUTE(MID(Общий!B430,SEARCH("Karcher",Общий!B430,1),19),".",""),"-","")),1)+8,8)),VALUE(LEFT(SUBSTITUTE(SUBSTITUTE(Общий!B430,".",""),"-",""),8))))=7,CONCATENATE(IFERROR(VALUE(MID(TRIM(SUBSTITUTE(SUBSTITUTE(MID(Общий!B430,SEARCH("Karcher",Общий!B430,1),19),".",""),"-","")),SEARCH("Karcher",TRIM(SUBSTITUTE(SUBSTITUTE(MID(Общий!B430,SEARCH("Karcher",Общий!B430,1),19),".",""),"-","")),1)+8,8)),VALUE(LEFT(SUBSTITUTE(SUBSTITUTE(Общий!B430,".",""),"-",""),8))),"0"),IFERROR(VALUE(MID(TRIM(SUBSTITUTE(SUBSTITUTE(MID(Общий!B430,SEARCH("Karcher",Общий!B430,1),19),".",""),"-","")),SEARCH("Karcher",TRIM(SUBSTITUTE(SUBSTITUTE(MID(Общий!B430,SEARCH("Karcher",Общий!B430,1),19),".",""),"-","")),1)+8,8)),VALUE(LEFT(SUBSTITUTE(SUBSTITUTE(Общий!B430,".",""),"-",""),8))))),0)</f>
        <v>0</v>
      </c>
      <c r="B430" s="25">
        <f>IFERROR(CONCATENATE(VALUE(IF(LEN(IFERROR(VALUE(MID(TRIM(SUBSTITUTE(SUBSTITUTE(MID(Общий!B430,SEARCH("Karcher",Общий!B430,1),19),".",""),"-","")),SEARCH("Karcher",TRIM(SUBSTITUTE(SUBSTITUTE(MID(Общий!B430,SEARCH("Karcher",Общий!B430,1),19),".",""),"-","")),1)+8,8)),VALUE(LEFT(SUBSTITUTE(SUBSTITUTE(Общий!B430,".",""),"-",""),8))))=7,CONCATENATE(IFERROR(VALUE(MID(TRIM(SUBSTITUTE(SUBSTITUTE(MID(Общий!B430,SEARCH("Karcher",Общий!B430,1),19),".",""),"-","")),SEARCH("Karcher",TRIM(SUBSTITUTE(SUBSTITUTE(MID(Общий!B430,SEARCH("Karcher",Общий!B430,1),19),".",""),"-","")),1)+8,8)),VALUE(LEFT(SUBSTITUTE(SUBSTITUTE(Общий!B430,".",""),"-",""),8))),"0"),IFERROR(VALUE(MID(TRIM(SUBSTITUTE(SUBSTITUTE(MID(Общий!B430,SEARCH("Karcher",Общий!B430,1),19),".",""),"-","")),SEARCH("Karcher",TRIM(SUBSTITUTE(SUBSTITUTE(MID(Общий!B430,SEARCH("Karcher",Общий!B430,1),19),".",""),"-","")),1)+8,8)),VALUE(LEFT(SUBSTITUTE(SUBSTITUTE(Общий!B430,".",""),"-",""),8)))))," ",Общий!C430),0)</f>
        <v>0</v>
      </c>
      <c r="C430" s="29" t="str">
        <f>Общий!A430</f>
        <v>422</v>
      </c>
      <c r="D430" s="27">
        <f>Общий!B430</f>
        <v>0</v>
      </c>
      <c r="E430" s="28">
        <f>Общий!C430</f>
        <v>0</v>
      </c>
      <c r="G430" s="44"/>
      <c r="H430" s="44"/>
      <c r="I430" s="44"/>
      <c r="J430" s="35"/>
    </row>
    <row r="431" spans="1:10">
      <c r="A431" s="31">
        <f>IFERROR(VALUE(IF(LEN(IFERROR(VALUE(MID(TRIM(SUBSTITUTE(SUBSTITUTE(MID(Общий!B431,SEARCH("Karcher",Общий!B431,1),19),".",""),"-","")),SEARCH("Karcher",TRIM(SUBSTITUTE(SUBSTITUTE(MID(Общий!B431,SEARCH("Karcher",Общий!B431,1),19),".",""),"-","")),1)+8,8)),VALUE(LEFT(SUBSTITUTE(SUBSTITUTE(Общий!B431,".",""),"-",""),8))))=7,CONCATENATE(IFERROR(VALUE(MID(TRIM(SUBSTITUTE(SUBSTITUTE(MID(Общий!B431,SEARCH("Karcher",Общий!B431,1),19),".",""),"-","")),SEARCH("Karcher",TRIM(SUBSTITUTE(SUBSTITUTE(MID(Общий!B431,SEARCH("Karcher",Общий!B431,1),19),".",""),"-","")),1)+8,8)),VALUE(LEFT(SUBSTITUTE(SUBSTITUTE(Общий!B431,".",""),"-",""),8))),"0"),IFERROR(VALUE(MID(TRIM(SUBSTITUTE(SUBSTITUTE(MID(Общий!B431,SEARCH("Karcher",Общий!B431,1),19),".",""),"-","")),SEARCH("Karcher",TRIM(SUBSTITUTE(SUBSTITUTE(MID(Общий!B431,SEARCH("Karcher",Общий!B431,1),19),".",""),"-","")),1)+8,8)),VALUE(LEFT(SUBSTITUTE(SUBSTITUTE(Общий!B431,".",""),"-",""),8))))),0)</f>
        <v>0</v>
      </c>
      <c r="B431" s="25">
        <f>IFERROR(CONCATENATE(VALUE(IF(LEN(IFERROR(VALUE(MID(TRIM(SUBSTITUTE(SUBSTITUTE(MID(Общий!B431,SEARCH("Karcher",Общий!B431,1),19),".",""),"-","")),SEARCH("Karcher",TRIM(SUBSTITUTE(SUBSTITUTE(MID(Общий!B431,SEARCH("Karcher",Общий!B431,1),19),".",""),"-","")),1)+8,8)),VALUE(LEFT(SUBSTITUTE(SUBSTITUTE(Общий!B431,".",""),"-",""),8))))=7,CONCATENATE(IFERROR(VALUE(MID(TRIM(SUBSTITUTE(SUBSTITUTE(MID(Общий!B431,SEARCH("Karcher",Общий!B431,1),19),".",""),"-","")),SEARCH("Karcher",TRIM(SUBSTITUTE(SUBSTITUTE(MID(Общий!B431,SEARCH("Karcher",Общий!B431,1),19),".",""),"-","")),1)+8,8)),VALUE(LEFT(SUBSTITUTE(SUBSTITUTE(Общий!B431,".",""),"-",""),8))),"0"),IFERROR(VALUE(MID(TRIM(SUBSTITUTE(SUBSTITUTE(MID(Общий!B431,SEARCH("Karcher",Общий!B431,1),19),".",""),"-","")),SEARCH("Karcher",TRIM(SUBSTITUTE(SUBSTITUTE(MID(Общий!B431,SEARCH("Karcher",Общий!B431,1),19),".",""),"-","")),1)+8,8)),VALUE(LEFT(SUBSTITUTE(SUBSTITUTE(Общий!B431,".",""),"-",""),8)))))," ",Общий!C431),0)</f>
        <v>0</v>
      </c>
      <c r="C431" s="29" t="str">
        <f>Общий!A431</f>
        <v>423</v>
      </c>
      <c r="D431" s="27">
        <f>Общий!B431</f>
        <v>0</v>
      </c>
      <c r="E431" s="28">
        <f>Общий!C431</f>
        <v>0</v>
      </c>
      <c r="G431" s="44"/>
      <c r="H431" s="44"/>
      <c r="I431" s="44"/>
      <c r="J431" s="35"/>
    </row>
    <row r="432" spans="1:10">
      <c r="A432" s="31">
        <f>IFERROR(VALUE(IF(LEN(IFERROR(VALUE(MID(TRIM(SUBSTITUTE(SUBSTITUTE(MID(Общий!B432,SEARCH("Karcher",Общий!B432,1),19),".",""),"-","")),SEARCH("Karcher",TRIM(SUBSTITUTE(SUBSTITUTE(MID(Общий!B432,SEARCH("Karcher",Общий!B432,1),19),".",""),"-","")),1)+8,8)),VALUE(LEFT(SUBSTITUTE(SUBSTITUTE(Общий!B432,".",""),"-",""),8))))=7,CONCATENATE(IFERROR(VALUE(MID(TRIM(SUBSTITUTE(SUBSTITUTE(MID(Общий!B432,SEARCH("Karcher",Общий!B432,1),19),".",""),"-","")),SEARCH("Karcher",TRIM(SUBSTITUTE(SUBSTITUTE(MID(Общий!B432,SEARCH("Karcher",Общий!B432,1),19),".",""),"-","")),1)+8,8)),VALUE(LEFT(SUBSTITUTE(SUBSTITUTE(Общий!B432,".",""),"-",""),8))),"0"),IFERROR(VALUE(MID(TRIM(SUBSTITUTE(SUBSTITUTE(MID(Общий!B432,SEARCH("Karcher",Общий!B432,1),19),".",""),"-","")),SEARCH("Karcher",TRIM(SUBSTITUTE(SUBSTITUTE(MID(Общий!B432,SEARCH("Karcher",Общий!B432,1),19),".",""),"-","")),1)+8,8)),VALUE(LEFT(SUBSTITUTE(SUBSTITUTE(Общий!B432,".",""),"-",""),8))))),0)</f>
        <v>0</v>
      </c>
      <c r="B432" s="25">
        <f>IFERROR(CONCATENATE(VALUE(IF(LEN(IFERROR(VALUE(MID(TRIM(SUBSTITUTE(SUBSTITUTE(MID(Общий!B432,SEARCH("Karcher",Общий!B432,1),19),".",""),"-","")),SEARCH("Karcher",TRIM(SUBSTITUTE(SUBSTITUTE(MID(Общий!B432,SEARCH("Karcher",Общий!B432,1),19),".",""),"-","")),1)+8,8)),VALUE(LEFT(SUBSTITUTE(SUBSTITUTE(Общий!B432,".",""),"-",""),8))))=7,CONCATENATE(IFERROR(VALUE(MID(TRIM(SUBSTITUTE(SUBSTITUTE(MID(Общий!B432,SEARCH("Karcher",Общий!B432,1),19),".",""),"-","")),SEARCH("Karcher",TRIM(SUBSTITUTE(SUBSTITUTE(MID(Общий!B432,SEARCH("Karcher",Общий!B432,1),19),".",""),"-","")),1)+8,8)),VALUE(LEFT(SUBSTITUTE(SUBSTITUTE(Общий!B432,".",""),"-",""),8))),"0"),IFERROR(VALUE(MID(TRIM(SUBSTITUTE(SUBSTITUTE(MID(Общий!B432,SEARCH("Karcher",Общий!B432,1),19),".",""),"-","")),SEARCH("Karcher",TRIM(SUBSTITUTE(SUBSTITUTE(MID(Общий!B432,SEARCH("Karcher",Общий!B432,1),19),".",""),"-","")),1)+8,8)),VALUE(LEFT(SUBSTITUTE(SUBSTITUTE(Общий!B432,".",""),"-",""),8)))))," ",Общий!C432),0)</f>
        <v>0</v>
      </c>
      <c r="C432" s="29" t="str">
        <f>Общий!A432</f>
        <v>424</v>
      </c>
      <c r="D432" s="27">
        <f>Общий!B432</f>
        <v>0</v>
      </c>
      <c r="E432" s="28">
        <f>Общий!C432</f>
        <v>0</v>
      </c>
      <c r="G432" s="44"/>
      <c r="H432" s="44"/>
      <c r="I432" s="44"/>
      <c r="J432" s="35"/>
    </row>
    <row r="433" spans="1:10">
      <c r="A433" s="31">
        <f>IFERROR(VALUE(IF(LEN(IFERROR(VALUE(MID(TRIM(SUBSTITUTE(SUBSTITUTE(MID(Общий!B433,SEARCH("Karcher",Общий!B433,1),19),".",""),"-","")),SEARCH("Karcher",TRIM(SUBSTITUTE(SUBSTITUTE(MID(Общий!B433,SEARCH("Karcher",Общий!B433,1),19),".",""),"-","")),1)+8,8)),VALUE(LEFT(SUBSTITUTE(SUBSTITUTE(Общий!B433,".",""),"-",""),8))))=7,CONCATENATE(IFERROR(VALUE(MID(TRIM(SUBSTITUTE(SUBSTITUTE(MID(Общий!B433,SEARCH("Karcher",Общий!B433,1),19),".",""),"-","")),SEARCH("Karcher",TRIM(SUBSTITUTE(SUBSTITUTE(MID(Общий!B433,SEARCH("Karcher",Общий!B433,1),19),".",""),"-","")),1)+8,8)),VALUE(LEFT(SUBSTITUTE(SUBSTITUTE(Общий!B433,".",""),"-",""),8))),"0"),IFERROR(VALUE(MID(TRIM(SUBSTITUTE(SUBSTITUTE(MID(Общий!B433,SEARCH("Karcher",Общий!B433,1),19),".",""),"-","")),SEARCH("Karcher",TRIM(SUBSTITUTE(SUBSTITUTE(MID(Общий!B433,SEARCH("Karcher",Общий!B433,1),19),".",""),"-","")),1)+8,8)),VALUE(LEFT(SUBSTITUTE(SUBSTITUTE(Общий!B433,".",""),"-",""),8))))),0)</f>
        <v>0</v>
      </c>
      <c r="B433" s="25">
        <f>IFERROR(CONCATENATE(VALUE(IF(LEN(IFERROR(VALUE(MID(TRIM(SUBSTITUTE(SUBSTITUTE(MID(Общий!B433,SEARCH("Karcher",Общий!B433,1),19),".",""),"-","")),SEARCH("Karcher",TRIM(SUBSTITUTE(SUBSTITUTE(MID(Общий!B433,SEARCH("Karcher",Общий!B433,1),19),".",""),"-","")),1)+8,8)),VALUE(LEFT(SUBSTITUTE(SUBSTITUTE(Общий!B433,".",""),"-",""),8))))=7,CONCATENATE(IFERROR(VALUE(MID(TRIM(SUBSTITUTE(SUBSTITUTE(MID(Общий!B433,SEARCH("Karcher",Общий!B433,1),19),".",""),"-","")),SEARCH("Karcher",TRIM(SUBSTITUTE(SUBSTITUTE(MID(Общий!B433,SEARCH("Karcher",Общий!B433,1),19),".",""),"-","")),1)+8,8)),VALUE(LEFT(SUBSTITUTE(SUBSTITUTE(Общий!B433,".",""),"-",""),8))),"0"),IFERROR(VALUE(MID(TRIM(SUBSTITUTE(SUBSTITUTE(MID(Общий!B433,SEARCH("Karcher",Общий!B433,1),19),".",""),"-","")),SEARCH("Karcher",TRIM(SUBSTITUTE(SUBSTITUTE(MID(Общий!B433,SEARCH("Karcher",Общий!B433,1),19),".",""),"-","")),1)+8,8)),VALUE(LEFT(SUBSTITUTE(SUBSTITUTE(Общий!B433,".",""),"-",""),8)))))," ",Общий!C433),0)</f>
        <v>0</v>
      </c>
      <c r="C433" s="29" t="str">
        <f>Общий!A433</f>
        <v>425</v>
      </c>
      <c r="D433" s="27">
        <f>Общий!B433</f>
        <v>0</v>
      </c>
      <c r="E433" s="28">
        <f>Общий!C433</f>
        <v>0</v>
      </c>
      <c r="G433" s="44"/>
      <c r="H433" s="44"/>
      <c r="I433" s="44"/>
      <c r="J433" s="35"/>
    </row>
    <row r="434" spans="1:10">
      <c r="A434" s="31">
        <f>IFERROR(VALUE(IF(LEN(IFERROR(VALUE(MID(TRIM(SUBSTITUTE(SUBSTITUTE(MID(Общий!B434,SEARCH("Karcher",Общий!B434,1),19),".",""),"-","")),SEARCH("Karcher",TRIM(SUBSTITUTE(SUBSTITUTE(MID(Общий!B434,SEARCH("Karcher",Общий!B434,1),19),".",""),"-","")),1)+8,8)),VALUE(LEFT(SUBSTITUTE(SUBSTITUTE(Общий!B434,".",""),"-",""),8))))=7,CONCATENATE(IFERROR(VALUE(MID(TRIM(SUBSTITUTE(SUBSTITUTE(MID(Общий!B434,SEARCH("Karcher",Общий!B434,1),19),".",""),"-","")),SEARCH("Karcher",TRIM(SUBSTITUTE(SUBSTITUTE(MID(Общий!B434,SEARCH("Karcher",Общий!B434,1),19),".",""),"-","")),1)+8,8)),VALUE(LEFT(SUBSTITUTE(SUBSTITUTE(Общий!B434,".",""),"-",""),8))),"0"),IFERROR(VALUE(MID(TRIM(SUBSTITUTE(SUBSTITUTE(MID(Общий!B434,SEARCH("Karcher",Общий!B434,1),19),".",""),"-","")),SEARCH("Karcher",TRIM(SUBSTITUTE(SUBSTITUTE(MID(Общий!B434,SEARCH("Karcher",Общий!B434,1),19),".",""),"-","")),1)+8,8)),VALUE(LEFT(SUBSTITUTE(SUBSTITUTE(Общий!B434,".",""),"-",""),8))))),0)</f>
        <v>0</v>
      </c>
      <c r="B434" s="25">
        <f>IFERROR(CONCATENATE(VALUE(IF(LEN(IFERROR(VALUE(MID(TRIM(SUBSTITUTE(SUBSTITUTE(MID(Общий!B434,SEARCH("Karcher",Общий!B434,1),19),".",""),"-","")),SEARCH("Karcher",TRIM(SUBSTITUTE(SUBSTITUTE(MID(Общий!B434,SEARCH("Karcher",Общий!B434,1),19),".",""),"-","")),1)+8,8)),VALUE(LEFT(SUBSTITUTE(SUBSTITUTE(Общий!B434,".",""),"-",""),8))))=7,CONCATENATE(IFERROR(VALUE(MID(TRIM(SUBSTITUTE(SUBSTITUTE(MID(Общий!B434,SEARCH("Karcher",Общий!B434,1),19),".",""),"-","")),SEARCH("Karcher",TRIM(SUBSTITUTE(SUBSTITUTE(MID(Общий!B434,SEARCH("Karcher",Общий!B434,1),19),".",""),"-","")),1)+8,8)),VALUE(LEFT(SUBSTITUTE(SUBSTITUTE(Общий!B434,".",""),"-",""),8))),"0"),IFERROR(VALUE(MID(TRIM(SUBSTITUTE(SUBSTITUTE(MID(Общий!B434,SEARCH("Karcher",Общий!B434,1),19),".",""),"-","")),SEARCH("Karcher",TRIM(SUBSTITUTE(SUBSTITUTE(MID(Общий!B434,SEARCH("Karcher",Общий!B434,1),19),".",""),"-","")),1)+8,8)),VALUE(LEFT(SUBSTITUTE(SUBSTITUTE(Общий!B434,".",""),"-",""),8)))))," ",Общий!C434),0)</f>
        <v>0</v>
      </c>
      <c r="C434" s="29" t="str">
        <f>Общий!A434</f>
        <v>426</v>
      </c>
      <c r="D434" s="27">
        <f>Общий!B434</f>
        <v>0</v>
      </c>
      <c r="E434" s="28">
        <f>Общий!C434</f>
        <v>0</v>
      </c>
      <c r="G434" s="44"/>
      <c r="H434" s="44"/>
      <c r="I434" s="44"/>
      <c r="J434" s="35"/>
    </row>
    <row r="435" spans="1:10">
      <c r="A435" s="31">
        <f>IFERROR(VALUE(IF(LEN(IFERROR(VALUE(MID(TRIM(SUBSTITUTE(SUBSTITUTE(MID(Общий!B435,SEARCH("Karcher",Общий!B435,1),19),".",""),"-","")),SEARCH("Karcher",TRIM(SUBSTITUTE(SUBSTITUTE(MID(Общий!B435,SEARCH("Karcher",Общий!B435,1),19),".",""),"-","")),1)+8,8)),VALUE(LEFT(SUBSTITUTE(SUBSTITUTE(Общий!B435,".",""),"-",""),8))))=7,CONCATENATE(IFERROR(VALUE(MID(TRIM(SUBSTITUTE(SUBSTITUTE(MID(Общий!B435,SEARCH("Karcher",Общий!B435,1),19),".",""),"-","")),SEARCH("Karcher",TRIM(SUBSTITUTE(SUBSTITUTE(MID(Общий!B435,SEARCH("Karcher",Общий!B435,1),19),".",""),"-","")),1)+8,8)),VALUE(LEFT(SUBSTITUTE(SUBSTITUTE(Общий!B435,".",""),"-",""),8))),"0"),IFERROR(VALUE(MID(TRIM(SUBSTITUTE(SUBSTITUTE(MID(Общий!B435,SEARCH("Karcher",Общий!B435,1),19),".",""),"-","")),SEARCH("Karcher",TRIM(SUBSTITUTE(SUBSTITUTE(MID(Общий!B435,SEARCH("Karcher",Общий!B435,1),19),".",""),"-","")),1)+8,8)),VALUE(LEFT(SUBSTITUTE(SUBSTITUTE(Общий!B435,".",""),"-",""),8))))),0)</f>
        <v>0</v>
      </c>
      <c r="B435" s="25">
        <f>IFERROR(CONCATENATE(VALUE(IF(LEN(IFERROR(VALUE(MID(TRIM(SUBSTITUTE(SUBSTITUTE(MID(Общий!B435,SEARCH("Karcher",Общий!B435,1),19),".",""),"-","")),SEARCH("Karcher",TRIM(SUBSTITUTE(SUBSTITUTE(MID(Общий!B435,SEARCH("Karcher",Общий!B435,1),19),".",""),"-","")),1)+8,8)),VALUE(LEFT(SUBSTITUTE(SUBSTITUTE(Общий!B435,".",""),"-",""),8))))=7,CONCATENATE(IFERROR(VALUE(MID(TRIM(SUBSTITUTE(SUBSTITUTE(MID(Общий!B435,SEARCH("Karcher",Общий!B435,1),19),".",""),"-","")),SEARCH("Karcher",TRIM(SUBSTITUTE(SUBSTITUTE(MID(Общий!B435,SEARCH("Karcher",Общий!B435,1),19),".",""),"-","")),1)+8,8)),VALUE(LEFT(SUBSTITUTE(SUBSTITUTE(Общий!B435,".",""),"-",""),8))),"0"),IFERROR(VALUE(MID(TRIM(SUBSTITUTE(SUBSTITUTE(MID(Общий!B435,SEARCH("Karcher",Общий!B435,1),19),".",""),"-","")),SEARCH("Karcher",TRIM(SUBSTITUTE(SUBSTITUTE(MID(Общий!B435,SEARCH("Karcher",Общий!B435,1),19),".",""),"-","")),1)+8,8)),VALUE(LEFT(SUBSTITUTE(SUBSTITUTE(Общий!B435,".",""),"-",""),8)))))," ",Общий!C435),0)</f>
        <v>0</v>
      </c>
      <c r="C435" s="29" t="str">
        <f>Общий!A435</f>
        <v>427</v>
      </c>
      <c r="D435" s="27">
        <f>Общий!B435</f>
        <v>0</v>
      </c>
      <c r="E435" s="28">
        <f>Общий!C435</f>
        <v>0</v>
      </c>
      <c r="G435" s="44"/>
      <c r="H435" s="44"/>
      <c r="I435" s="44"/>
      <c r="J435" s="35"/>
    </row>
    <row r="436" spans="1:10">
      <c r="A436" s="31">
        <f>IFERROR(VALUE(IF(LEN(IFERROR(VALUE(MID(TRIM(SUBSTITUTE(SUBSTITUTE(MID(Общий!B436,SEARCH("Karcher",Общий!B436,1),19),".",""),"-","")),SEARCH("Karcher",TRIM(SUBSTITUTE(SUBSTITUTE(MID(Общий!B436,SEARCH("Karcher",Общий!B436,1),19),".",""),"-","")),1)+8,8)),VALUE(LEFT(SUBSTITUTE(SUBSTITUTE(Общий!B436,".",""),"-",""),8))))=7,CONCATENATE(IFERROR(VALUE(MID(TRIM(SUBSTITUTE(SUBSTITUTE(MID(Общий!B436,SEARCH("Karcher",Общий!B436,1),19),".",""),"-","")),SEARCH("Karcher",TRIM(SUBSTITUTE(SUBSTITUTE(MID(Общий!B436,SEARCH("Karcher",Общий!B436,1),19),".",""),"-","")),1)+8,8)),VALUE(LEFT(SUBSTITUTE(SUBSTITUTE(Общий!B436,".",""),"-",""),8))),"0"),IFERROR(VALUE(MID(TRIM(SUBSTITUTE(SUBSTITUTE(MID(Общий!B436,SEARCH("Karcher",Общий!B436,1),19),".",""),"-","")),SEARCH("Karcher",TRIM(SUBSTITUTE(SUBSTITUTE(MID(Общий!B436,SEARCH("Karcher",Общий!B436,1),19),".",""),"-","")),1)+8,8)),VALUE(LEFT(SUBSTITUTE(SUBSTITUTE(Общий!B436,".",""),"-",""),8))))),0)</f>
        <v>0</v>
      </c>
      <c r="B436" s="25">
        <f>IFERROR(CONCATENATE(VALUE(IF(LEN(IFERROR(VALUE(MID(TRIM(SUBSTITUTE(SUBSTITUTE(MID(Общий!B436,SEARCH("Karcher",Общий!B436,1),19),".",""),"-","")),SEARCH("Karcher",TRIM(SUBSTITUTE(SUBSTITUTE(MID(Общий!B436,SEARCH("Karcher",Общий!B436,1),19),".",""),"-","")),1)+8,8)),VALUE(LEFT(SUBSTITUTE(SUBSTITUTE(Общий!B436,".",""),"-",""),8))))=7,CONCATENATE(IFERROR(VALUE(MID(TRIM(SUBSTITUTE(SUBSTITUTE(MID(Общий!B436,SEARCH("Karcher",Общий!B436,1),19),".",""),"-","")),SEARCH("Karcher",TRIM(SUBSTITUTE(SUBSTITUTE(MID(Общий!B436,SEARCH("Karcher",Общий!B436,1),19),".",""),"-","")),1)+8,8)),VALUE(LEFT(SUBSTITUTE(SUBSTITUTE(Общий!B436,".",""),"-",""),8))),"0"),IFERROR(VALUE(MID(TRIM(SUBSTITUTE(SUBSTITUTE(MID(Общий!B436,SEARCH("Karcher",Общий!B436,1),19),".",""),"-","")),SEARCH("Karcher",TRIM(SUBSTITUTE(SUBSTITUTE(MID(Общий!B436,SEARCH("Karcher",Общий!B436,1),19),".",""),"-","")),1)+8,8)),VALUE(LEFT(SUBSTITUTE(SUBSTITUTE(Общий!B436,".",""),"-",""),8)))))," ",Общий!C436),0)</f>
        <v>0</v>
      </c>
      <c r="C436" s="29" t="str">
        <f>Общий!A436</f>
        <v>428</v>
      </c>
      <c r="D436" s="27">
        <f>Общий!B436</f>
        <v>0</v>
      </c>
      <c r="E436" s="28">
        <f>Общий!C436</f>
        <v>0</v>
      </c>
      <c r="G436" s="44"/>
      <c r="H436" s="44"/>
      <c r="I436" s="44"/>
      <c r="J436" s="35"/>
    </row>
    <row r="437" spans="1:10">
      <c r="A437" s="31">
        <f>IFERROR(VALUE(IF(LEN(IFERROR(VALUE(MID(TRIM(SUBSTITUTE(SUBSTITUTE(MID(Общий!B437,SEARCH("Karcher",Общий!B437,1),19),".",""),"-","")),SEARCH("Karcher",TRIM(SUBSTITUTE(SUBSTITUTE(MID(Общий!B437,SEARCH("Karcher",Общий!B437,1),19),".",""),"-","")),1)+8,8)),VALUE(LEFT(SUBSTITUTE(SUBSTITUTE(Общий!B437,".",""),"-",""),8))))=7,CONCATENATE(IFERROR(VALUE(MID(TRIM(SUBSTITUTE(SUBSTITUTE(MID(Общий!B437,SEARCH("Karcher",Общий!B437,1),19),".",""),"-","")),SEARCH("Karcher",TRIM(SUBSTITUTE(SUBSTITUTE(MID(Общий!B437,SEARCH("Karcher",Общий!B437,1),19),".",""),"-","")),1)+8,8)),VALUE(LEFT(SUBSTITUTE(SUBSTITUTE(Общий!B437,".",""),"-",""),8))),"0"),IFERROR(VALUE(MID(TRIM(SUBSTITUTE(SUBSTITUTE(MID(Общий!B437,SEARCH("Karcher",Общий!B437,1),19),".",""),"-","")),SEARCH("Karcher",TRIM(SUBSTITUTE(SUBSTITUTE(MID(Общий!B437,SEARCH("Karcher",Общий!B437,1),19),".",""),"-","")),1)+8,8)),VALUE(LEFT(SUBSTITUTE(SUBSTITUTE(Общий!B437,".",""),"-",""),8))))),0)</f>
        <v>0</v>
      </c>
      <c r="B437" s="25">
        <f>IFERROR(CONCATENATE(VALUE(IF(LEN(IFERROR(VALUE(MID(TRIM(SUBSTITUTE(SUBSTITUTE(MID(Общий!B437,SEARCH("Karcher",Общий!B437,1),19),".",""),"-","")),SEARCH("Karcher",TRIM(SUBSTITUTE(SUBSTITUTE(MID(Общий!B437,SEARCH("Karcher",Общий!B437,1),19),".",""),"-","")),1)+8,8)),VALUE(LEFT(SUBSTITUTE(SUBSTITUTE(Общий!B437,".",""),"-",""),8))))=7,CONCATENATE(IFERROR(VALUE(MID(TRIM(SUBSTITUTE(SUBSTITUTE(MID(Общий!B437,SEARCH("Karcher",Общий!B437,1),19),".",""),"-","")),SEARCH("Karcher",TRIM(SUBSTITUTE(SUBSTITUTE(MID(Общий!B437,SEARCH("Karcher",Общий!B437,1),19),".",""),"-","")),1)+8,8)),VALUE(LEFT(SUBSTITUTE(SUBSTITUTE(Общий!B437,".",""),"-",""),8))),"0"),IFERROR(VALUE(MID(TRIM(SUBSTITUTE(SUBSTITUTE(MID(Общий!B437,SEARCH("Karcher",Общий!B437,1),19),".",""),"-","")),SEARCH("Karcher",TRIM(SUBSTITUTE(SUBSTITUTE(MID(Общий!B437,SEARCH("Karcher",Общий!B437,1),19),".",""),"-","")),1)+8,8)),VALUE(LEFT(SUBSTITUTE(SUBSTITUTE(Общий!B437,".",""),"-",""),8)))))," ",Общий!C437),0)</f>
        <v>0</v>
      </c>
      <c r="C437" s="29" t="str">
        <f>Общий!A437</f>
        <v>429</v>
      </c>
      <c r="D437" s="27">
        <f>Общий!B437</f>
        <v>0</v>
      </c>
      <c r="E437" s="28">
        <f>Общий!C437</f>
        <v>0</v>
      </c>
      <c r="G437" s="44"/>
      <c r="H437" s="44"/>
      <c r="I437" s="44"/>
      <c r="J437" s="35"/>
    </row>
    <row r="438" spans="1:10">
      <c r="A438" s="31">
        <f>IFERROR(VALUE(IF(LEN(IFERROR(VALUE(MID(TRIM(SUBSTITUTE(SUBSTITUTE(MID(Общий!B438,SEARCH("Karcher",Общий!B438,1),19),".",""),"-","")),SEARCH("Karcher",TRIM(SUBSTITUTE(SUBSTITUTE(MID(Общий!B438,SEARCH("Karcher",Общий!B438,1),19),".",""),"-","")),1)+8,8)),VALUE(LEFT(SUBSTITUTE(SUBSTITUTE(Общий!B438,".",""),"-",""),8))))=7,CONCATENATE(IFERROR(VALUE(MID(TRIM(SUBSTITUTE(SUBSTITUTE(MID(Общий!B438,SEARCH("Karcher",Общий!B438,1),19),".",""),"-","")),SEARCH("Karcher",TRIM(SUBSTITUTE(SUBSTITUTE(MID(Общий!B438,SEARCH("Karcher",Общий!B438,1),19),".",""),"-","")),1)+8,8)),VALUE(LEFT(SUBSTITUTE(SUBSTITUTE(Общий!B438,".",""),"-",""),8))),"0"),IFERROR(VALUE(MID(TRIM(SUBSTITUTE(SUBSTITUTE(MID(Общий!B438,SEARCH("Karcher",Общий!B438,1),19),".",""),"-","")),SEARCH("Karcher",TRIM(SUBSTITUTE(SUBSTITUTE(MID(Общий!B438,SEARCH("Karcher",Общий!B438,1),19),".",""),"-","")),1)+8,8)),VALUE(LEFT(SUBSTITUTE(SUBSTITUTE(Общий!B438,".",""),"-",""),8))))),0)</f>
        <v>0</v>
      </c>
      <c r="B438" s="25">
        <f>IFERROR(CONCATENATE(VALUE(IF(LEN(IFERROR(VALUE(MID(TRIM(SUBSTITUTE(SUBSTITUTE(MID(Общий!B438,SEARCH("Karcher",Общий!B438,1),19),".",""),"-","")),SEARCH("Karcher",TRIM(SUBSTITUTE(SUBSTITUTE(MID(Общий!B438,SEARCH("Karcher",Общий!B438,1),19),".",""),"-","")),1)+8,8)),VALUE(LEFT(SUBSTITUTE(SUBSTITUTE(Общий!B438,".",""),"-",""),8))))=7,CONCATENATE(IFERROR(VALUE(MID(TRIM(SUBSTITUTE(SUBSTITUTE(MID(Общий!B438,SEARCH("Karcher",Общий!B438,1),19),".",""),"-","")),SEARCH("Karcher",TRIM(SUBSTITUTE(SUBSTITUTE(MID(Общий!B438,SEARCH("Karcher",Общий!B438,1),19),".",""),"-","")),1)+8,8)),VALUE(LEFT(SUBSTITUTE(SUBSTITUTE(Общий!B438,".",""),"-",""),8))),"0"),IFERROR(VALUE(MID(TRIM(SUBSTITUTE(SUBSTITUTE(MID(Общий!B438,SEARCH("Karcher",Общий!B438,1),19),".",""),"-","")),SEARCH("Karcher",TRIM(SUBSTITUTE(SUBSTITUTE(MID(Общий!B438,SEARCH("Karcher",Общий!B438,1),19),".",""),"-","")),1)+8,8)),VALUE(LEFT(SUBSTITUTE(SUBSTITUTE(Общий!B438,".",""),"-",""),8)))))," ",Общий!C438),0)</f>
        <v>0</v>
      </c>
      <c r="C438" s="29" t="str">
        <f>Общий!A438</f>
        <v>430</v>
      </c>
      <c r="D438" s="27">
        <f>Общий!B438</f>
        <v>0</v>
      </c>
      <c r="E438" s="28">
        <f>Общий!C438</f>
        <v>0</v>
      </c>
      <c r="G438" s="44"/>
      <c r="H438" s="44"/>
      <c r="I438" s="44"/>
      <c r="J438" s="35"/>
    </row>
    <row r="439" spans="1:10">
      <c r="A439" s="31">
        <f>IFERROR(VALUE(IF(LEN(IFERROR(VALUE(MID(TRIM(SUBSTITUTE(SUBSTITUTE(MID(Общий!B439,SEARCH("Karcher",Общий!B439,1),19),".",""),"-","")),SEARCH("Karcher",TRIM(SUBSTITUTE(SUBSTITUTE(MID(Общий!B439,SEARCH("Karcher",Общий!B439,1),19),".",""),"-","")),1)+8,8)),VALUE(LEFT(SUBSTITUTE(SUBSTITUTE(Общий!B439,".",""),"-",""),8))))=7,CONCATENATE(IFERROR(VALUE(MID(TRIM(SUBSTITUTE(SUBSTITUTE(MID(Общий!B439,SEARCH("Karcher",Общий!B439,1),19),".",""),"-","")),SEARCH("Karcher",TRIM(SUBSTITUTE(SUBSTITUTE(MID(Общий!B439,SEARCH("Karcher",Общий!B439,1),19),".",""),"-","")),1)+8,8)),VALUE(LEFT(SUBSTITUTE(SUBSTITUTE(Общий!B439,".",""),"-",""),8))),"0"),IFERROR(VALUE(MID(TRIM(SUBSTITUTE(SUBSTITUTE(MID(Общий!B439,SEARCH("Karcher",Общий!B439,1),19),".",""),"-","")),SEARCH("Karcher",TRIM(SUBSTITUTE(SUBSTITUTE(MID(Общий!B439,SEARCH("Karcher",Общий!B439,1),19),".",""),"-","")),1)+8,8)),VALUE(LEFT(SUBSTITUTE(SUBSTITUTE(Общий!B439,".",""),"-",""),8))))),0)</f>
        <v>0</v>
      </c>
      <c r="B439" s="25">
        <f>IFERROR(CONCATENATE(VALUE(IF(LEN(IFERROR(VALUE(MID(TRIM(SUBSTITUTE(SUBSTITUTE(MID(Общий!B439,SEARCH("Karcher",Общий!B439,1),19),".",""),"-","")),SEARCH("Karcher",TRIM(SUBSTITUTE(SUBSTITUTE(MID(Общий!B439,SEARCH("Karcher",Общий!B439,1),19),".",""),"-","")),1)+8,8)),VALUE(LEFT(SUBSTITUTE(SUBSTITUTE(Общий!B439,".",""),"-",""),8))))=7,CONCATENATE(IFERROR(VALUE(MID(TRIM(SUBSTITUTE(SUBSTITUTE(MID(Общий!B439,SEARCH("Karcher",Общий!B439,1),19),".",""),"-","")),SEARCH("Karcher",TRIM(SUBSTITUTE(SUBSTITUTE(MID(Общий!B439,SEARCH("Karcher",Общий!B439,1),19),".",""),"-","")),1)+8,8)),VALUE(LEFT(SUBSTITUTE(SUBSTITUTE(Общий!B439,".",""),"-",""),8))),"0"),IFERROR(VALUE(MID(TRIM(SUBSTITUTE(SUBSTITUTE(MID(Общий!B439,SEARCH("Karcher",Общий!B439,1),19),".",""),"-","")),SEARCH("Karcher",TRIM(SUBSTITUTE(SUBSTITUTE(MID(Общий!B439,SEARCH("Karcher",Общий!B439,1),19),".",""),"-","")),1)+8,8)),VALUE(LEFT(SUBSTITUTE(SUBSTITUTE(Общий!B439,".",""),"-",""),8)))))," ",Общий!C439),0)</f>
        <v>0</v>
      </c>
      <c r="C439" s="29" t="str">
        <f>Общий!A439</f>
        <v>431</v>
      </c>
      <c r="D439" s="27">
        <f>Общий!B439</f>
        <v>0</v>
      </c>
      <c r="E439" s="28">
        <f>Общий!C439</f>
        <v>0</v>
      </c>
      <c r="G439" s="44"/>
      <c r="H439" s="44"/>
      <c r="I439" s="44"/>
      <c r="J439" s="35"/>
    </row>
    <row r="440" spans="1:10">
      <c r="A440" s="31">
        <f>IFERROR(VALUE(IF(LEN(IFERROR(VALUE(MID(TRIM(SUBSTITUTE(SUBSTITUTE(MID(Общий!B440,SEARCH("Karcher",Общий!B440,1),19),".",""),"-","")),SEARCH("Karcher",TRIM(SUBSTITUTE(SUBSTITUTE(MID(Общий!B440,SEARCH("Karcher",Общий!B440,1),19),".",""),"-","")),1)+8,8)),VALUE(LEFT(SUBSTITUTE(SUBSTITUTE(Общий!B440,".",""),"-",""),8))))=7,CONCATENATE(IFERROR(VALUE(MID(TRIM(SUBSTITUTE(SUBSTITUTE(MID(Общий!B440,SEARCH("Karcher",Общий!B440,1),19),".",""),"-","")),SEARCH("Karcher",TRIM(SUBSTITUTE(SUBSTITUTE(MID(Общий!B440,SEARCH("Karcher",Общий!B440,1),19),".",""),"-","")),1)+8,8)),VALUE(LEFT(SUBSTITUTE(SUBSTITUTE(Общий!B440,".",""),"-",""),8))),"0"),IFERROR(VALUE(MID(TRIM(SUBSTITUTE(SUBSTITUTE(MID(Общий!B440,SEARCH("Karcher",Общий!B440,1),19),".",""),"-","")),SEARCH("Karcher",TRIM(SUBSTITUTE(SUBSTITUTE(MID(Общий!B440,SEARCH("Karcher",Общий!B440,1),19),".",""),"-","")),1)+8,8)),VALUE(LEFT(SUBSTITUTE(SUBSTITUTE(Общий!B440,".",""),"-",""),8))))),0)</f>
        <v>0</v>
      </c>
      <c r="B440" s="25">
        <f>IFERROR(CONCATENATE(VALUE(IF(LEN(IFERROR(VALUE(MID(TRIM(SUBSTITUTE(SUBSTITUTE(MID(Общий!B440,SEARCH("Karcher",Общий!B440,1),19),".",""),"-","")),SEARCH("Karcher",TRIM(SUBSTITUTE(SUBSTITUTE(MID(Общий!B440,SEARCH("Karcher",Общий!B440,1),19),".",""),"-","")),1)+8,8)),VALUE(LEFT(SUBSTITUTE(SUBSTITUTE(Общий!B440,".",""),"-",""),8))))=7,CONCATENATE(IFERROR(VALUE(MID(TRIM(SUBSTITUTE(SUBSTITUTE(MID(Общий!B440,SEARCH("Karcher",Общий!B440,1),19),".",""),"-","")),SEARCH("Karcher",TRIM(SUBSTITUTE(SUBSTITUTE(MID(Общий!B440,SEARCH("Karcher",Общий!B440,1),19),".",""),"-","")),1)+8,8)),VALUE(LEFT(SUBSTITUTE(SUBSTITUTE(Общий!B440,".",""),"-",""),8))),"0"),IFERROR(VALUE(MID(TRIM(SUBSTITUTE(SUBSTITUTE(MID(Общий!B440,SEARCH("Karcher",Общий!B440,1),19),".",""),"-","")),SEARCH("Karcher",TRIM(SUBSTITUTE(SUBSTITUTE(MID(Общий!B440,SEARCH("Karcher",Общий!B440,1),19),".",""),"-","")),1)+8,8)),VALUE(LEFT(SUBSTITUTE(SUBSTITUTE(Общий!B440,".",""),"-",""),8)))))," ",Общий!C440),0)</f>
        <v>0</v>
      </c>
      <c r="C440" s="29" t="str">
        <f>Общий!A440</f>
        <v>432</v>
      </c>
      <c r="D440" s="27">
        <f>Общий!B440</f>
        <v>0</v>
      </c>
      <c r="E440" s="28">
        <f>Общий!C440</f>
        <v>0</v>
      </c>
      <c r="G440" s="44"/>
      <c r="H440" s="44"/>
      <c r="I440" s="44"/>
      <c r="J440" s="35"/>
    </row>
    <row r="441" spans="1:10">
      <c r="A441" s="31">
        <f>IFERROR(VALUE(IF(LEN(IFERROR(VALUE(MID(TRIM(SUBSTITUTE(SUBSTITUTE(MID(Общий!B441,SEARCH("Karcher",Общий!B441,1),19),".",""),"-","")),SEARCH("Karcher",TRIM(SUBSTITUTE(SUBSTITUTE(MID(Общий!B441,SEARCH("Karcher",Общий!B441,1),19),".",""),"-","")),1)+8,8)),VALUE(LEFT(SUBSTITUTE(SUBSTITUTE(Общий!B441,".",""),"-",""),8))))=7,CONCATENATE(IFERROR(VALUE(MID(TRIM(SUBSTITUTE(SUBSTITUTE(MID(Общий!B441,SEARCH("Karcher",Общий!B441,1),19),".",""),"-","")),SEARCH("Karcher",TRIM(SUBSTITUTE(SUBSTITUTE(MID(Общий!B441,SEARCH("Karcher",Общий!B441,1),19),".",""),"-","")),1)+8,8)),VALUE(LEFT(SUBSTITUTE(SUBSTITUTE(Общий!B441,".",""),"-",""),8))),"0"),IFERROR(VALUE(MID(TRIM(SUBSTITUTE(SUBSTITUTE(MID(Общий!B441,SEARCH("Karcher",Общий!B441,1),19),".",""),"-","")),SEARCH("Karcher",TRIM(SUBSTITUTE(SUBSTITUTE(MID(Общий!B441,SEARCH("Karcher",Общий!B441,1),19),".",""),"-","")),1)+8,8)),VALUE(LEFT(SUBSTITUTE(SUBSTITUTE(Общий!B441,".",""),"-",""),8))))),0)</f>
        <v>0</v>
      </c>
      <c r="B441" s="25">
        <f>IFERROR(CONCATENATE(VALUE(IF(LEN(IFERROR(VALUE(MID(TRIM(SUBSTITUTE(SUBSTITUTE(MID(Общий!B441,SEARCH("Karcher",Общий!B441,1),19),".",""),"-","")),SEARCH("Karcher",TRIM(SUBSTITUTE(SUBSTITUTE(MID(Общий!B441,SEARCH("Karcher",Общий!B441,1),19),".",""),"-","")),1)+8,8)),VALUE(LEFT(SUBSTITUTE(SUBSTITUTE(Общий!B441,".",""),"-",""),8))))=7,CONCATENATE(IFERROR(VALUE(MID(TRIM(SUBSTITUTE(SUBSTITUTE(MID(Общий!B441,SEARCH("Karcher",Общий!B441,1),19),".",""),"-","")),SEARCH("Karcher",TRIM(SUBSTITUTE(SUBSTITUTE(MID(Общий!B441,SEARCH("Karcher",Общий!B441,1),19),".",""),"-","")),1)+8,8)),VALUE(LEFT(SUBSTITUTE(SUBSTITUTE(Общий!B441,".",""),"-",""),8))),"0"),IFERROR(VALUE(MID(TRIM(SUBSTITUTE(SUBSTITUTE(MID(Общий!B441,SEARCH("Karcher",Общий!B441,1),19),".",""),"-","")),SEARCH("Karcher",TRIM(SUBSTITUTE(SUBSTITUTE(MID(Общий!B441,SEARCH("Karcher",Общий!B441,1),19),".",""),"-","")),1)+8,8)),VALUE(LEFT(SUBSTITUTE(SUBSTITUTE(Общий!B441,".",""),"-",""),8)))))," ",Общий!C441),0)</f>
        <v>0</v>
      </c>
      <c r="C441" s="29" t="str">
        <f>Общий!A441</f>
        <v>433</v>
      </c>
      <c r="D441" s="27">
        <f>Общий!B441</f>
        <v>0</v>
      </c>
      <c r="E441" s="28">
        <f>Общий!C441</f>
        <v>0</v>
      </c>
      <c r="G441" s="44"/>
      <c r="H441" s="44"/>
      <c r="I441" s="44"/>
      <c r="J441" s="35"/>
    </row>
    <row r="442" spans="1:10">
      <c r="A442" s="31">
        <f>IFERROR(VALUE(IF(LEN(IFERROR(VALUE(MID(TRIM(SUBSTITUTE(SUBSTITUTE(MID(Общий!B442,SEARCH("Karcher",Общий!B442,1),19),".",""),"-","")),SEARCH("Karcher",TRIM(SUBSTITUTE(SUBSTITUTE(MID(Общий!B442,SEARCH("Karcher",Общий!B442,1),19),".",""),"-","")),1)+8,8)),VALUE(LEFT(SUBSTITUTE(SUBSTITUTE(Общий!B442,".",""),"-",""),8))))=7,CONCATENATE(IFERROR(VALUE(MID(TRIM(SUBSTITUTE(SUBSTITUTE(MID(Общий!B442,SEARCH("Karcher",Общий!B442,1),19),".",""),"-","")),SEARCH("Karcher",TRIM(SUBSTITUTE(SUBSTITUTE(MID(Общий!B442,SEARCH("Karcher",Общий!B442,1),19),".",""),"-","")),1)+8,8)),VALUE(LEFT(SUBSTITUTE(SUBSTITUTE(Общий!B442,".",""),"-",""),8))),"0"),IFERROR(VALUE(MID(TRIM(SUBSTITUTE(SUBSTITUTE(MID(Общий!B442,SEARCH("Karcher",Общий!B442,1),19),".",""),"-","")),SEARCH("Karcher",TRIM(SUBSTITUTE(SUBSTITUTE(MID(Общий!B442,SEARCH("Karcher",Общий!B442,1),19),".",""),"-","")),1)+8,8)),VALUE(LEFT(SUBSTITUTE(SUBSTITUTE(Общий!B442,".",""),"-",""),8))))),0)</f>
        <v>0</v>
      </c>
      <c r="B442" s="25">
        <f>IFERROR(CONCATENATE(VALUE(IF(LEN(IFERROR(VALUE(MID(TRIM(SUBSTITUTE(SUBSTITUTE(MID(Общий!B442,SEARCH("Karcher",Общий!B442,1),19),".",""),"-","")),SEARCH("Karcher",TRIM(SUBSTITUTE(SUBSTITUTE(MID(Общий!B442,SEARCH("Karcher",Общий!B442,1),19),".",""),"-","")),1)+8,8)),VALUE(LEFT(SUBSTITUTE(SUBSTITUTE(Общий!B442,".",""),"-",""),8))))=7,CONCATENATE(IFERROR(VALUE(MID(TRIM(SUBSTITUTE(SUBSTITUTE(MID(Общий!B442,SEARCH("Karcher",Общий!B442,1),19),".",""),"-","")),SEARCH("Karcher",TRIM(SUBSTITUTE(SUBSTITUTE(MID(Общий!B442,SEARCH("Karcher",Общий!B442,1),19),".",""),"-","")),1)+8,8)),VALUE(LEFT(SUBSTITUTE(SUBSTITUTE(Общий!B442,".",""),"-",""),8))),"0"),IFERROR(VALUE(MID(TRIM(SUBSTITUTE(SUBSTITUTE(MID(Общий!B442,SEARCH("Karcher",Общий!B442,1),19),".",""),"-","")),SEARCH("Karcher",TRIM(SUBSTITUTE(SUBSTITUTE(MID(Общий!B442,SEARCH("Karcher",Общий!B442,1),19),".",""),"-","")),1)+8,8)),VALUE(LEFT(SUBSTITUTE(SUBSTITUTE(Общий!B442,".",""),"-",""),8)))))," ",Общий!C442),0)</f>
        <v>0</v>
      </c>
      <c r="C442" s="29" t="str">
        <f>Общий!A442</f>
        <v>434</v>
      </c>
      <c r="D442" s="27">
        <f>Общий!B442</f>
        <v>0</v>
      </c>
      <c r="E442" s="28">
        <f>Общий!C442</f>
        <v>0</v>
      </c>
      <c r="G442" s="44"/>
      <c r="H442" s="44"/>
      <c r="I442" s="44"/>
      <c r="J442" s="35"/>
    </row>
    <row r="443" spans="1:10">
      <c r="A443" s="31">
        <f>IFERROR(VALUE(IF(LEN(IFERROR(VALUE(MID(TRIM(SUBSTITUTE(SUBSTITUTE(MID(Общий!B443,SEARCH("Karcher",Общий!B443,1),19),".",""),"-","")),SEARCH("Karcher",TRIM(SUBSTITUTE(SUBSTITUTE(MID(Общий!B443,SEARCH("Karcher",Общий!B443,1),19),".",""),"-","")),1)+8,8)),VALUE(LEFT(SUBSTITUTE(SUBSTITUTE(Общий!B443,".",""),"-",""),8))))=7,CONCATENATE(IFERROR(VALUE(MID(TRIM(SUBSTITUTE(SUBSTITUTE(MID(Общий!B443,SEARCH("Karcher",Общий!B443,1),19),".",""),"-","")),SEARCH("Karcher",TRIM(SUBSTITUTE(SUBSTITUTE(MID(Общий!B443,SEARCH("Karcher",Общий!B443,1),19),".",""),"-","")),1)+8,8)),VALUE(LEFT(SUBSTITUTE(SUBSTITUTE(Общий!B443,".",""),"-",""),8))),"0"),IFERROR(VALUE(MID(TRIM(SUBSTITUTE(SUBSTITUTE(MID(Общий!B443,SEARCH("Karcher",Общий!B443,1),19),".",""),"-","")),SEARCH("Karcher",TRIM(SUBSTITUTE(SUBSTITUTE(MID(Общий!B443,SEARCH("Karcher",Общий!B443,1),19),".",""),"-","")),1)+8,8)),VALUE(LEFT(SUBSTITUTE(SUBSTITUTE(Общий!B443,".",""),"-",""),8))))),0)</f>
        <v>0</v>
      </c>
      <c r="B443" s="25">
        <f>IFERROR(CONCATENATE(VALUE(IF(LEN(IFERROR(VALUE(MID(TRIM(SUBSTITUTE(SUBSTITUTE(MID(Общий!B443,SEARCH("Karcher",Общий!B443,1),19),".",""),"-","")),SEARCH("Karcher",TRIM(SUBSTITUTE(SUBSTITUTE(MID(Общий!B443,SEARCH("Karcher",Общий!B443,1),19),".",""),"-","")),1)+8,8)),VALUE(LEFT(SUBSTITUTE(SUBSTITUTE(Общий!B443,".",""),"-",""),8))))=7,CONCATENATE(IFERROR(VALUE(MID(TRIM(SUBSTITUTE(SUBSTITUTE(MID(Общий!B443,SEARCH("Karcher",Общий!B443,1),19),".",""),"-","")),SEARCH("Karcher",TRIM(SUBSTITUTE(SUBSTITUTE(MID(Общий!B443,SEARCH("Karcher",Общий!B443,1),19),".",""),"-","")),1)+8,8)),VALUE(LEFT(SUBSTITUTE(SUBSTITUTE(Общий!B443,".",""),"-",""),8))),"0"),IFERROR(VALUE(MID(TRIM(SUBSTITUTE(SUBSTITUTE(MID(Общий!B443,SEARCH("Karcher",Общий!B443,1),19),".",""),"-","")),SEARCH("Karcher",TRIM(SUBSTITUTE(SUBSTITUTE(MID(Общий!B443,SEARCH("Karcher",Общий!B443,1),19),".",""),"-","")),1)+8,8)),VALUE(LEFT(SUBSTITUTE(SUBSTITUTE(Общий!B443,".",""),"-",""),8)))))," ",Общий!C443),0)</f>
        <v>0</v>
      </c>
      <c r="C443" s="29" t="str">
        <f>Общий!A443</f>
        <v>435</v>
      </c>
      <c r="D443" s="27">
        <f>Общий!B443</f>
        <v>0</v>
      </c>
      <c r="E443" s="28">
        <f>Общий!C443</f>
        <v>0</v>
      </c>
      <c r="G443" s="44"/>
      <c r="H443" s="44"/>
      <c r="I443" s="44"/>
      <c r="J443" s="35"/>
    </row>
    <row r="444" spans="1:10">
      <c r="A444" s="31">
        <f>IFERROR(VALUE(IF(LEN(IFERROR(VALUE(MID(TRIM(SUBSTITUTE(SUBSTITUTE(MID(Общий!B444,SEARCH("Karcher",Общий!B444,1),19),".",""),"-","")),SEARCH("Karcher",TRIM(SUBSTITUTE(SUBSTITUTE(MID(Общий!B444,SEARCH("Karcher",Общий!B444,1),19),".",""),"-","")),1)+8,8)),VALUE(LEFT(SUBSTITUTE(SUBSTITUTE(Общий!B444,".",""),"-",""),8))))=7,CONCATENATE(IFERROR(VALUE(MID(TRIM(SUBSTITUTE(SUBSTITUTE(MID(Общий!B444,SEARCH("Karcher",Общий!B444,1),19),".",""),"-","")),SEARCH("Karcher",TRIM(SUBSTITUTE(SUBSTITUTE(MID(Общий!B444,SEARCH("Karcher",Общий!B444,1),19),".",""),"-","")),1)+8,8)),VALUE(LEFT(SUBSTITUTE(SUBSTITUTE(Общий!B444,".",""),"-",""),8))),"0"),IFERROR(VALUE(MID(TRIM(SUBSTITUTE(SUBSTITUTE(MID(Общий!B444,SEARCH("Karcher",Общий!B444,1),19),".",""),"-","")),SEARCH("Karcher",TRIM(SUBSTITUTE(SUBSTITUTE(MID(Общий!B444,SEARCH("Karcher",Общий!B444,1),19),".",""),"-","")),1)+8,8)),VALUE(LEFT(SUBSTITUTE(SUBSTITUTE(Общий!B444,".",""),"-",""),8))))),0)</f>
        <v>0</v>
      </c>
      <c r="B444" s="25">
        <f>IFERROR(CONCATENATE(VALUE(IF(LEN(IFERROR(VALUE(MID(TRIM(SUBSTITUTE(SUBSTITUTE(MID(Общий!B444,SEARCH("Karcher",Общий!B444,1),19),".",""),"-","")),SEARCH("Karcher",TRIM(SUBSTITUTE(SUBSTITUTE(MID(Общий!B444,SEARCH("Karcher",Общий!B444,1),19),".",""),"-","")),1)+8,8)),VALUE(LEFT(SUBSTITUTE(SUBSTITUTE(Общий!B444,".",""),"-",""),8))))=7,CONCATENATE(IFERROR(VALUE(MID(TRIM(SUBSTITUTE(SUBSTITUTE(MID(Общий!B444,SEARCH("Karcher",Общий!B444,1),19),".",""),"-","")),SEARCH("Karcher",TRIM(SUBSTITUTE(SUBSTITUTE(MID(Общий!B444,SEARCH("Karcher",Общий!B444,1),19),".",""),"-","")),1)+8,8)),VALUE(LEFT(SUBSTITUTE(SUBSTITUTE(Общий!B444,".",""),"-",""),8))),"0"),IFERROR(VALUE(MID(TRIM(SUBSTITUTE(SUBSTITUTE(MID(Общий!B444,SEARCH("Karcher",Общий!B444,1),19),".",""),"-","")),SEARCH("Karcher",TRIM(SUBSTITUTE(SUBSTITUTE(MID(Общий!B444,SEARCH("Karcher",Общий!B444,1),19),".",""),"-","")),1)+8,8)),VALUE(LEFT(SUBSTITUTE(SUBSTITUTE(Общий!B444,".",""),"-",""),8)))))," ",Общий!C444),0)</f>
        <v>0</v>
      </c>
      <c r="C444" s="29" t="str">
        <f>Общий!A444</f>
        <v>436</v>
      </c>
      <c r="D444" s="27">
        <f>Общий!B444</f>
        <v>0</v>
      </c>
      <c r="E444" s="28">
        <f>Общий!C444</f>
        <v>0</v>
      </c>
      <c r="G444" s="44"/>
      <c r="H444" s="44"/>
      <c r="I444" s="44"/>
      <c r="J444" s="35"/>
    </row>
    <row r="445" spans="1:10">
      <c r="A445" s="31">
        <f>IFERROR(VALUE(IF(LEN(IFERROR(VALUE(MID(TRIM(SUBSTITUTE(SUBSTITUTE(MID(Общий!B445,SEARCH("Karcher",Общий!B445,1),19),".",""),"-","")),SEARCH("Karcher",TRIM(SUBSTITUTE(SUBSTITUTE(MID(Общий!B445,SEARCH("Karcher",Общий!B445,1),19),".",""),"-","")),1)+8,8)),VALUE(LEFT(SUBSTITUTE(SUBSTITUTE(Общий!B445,".",""),"-",""),8))))=7,CONCATENATE(IFERROR(VALUE(MID(TRIM(SUBSTITUTE(SUBSTITUTE(MID(Общий!B445,SEARCH("Karcher",Общий!B445,1),19),".",""),"-","")),SEARCH("Karcher",TRIM(SUBSTITUTE(SUBSTITUTE(MID(Общий!B445,SEARCH("Karcher",Общий!B445,1),19),".",""),"-","")),1)+8,8)),VALUE(LEFT(SUBSTITUTE(SUBSTITUTE(Общий!B445,".",""),"-",""),8))),"0"),IFERROR(VALUE(MID(TRIM(SUBSTITUTE(SUBSTITUTE(MID(Общий!B445,SEARCH("Karcher",Общий!B445,1),19),".",""),"-","")),SEARCH("Karcher",TRIM(SUBSTITUTE(SUBSTITUTE(MID(Общий!B445,SEARCH("Karcher",Общий!B445,1),19),".",""),"-","")),1)+8,8)),VALUE(LEFT(SUBSTITUTE(SUBSTITUTE(Общий!B445,".",""),"-",""),8))))),0)</f>
        <v>0</v>
      </c>
      <c r="B445" s="25">
        <f>IFERROR(CONCATENATE(VALUE(IF(LEN(IFERROR(VALUE(MID(TRIM(SUBSTITUTE(SUBSTITUTE(MID(Общий!B445,SEARCH("Karcher",Общий!B445,1),19),".",""),"-","")),SEARCH("Karcher",TRIM(SUBSTITUTE(SUBSTITUTE(MID(Общий!B445,SEARCH("Karcher",Общий!B445,1),19),".",""),"-","")),1)+8,8)),VALUE(LEFT(SUBSTITUTE(SUBSTITUTE(Общий!B445,".",""),"-",""),8))))=7,CONCATENATE(IFERROR(VALUE(MID(TRIM(SUBSTITUTE(SUBSTITUTE(MID(Общий!B445,SEARCH("Karcher",Общий!B445,1),19),".",""),"-","")),SEARCH("Karcher",TRIM(SUBSTITUTE(SUBSTITUTE(MID(Общий!B445,SEARCH("Karcher",Общий!B445,1),19),".",""),"-","")),1)+8,8)),VALUE(LEFT(SUBSTITUTE(SUBSTITUTE(Общий!B445,".",""),"-",""),8))),"0"),IFERROR(VALUE(MID(TRIM(SUBSTITUTE(SUBSTITUTE(MID(Общий!B445,SEARCH("Karcher",Общий!B445,1),19),".",""),"-","")),SEARCH("Karcher",TRIM(SUBSTITUTE(SUBSTITUTE(MID(Общий!B445,SEARCH("Karcher",Общий!B445,1),19),".",""),"-","")),1)+8,8)),VALUE(LEFT(SUBSTITUTE(SUBSTITUTE(Общий!B445,".",""),"-",""),8)))))," ",Общий!C445),0)</f>
        <v>0</v>
      </c>
      <c r="C445" s="29" t="str">
        <f>Общий!A445</f>
        <v>437</v>
      </c>
      <c r="D445" s="27">
        <f>Общий!B445</f>
        <v>0</v>
      </c>
      <c r="E445" s="28">
        <f>Общий!C445</f>
        <v>0</v>
      </c>
      <c r="G445" s="44"/>
      <c r="H445" s="44"/>
      <c r="I445" s="44"/>
      <c r="J445" s="35"/>
    </row>
    <row r="446" spans="1:10">
      <c r="A446" s="31">
        <f>IFERROR(VALUE(IF(LEN(IFERROR(VALUE(MID(TRIM(SUBSTITUTE(SUBSTITUTE(MID(Общий!B446,SEARCH("Karcher",Общий!B446,1),19),".",""),"-","")),SEARCH("Karcher",TRIM(SUBSTITUTE(SUBSTITUTE(MID(Общий!B446,SEARCH("Karcher",Общий!B446,1),19),".",""),"-","")),1)+8,8)),VALUE(LEFT(SUBSTITUTE(SUBSTITUTE(Общий!B446,".",""),"-",""),8))))=7,CONCATENATE(IFERROR(VALUE(MID(TRIM(SUBSTITUTE(SUBSTITUTE(MID(Общий!B446,SEARCH("Karcher",Общий!B446,1),19),".",""),"-","")),SEARCH("Karcher",TRIM(SUBSTITUTE(SUBSTITUTE(MID(Общий!B446,SEARCH("Karcher",Общий!B446,1),19),".",""),"-","")),1)+8,8)),VALUE(LEFT(SUBSTITUTE(SUBSTITUTE(Общий!B446,".",""),"-",""),8))),"0"),IFERROR(VALUE(MID(TRIM(SUBSTITUTE(SUBSTITUTE(MID(Общий!B446,SEARCH("Karcher",Общий!B446,1),19),".",""),"-","")),SEARCH("Karcher",TRIM(SUBSTITUTE(SUBSTITUTE(MID(Общий!B446,SEARCH("Karcher",Общий!B446,1),19),".",""),"-","")),1)+8,8)),VALUE(LEFT(SUBSTITUTE(SUBSTITUTE(Общий!B446,".",""),"-",""),8))))),0)</f>
        <v>0</v>
      </c>
      <c r="B446" s="25">
        <f>IFERROR(CONCATENATE(VALUE(IF(LEN(IFERROR(VALUE(MID(TRIM(SUBSTITUTE(SUBSTITUTE(MID(Общий!B446,SEARCH("Karcher",Общий!B446,1),19),".",""),"-","")),SEARCH("Karcher",TRIM(SUBSTITUTE(SUBSTITUTE(MID(Общий!B446,SEARCH("Karcher",Общий!B446,1),19),".",""),"-","")),1)+8,8)),VALUE(LEFT(SUBSTITUTE(SUBSTITUTE(Общий!B446,".",""),"-",""),8))))=7,CONCATENATE(IFERROR(VALUE(MID(TRIM(SUBSTITUTE(SUBSTITUTE(MID(Общий!B446,SEARCH("Karcher",Общий!B446,1),19),".",""),"-","")),SEARCH("Karcher",TRIM(SUBSTITUTE(SUBSTITUTE(MID(Общий!B446,SEARCH("Karcher",Общий!B446,1),19),".",""),"-","")),1)+8,8)),VALUE(LEFT(SUBSTITUTE(SUBSTITUTE(Общий!B446,".",""),"-",""),8))),"0"),IFERROR(VALUE(MID(TRIM(SUBSTITUTE(SUBSTITUTE(MID(Общий!B446,SEARCH("Karcher",Общий!B446,1),19),".",""),"-","")),SEARCH("Karcher",TRIM(SUBSTITUTE(SUBSTITUTE(MID(Общий!B446,SEARCH("Karcher",Общий!B446,1),19),".",""),"-","")),1)+8,8)),VALUE(LEFT(SUBSTITUTE(SUBSTITUTE(Общий!B446,".",""),"-",""),8)))))," ",Общий!C446),0)</f>
        <v>0</v>
      </c>
      <c r="C446" s="29" t="str">
        <f>Общий!A446</f>
        <v>438</v>
      </c>
      <c r="D446" s="27">
        <f>Общий!B446</f>
        <v>0</v>
      </c>
      <c r="E446" s="28">
        <f>Общий!C446</f>
        <v>0</v>
      </c>
      <c r="G446" s="44"/>
      <c r="H446" s="44"/>
      <c r="I446" s="44"/>
      <c r="J446" s="35"/>
    </row>
    <row r="447" spans="1:10">
      <c r="A447" s="31">
        <f>IFERROR(VALUE(IF(LEN(IFERROR(VALUE(MID(TRIM(SUBSTITUTE(SUBSTITUTE(MID(Общий!B447,SEARCH("Karcher",Общий!B447,1),19),".",""),"-","")),SEARCH("Karcher",TRIM(SUBSTITUTE(SUBSTITUTE(MID(Общий!B447,SEARCH("Karcher",Общий!B447,1),19),".",""),"-","")),1)+8,8)),VALUE(LEFT(SUBSTITUTE(SUBSTITUTE(Общий!B447,".",""),"-",""),8))))=7,CONCATENATE(IFERROR(VALUE(MID(TRIM(SUBSTITUTE(SUBSTITUTE(MID(Общий!B447,SEARCH("Karcher",Общий!B447,1),19),".",""),"-","")),SEARCH("Karcher",TRIM(SUBSTITUTE(SUBSTITUTE(MID(Общий!B447,SEARCH("Karcher",Общий!B447,1),19),".",""),"-","")),1)+8,8)),VALUE(LEFT(SUBSTITUTE(SUBSTITUTE(Общий!B447,".",""),"-",""),8))),"0"),IFERROR(VALUE(MID(TRIM(SUBSTITUTE(SUBSTITUTE(MID(Общий!B447,SEARCH("Karcher",Общий!B447,1),19),".",""),"-","")),SEARCH("Karcher",TRIM(SUBSTITUTE(SUBSTITUTE(MID(Общий!B447,SEARCH("Karcher",Общий!B447,1),19),".",""),"-","")),1)+8,8)),VALUE(LEFT(SUBSTITUTE(SUBSTITUTE(Общий!B447,".",""),"-",""),8))))),0)</f>
        <v>0</v>
      </c>
      <c r="B447" s="25">
        <f>IFERROR(CONCATENATE(VALUE(IF(LEN(IFERROR(VALUE(MID(TRIM(SUBSTITUTE(SUBSTITUTE(MID(Общий!B447,SEARCH("Karcher",Общий!B447,1),19),".",""),"-","")),SEARCH("Karcher",TRIM(SUBSTITUTE(SUBSTITUTE(MID(Общий!B447,SEARCH("Karcher",Общий!B447,1),19),".",""),"-","")),1)+8,8)),VALUE(LEFT(SUBSTITUTE(SUBSTITUTE(Общий!B447,".",""),"-",""),8))))=7,CONCATENATE(IFERROR(VALUE(MID(TRIM(SUBSTITUTE(SUBSTITUTE(MID(Общий!B447,SEARCH("Karcher",Общий!B447,1),19),".",""),"-","")),SEARCH("Karcher",TRIM(SUBSTITUTE(SUBSTITUTE(MID(Общий!B447,SEARCH("Karcher",Общий!B447,1),19),".",""),"-","")),1)+8,8)),VALUE(LEFT(SUBSTITUTE(SUBSTITUTE(Общий!B447,".",""),"-",""),8))),"0"),IFERROR(VALUE(MID(TRIM(SUBSTITUTE(SUBSTITUTE(MID(Общий!B447,SEARCH("Karcher",Общий!B447,1),19),".",""),"-","")),SEARCH("Karcher",TRIM(SUBSTITUTE(SUBSTITUTE(MID(Общий!B447,SEARCH("Karcher",Общий!B447,1),19),".",""),"-","")),1)+8,8)),VALUE(LEFT(SUBSTITUTE(SUBSTITUTE(Общий!B447,".",""),"-",""),8)))))," ",Общий!C447),0)</f>
        <v>0</v>
      </c>
      <c r="C447" s="29" t="str">
        <f>Общий!A447</f>
        <v>439</v>
      </c>
      <c r="D447" s="27">
        <f>Общий!B447</f>
        <v>0</v>
      </c>
      <c r="E447" s="28">
        <f>Общий!C447</f>
        <v>0</v>
      </c>
      <c r="G447" s="44"/>
      <c r="H447" s="44"/>
      <c r="I447" s="44"/>
      <c r="J447" s="35"/>
    </row>
    <row r="448" spans="1:10">
      <c r="A448" s="31">
        <f>IFERROR(VALUE(IF(LEN(IFERROR(VALUE(MID(TRIM(SUBSTITUTE(SUBSTITUTE(MID(Общий!B448,SEARCH("Karcher",Общий!B448,1),19),".",""),"-","")),SEARCH("Karcher",TRIM(SUBSTITUTE(SUBSTITUTE(MID(Общий!B448,SEARCH("Karcher",Общий!B448,1),19),".",""),"-","")),1)+8,8)),VALUE(LEFT(SUBSTITUTE(SUBSTITUTE(Общий!B448,".",""),"-",""),8))))=7,CONCATENATE(IFERROR(VALUE(MID(TRIM(SUBSTITUTE(SUBSTITUTE(MID(Общий!B448,SEARCH("Karcher",Общий!B448,1),19),".",""),"-","")),SEARCH("Karcher",TRIM(SUBSTITUTE(SUBSTITUTE(MID(Общий!B448,SEARCH("Karcher",Общий!B448,1),19),".",""),"-","")),1)+8,8)),VALUE(LEFT(SUBSTITUTE(SUBSTITUTE(Общий!B448,".",""),"-",""),8))),"0"),IFERROR(VALUE(MID(TRIM(SUBSTITUTE(SUBSTITUTE(MID(Общий!B448,SEARCH("Karcher",Общий!B448,1),19),".",""),"-","")),SEARCH("Karcher",TRIM(SUBSTITUTE(SUBSTITUTE(MID(Общий!B448,SEARCH("Karcher",Общий!B448,1),19),".",""),"-","")),1)+8,8)),VALUE(LEFT(SUBSTITUTE(SUBSTITUTE(Общий!B448,".",""),"-",""),8))))),0)</f>
        <v>0</v>
      </c>
      <c r="B448" s="25">
        <f>IFERROR(CONCATENATE(VALUE(IF(LEN(IFERROR(VALUE(MID(TRIM(SUBSTITUTE(SUBSTITUTE(MID(Общий!B448,SEARCH("Karcher",Общий!B448,1),19),".",""),"-","")),SEARCH("Karcher",TRIM(SUBSTITUTE(SUBSTITUTE(MID(Общий!B448,SEARCH("Karcher",Общий!B448,1),19),".",""),"-","")),1)+8,8)),VALUE(LEFT(SUBSTITUTE(SUBSTITUTE(Общий!B448,".",""),"-",""),8))))=7,CONCATENATE(IFERROR(VALUE(MID(TRIM(SUBSTITUTE(SUBSTITUTE(MID(Общий!B448,SEARCH("Karcher",Общий!B448,1),19),".",""),"-","")),SEARCH("Karcher",TRIM(SUBSTITUTE(SUBSTITUTE(MID(Общий!B448,SEARCH("Karcher",Общий!B448,1),19),".",""),"-","")),1)+8,8)),VALUE(LEFT(SUBSTITUTE(SUBSTITUTE(Общий!B448,".",""),"-",""),8))),"0"),IFERROR(VALUE(MID(TRIM(SUBSTITUTE(SUBSTITUTE(MID(Общий!B448,SEARCH("Karcher",Общий!B448,1),19),".",""),"-","")),SEARCH("Karcher",TRIM(SUBSTITUTE(SUBSTITUTE(MID(Общий!B448,SEARCH("Karcher",Общий!B448,1),19),".",""),"-","")),1)+8,8)),VALUE(LEFT(SUBSTITUTE(SUBSTITUTE(Общий!B448,".",""),"-",""),8)))))," ",Общий!C448),0)</f>
        <v>0</v>
      </c>
      <c r="C448" s="29" t="str">
        <f>Общий!A448</f>
        <v>440</v>
      </c>
      <c r="D448" s="27">
        <f>Общий!B448</f>
        <v>0</v>
      </c>
      <c r="E448" s="28">
        <f>Общий!C448</f>
        <v>0</v>
      </c>
      <c r="G448" s="44"/>
      <c r="H448" s="44"/>
      <c r="I448" s="44"/>
      <c r="J448" s="35"/>
    </row>
    <row r="449" spans="1:10">
      <c r="A449" s="31">
        <f>IFERROR(VALUE(IF(LEN(IFERROR(VALUE(MID(TRIM(SUBSTITUTE(SUBSTITUTE(MID(Общий!B449,SEARCH("Karcher",Общий!B449,1),19),".",""),"-","")),SEARCH("Karcher",TRIM(SUBSTITUTE(SUBSTITUTE(MID(Общий!B449,SEARCH("Karcher",Общий!B449,1),19),".",""),"-","")),1)+8,8)),VALUE(LEFT(SUBSTITUTE(SUBSTITUTE(Общий!B449,".",""),"-",""),8))))=7,CONCATENATE(IFERROR(VALUE(MID(TRIM(SUBSTITUTE(SUBSTITUTE(MID(Общий!B449,SEARCH("Karcher",Общий!B449,1),19),".",""),"-","")),SEARCH("Karcher",TRIM(SUBSTITUTE(SUBSTITUTE(MID(Общий!B449,SEARCH("Karcher",Общий!B449,1),19),".",""),"-","")),1)+8,8)),VALUE(LEFT(SUBSTITUTE(SUBSTITUTE(Общий!B449,".",""),"-",""),8))),"0"),IFERROR(VALUE(MID(TRIM(SUBSTITUTE(SUBSTITUTE(MID(Общий!B449,SEARCH("Karcher",Общий!B449,1),19),".",""),"-","")),SEARCH("Karcher",TRIM(SUBSTITUTE(SUBSTITUTE(MID(Общий!B449,SEARCH("Karcher",Общий!B449,1),19),".",""),"-","")),1)+8,8)),VALUE(LEFT(SUBSTITUTE(SUBSTITUTE(Общий!B449,".",""),"-",""),8))))),0)</f>
        <v>0</v>
      </c>
      <c r="B449" s="25">
        <f>IFERROR(CONCATENATE(VALUE(IF(LEN(IFERROR(VALUE(MID(TRIM(SUBSTITUTE(SUBSTITUTE(MID(Общий!B449,SEARCH("Karcher",Общий!B449,1),19),".",""),"-","")),SEARCH("Karcher",TRIM(SUBSTITUTE(SUBSTITUTE(MID(Общий!B449,SEARCH("Karcher",Общий!B449,1),19),".",""),"-","")),1)+8,8)),VALUE(LEFT(SUBSTITUTE(SUBSTITUTE(Общий!B449,".",""),"-",""),8))))=7,CONCATENATE(IFERROR(VALUE(MID(TRIM(SUBSTITUTE(SUBSTITUTE(MID(Общий!B449,SEARCH("Karcher",Общий!B449,1),19),".",""),"-","")),SEARCH("Karcher",TRIM(SUBSTITUTE(SUBSTITUTE(MID(Общий!B449,SEARCH("Karcher",Общий!B449,1),19),".",""),"-","")),1)+8,8)),VALUE(LEFT(SUBSTITUTE(SUBSTITUTE(Общий!B449,".",""),"-",""),8))),"0"),IFERROR(VALUE(MID(TRIM(SUBSTITUTE(SUBSTITUTE(MID(Общий!B449,SEARCH("Karcher",Общий!B449,1),19),".",""),"-","")),SEARCH("Karcher",TRIM(SUBSTITUTE(SUBSTITUTE(MID(Общий!B449,SEARCH("Karcher",Общий!B449,1),19),".",""),"-","")),1)+8,8)),VALUE(LEFT(SUBSTITUTE(SUBSTITUTE(Общий!B449,".",""),"-",""),8)))))," ",Общий!C449),0)</f>
        <v>0</v>
      </c>
      <c r="C449" s="29" t="str">
        <f>Общий!A449</f>
        <v>441</v>
      </c>
      <c r="D449" s="27">
        <f>Общий!B449</f>
        <v>0</v>
      </c>
      <c r="E449" s="28">
        <f>Общий!C449</f>
        <v>0</v>
      </c>
      <c r="G449" s="44"/>
      <c r="H449" s="44"/>
      <c r="I449" s="44"/>
      <c r="J449" s="35"/>
    </row>
    <row r="450" spans="1:10">
      <c r="A450" s="31">
        <f>IFERROR(VALUE(IF(LEN(IFERROR(VALUE(MID(TRIM(SUBSTITUTE(SUBSTITUTE(MID(Общий!B450,SEARCH("Karcher",Общий!B450,1),19),".",""),"-","")),SEARCH("Karcher",TRIM(SUBSTITUTE(SUBSTITUTE(MID(Общий!B450,SEARCH("Karcher",Общий!B450,1),19),".",""),"-","")),1)+8,8)),VALUE(LEFT(SUBSTITUTE(SUBSTITUTE(Общий!B450,".",""),"-",""),8))))=7,CONCATENATE(IFERROR(VALUE(MID(TRIM(SUBSTITUTE(SUBSTITUTE(MID(Общий!B450,SEARCH("Karcher",Общий!B450,1),19),".",""),"-","")),SEARCH("Karcher",TRIM(SUBSTITUTE(SUBSTITUTE(MID(Общий!B450,SEARCH("Karcher",Общий!B450,1),19),".",""),"-","")),1)+8,8)),VALUE(LEFT(SUBSTITUTE(SUBSTITUTE(Общий!B450,".",""),"-",""),8))),"0"),IFERROR(VALUE(MID(TRIM(SUBSTITUTE(SUBSTITUTE(MID(Общий!B450,SEARCH("Karcher",Общий!B450,1),19),".",""),"-","")),SEARCH("Karcher",TRIM(SUBSTITUTE(SUBSTITUTE(MID(Общий!B450,SEARCH("Karcher",Общий!B450,1),19),".",""),"-","")),1)+8,8)),VALUE(LEFT(SUBSTITUTE(SUBSTITUTE(Общий!B450,".",""),"-",""),8))))),0)</f>
        <v>0</v>
      </c>
      <c r="B450" s="25">
        <f>IFERROR(CONCATENATE(VALUE(IF(LEN(IFERROR(VALUE(MID(TRIM(SUBSTITUTE(SUBSTITUTE(MID(Общий!B450,SEARCH("Karcher",Общий!B450,1),19),".",""),"-","")),SEARCH("Karcher",TRIM(SUBSTITUTE(SUBSTITUTE(MID(Общий!B450,SEARCH("Karcher",Общий!B450,1),19),".",""),"-","")),1)+8,8)),VALUE(LEFT(SUBSTITUTE(SUBSTITUTE(Общий!B450,".",""),"-",""),8))))=7,CONCATENATE(IFERROR(VALUE(MID(TRIM(SUBSTITUTE(SUBSTITUTE(MID(Общий!B450,SEARCH("Karcher",Общий!B450,1),19),".",""),"-","")),SEARCH("Karcher",TRIM(SUBSTITUTE(SUBSTITUTE(MID(Общий!B450,SEARCH("Karcher",Общий!B450,1),19),".",""),"-","")),1)+8,8)),VALUE(LEFT(SUBSTITUTE(SUBSTITUTE(Общий!B450,".",""),"-",""),8))),"0"),IFERROR(VALUE(MID(TRIM(SUBSTITUTE(SUBSTITUTE(MID(Общий!B450,SEARCH("Karcher",Общий!B450,1),19),".",""),"-","")),SEARCH("Karcher",TRIM(SUBSTITUTE(SUBSTITUTE(MID(Общий!B450,SEARCH("Karcher",Общий!B450,1),19),".",""),"-","")),1)+8,8)),VALUE(LEFT(SUBSTITUTE(SUBSTITUTE(Общий!B450,".",""),"-",""),8)))))," ",Общий!C450),0)</f>
        <v>0</v>
      </c>
      <c r="C450" s="29" t="str">
        <f>Общий!A450</f>
        <v>442</v>
      </c>
      <c r="D450" s="27">
        <f>Общий!B450</f>
        <v>0</v>
      </c>
      <c r="E450" s="28">
        <f>Общий!C450</f>
        <v>0</v>
      </c>
      <c r="G450" s="44"/>
      <c r="H450" s="44"/>
      <c r="I450" s="44"/>
      <c r="J450" s="35"/>
    </row>
    <row r="451" spans="1:10">
      <c r="A451" s="31">
        <f>IFERROR(VALUE(IF(LEN(IFERROR(VALUE(MID(TRIM(SUBSTITUTE(SUBSTITUTE(MID(Общий!B451,SEARCH("Karcher",Общий!B451,1),19),".",""),"-","")),SEARCH("Karcher",TRIM(SUBSTITUTE(SUBSTITUTE(MID(Общий!B451,SEARCH("Karcher",Общий!B451,1),19),".",""),"-","")),1)+8,8)),VALUE(LEFT(SUBSTITUTE(SUBSTITUTE(Общий!B451,".",""),"-",""),8))))=7,CONCATENATE(IFERROR(VALUE(MID(TRIM(SUBSTITUTE(SUBSTITUTE(MID(Общий!B451,SEARCH("Karcher",Общий!B451,1),19),".",""),"-","")),SEARCH("Karcher",TRIM(SUBSTITUTE(SUBSTITUTE(MID(Общий!B451,SEARCH("Karcher",Общий!B451,1),19),".",""),"-","")),1)+8,8)),VALUE(LEFT(SUBSTITUTE(SUBSTITUTE(Общий!B451,".",""),"-",""),8))),"0"),IFERROR(VALUE(MID(TRIM(SUBSTITUTE(SUBSTITUTE(MID(Общий!B451,SEARCH("Karcher",Общий!B451,1),19),".",""),"-","")),SEARCH("Karcher",TRIM(SUBSTITUTE(SUBSTITUTE(MID(Общий!B451,SEARCH("Karcher",Общий!B451,1),19),".",""),"-","")),1)+8,8)),VALUE(LEFT(SUBSTITUTE(SUBSTITUTE(Общий!B451,".",""),"-",""),8))))),0)</f>
        <v>0</v>
      </c>
      <c r="B451" s="25">
        <f>IFERROR(CONCATENATE(VALUE(IF(LEN(IFERROR(VALUE(MID(TRIM(SUBSTITUTE(SUBSTITUTE(MID(Общий!B451,SEARCH("Karcher",Общий!B451,1),19),".",""),"-","")),SEARCH("Karcher",TRIM(SUBSTITUTE(SUBSTITUTE(MID(Общий!B451,SEARCH("Karcher",Общий!B451,1),19),".",""),"-","")),1)+8,8)),VALUE(LEFT(SUBSTITUTE(SUBSTITUTE(Общий!B451,".",""),"-",""),8))))=7,CONCATENATE(IFERROR(VALUE(MID(TRIM(SUBSTITUTE(SUBSTITUTE(MID(Общий!B451,SEARCH("Karcher",Общий!B451,1),19),".",""),"-","")),SEARCH("Karcher",TRIM(SUBSTITUTE(SUBSTITUTE(MID(Общий!B451,SEARCH("Karcher",Общий!B451,1),19),".",""),"-","")),1)+8,8)),VALUE(LEFT(SUBSTITUTE(SUBSTITUTE(Общий!B451,".",""),"-",""),8))),"0"),IFERROR(VALUE(MID(TRIM(SUBSTITUTE(SUBSTITUTE(MID(Общий!B451,SEARCH("Karcher",Общий!B451,1),19),".",""),"-","")),SEARCH("Karcher",TRIM(SUBSTITUTE(SUBSTITUTE(MID(Общий!B451,SEARCH("Karcher",Общий!B451,1),19),".",""),"-","")),1)+8,8)),VALUE(LEFT(SUBSTITUTE(SUBSTITUTE(Общий!B451,".",""),"-",""),8)))))," ",Общий!C451),0)</f>
        <v>0</v>
      </c>
      <c r="C451" s="29" t="str">
        <f>Общий!A451</f>
        <v>443</v>
      </c>
      <c r="D451" s="27">
        <f>Общий!B451</f>
        <v>0</v>
      </c>
      <c r="E451" s="28">
        <f>Общий!C451</f>
        <v>0</v>
      </c>
      <c r="G451" s="44"/>
      <c r="H451" s="44"/>
      <c r="I451" s="44"/>
      <c r="J451" s="35"/>
    </row>
    <row r="452" spans="1:10">
      <c r="A452" s="31">
        <f>IFERROR(VALUE(IF(LEN(IFERROR(VALUE(MID(TRIM(SUBSTITUTE(SUBSTITUTE(MID(Общий!B452,SEARCH("Karcher",Общий!B452,1),19),".",""),"-","")),SEARCH("Karcher",TRIM(SUBSTITUTE(SUBSTITUTE(MID(Общий!B452,SEARCH("Karcher",Общий!B452,1),19),".",""),"-","")),1)+8,8)),VALUE(LEFT(SUBSTITUTE(SUBSTITUTE(Общий!B452,".",""),"-",""),8))))=7,CONCATENATE(IFERROR(VALUE(MID(TRIM(SUBSTITUTE(SUBSTITUTE(MID(Общий!B452,SEARCH("Karcher",Общий!B452,1),19),".",""),"-","")),SEARCH("Karcher",TRIM(SUBSTITUTE(SUBSTITUTE(MID(Общий!B452,SEARCH("Karcher",Общий!B452,1),19),".",""),"-","")),1)+8,8)),VALUE(LEFT(SUBSTITUTE(SUBSTITUTE(Общий!B452,".",""),"-",""),8))),"0"),IFERROR(VALUE(MID(TRIM(SUBSTITUTE(SUBSTITUTE(MID(Общий!B452,SEARCH("Karcher",Общий!B452,1),19),".",""),"-","")),SEARCH("Karcher",TRIM(SUBSTITUTE(SUBSTITUTE(MID(Общий!B452,SEARCH("Karcher",Общий!B452,1),19),".",""),"-","")),1)+8,8)),VALUE(LEFT(SUBSTITUTE(SUBSTITUTE(Общий!B452,".",""),"-",""),8))))),0)</f>
        <v>0</v>
      </c>
      <c r="B452" s="25">
        <f>IFERROR(CONCATENATE(VALUE(IF(LEN(IFERROR(VALUE(MID(TRIM(SUBSTITUTE(SUBSTITUTE(MID(Общий!B452,SEARCH("Karcher",Общий!B452,1),19),".",""),"-","")),SEARCH("Karcher",TRIM(SUBSTITUTE(SUBSTITUTE(MID(Общий!B452,SEARCH("Karcher",Общий!B452,1),19),".",""),"-","")),1)+8,8)),VALUE(LEFT(SUBSTITUTE(SUBSTITUTE(Общий!B452,".",""),"-",""),8))))=7,CONCATENATE(IFERROR(VALUE(MID(TRIM(SUBSTITUTE(SUBSTITUTE(MID(Общий!B452,SEARCH("Karcher",Общий!B452,1),19),".",""),"-","")),SEARCH("Karcher",TRIM(SUBSTITUTE(SUBSTITUTE(MID(Общий!B452,SEARCH("Karcher",Общий!B452,1),19),".",""),"-","")),1)+8,8)),VALUE(LEFT(SUBSTITUTE(SUBSTITUTE(Общий!B452,".",""),"-",""),8))),"0"),IFERROR(VALUE(MID(TRIM(SUBSTITUTE(SUBSTITUTE(MID(Общий!B452,SEARCH("Karcher",Общий!B452,1),19),".",""),"-","")),SEARCH("Karcher",TRIM(SUBSTITUTE(SUBSTITUTE(MID(Общий!B452,SEARCH("Karcher",Общий!B452,1),19),".",""),"-","")),1)+8,8)),VALUE(LEFT(SUBSTITUTE(SUBSTITUTE(Общий!B452,".",""),"-",""),8)))))," ",Общий!C452),0)</f>
        <v>0</v>
      </c>
      <c r="C452" s="29" t="str">
        <f>Общий!A452</f>
        <v>444</v>
      </c>
      <c r="D452" s="27">
        <f>Общий!B452</f>
        <v>0</v>
      </c>
      <c r="E452" s="28">
        <f>Общий!C452</f>
        <v>0</v>
      </c>
      <c r="G452" s="44"/>
      <c r="H452" s="44"/>
      <c r="I452" s="44"/>
      <c r="J452" s="35"/>
    </row>
    <row r="453" spans="1:10">
      <c r="A453" s="31">
        <f>IFERROR(VALUE(IF(LEN(IFERROR(VALUE(MID(TRIM(SUBSTITUTE(SUBSTITUTE(MID(Общий!B453,SEARCH("Karcher",Общий!B453,1),19),".",""),"-","")),SEARCH("Karcher",TRIM(SUBSTITUTE(SUBSTITUTE(MID(Общий!B453,SEARCH("Karcher",Общий!B453,1),19),".",""),"-","")),1)+8,8)),VALUE(LEFT(SUBSTITUTE(SUBSTITUTE(Общий!B453,".",""),"-",""),8))))=7,CONCATENATE(IFERROR(VALUE(MID(TRIM(SUBSTITUTE(SUBSTITUTE(MID(Общий!B453,SEARCH("Karcher",Общий!B453,1),19),".",""),"-","")),SEARCH("Karcher",TRIM(SUBSTITUTE(SUBSTITUTE(MID(Общий!B453,SEARCH("Karcher",Общий!B453,1),19),".",""),"-","")),1)+8,8)),VALUE(LEFT(SUBSTITUTE(SUBSTITUTE(Общий!B453,".",""),"-",""),8))),"0"),IFERROR(VALUE(MID(TRIM(SUBSTITUTE(SUBSTITUTE(MID(Общий!B453,SEARCH("Karcher",Общий!B453,1),19),".",""),"-","")),SEARCH("Karcher",TRIM(SUBSTITUTE(SUBSTITUTE(MID(Общий!B453,SEARCH("Karcher",Общий!B453,1),19),".",""),"-","")),1)+8,8)),VALUE(LEFT(SUBSTITUTE(SUBSTITUTE(Общий!B453,".",""),"-",""),8))))),0)</f>
        <v>0</v>
      </c>
      <c r="B453" s="25">
        <f>IFERROR(CONCATENATE(VALUE(IF(LEN(IFERROR(VALUE(MID(TRIM(SUBSTITUTE(SUBSTITUTE(MID(Общий!B453,SEARCH("Karcher",Общий!B453,1),19),".",""),"-","")),SEARCH("Karcher",TRIM(SUBSTITUTE(SUBSTITUTE(MID(Общий!B453,SEARCH("Karcher",Общий!B453,1),19),".",""),"-","")),1)+8,8)),VALUE(LEFT(SUBSTITUTE(SUBSTITUTE(Общий!B453,".",""),"-",""),8))))=7,CONCATENATE(IFERROR(VALUE(MID(TRIM(SUBSTITUTE(SUBSTITUTE(MID(Общий!B453,SEARCH("Karcher",Общий!B453,1),19),".",""),"-","")),SEARCH("Karcher",TRIM(SUBSTITUTE(SUBSTITUTE(MID(Общий!B453,SEARCH("Karcher",Общий!B453,1),19),".",""),"-","")),1)+8,8)),VALUE(LEFT(SUBSTITUTE(SUBSTITUTE(Общий!B453,".",""),"-",""),8))),"0"),IFERROR(VALUE(MID(TRIM(SUBSTITUTE(SUBSTITUTE(MID(Общий!B453,SEARCH("Karcher",Общий!B453,1),19),".",""),"-","")),SEARCH("Karcher",TRIM(SUBSTITUTE(SUBSTITUTE(MID(Общий!B453,SEARCH("Karcher",Общий!B453,1),19),".",""),"-","")),1)+8,8)),VALUE(LEFT(SUBSTITUTE(SUBSTITUTE(Общий!B453,".",""),"-",""),8)))))," ",Общий!C453),0)</f>
        <v>0</v>
      </c>
      <c r="C453" s="29" t="str">
        <f>Общий!A453</f>
        <v>445</v>
      </c>
      <c r="D453" s="27">
        <f>Общий!B453</f>
        <v>0</v>
      </c>
      <c r="E453" s="28">
        <f>Общий!C453</f>
        <v>0</v>
      </c>
      <c r="G453" s="44"/>
      <c r="H453" s="44"/>
      <c r="I453" s="44"/>
      <c r="J453" s="35"/>
    </row>
    <row r="454" spans="1:10">
      <c r="A454" s="31">
        <f>IFERROR(VALUE(IF(LEN(IFERROR(VALUE(MID(TRIM(SUBSTITUTE(SUBSTITUTE(MID(Общий!B454,SEARCH("Karcher",Общий!B454,1),19),".",""),"-","")),SEARCH("Karcher",TRIM(SUBSTITUTE(SUBSTITUTE(MID(Общий!B454,SEARCH("Karcher",Общий!B454,1),19),".",""),"-","")),1)+8,8)),VALUE(LEFT(SUBSTITUTE(SUBSTITUTE(Общий!B454,".",""),"-",""),8))))=7,CONCATENATE(IFERROR(VALUE(MID(TRIM(SUBSTITUTE(SUBSTITUTE(MID(Общий!B454,SEARCH("Karcher",Общий!B454,1),19),".",""),"-","")),SEARCH("Karcher",TRIM(SUBSTITUTE(SUBSTITUTE(MID(Общий!B454,SEARCH("Karcher",Общий!B454,1),19),".",""),"-","")),1)+8,8)),VALUE(LEFT(SUBSTITUTE(SUBSTITUTE(Общий!B454,".",""),"-",""),8))),"0"),IFERROR(VALUE(MID(TRIM(SUBSTITUTE(SUBSTITUTE(MID(Общий!B454,SEARCH("Karcher",Общий!B454,1),19),".",""),"-","")),SEARCH("Karcher",TRIM(SUBSTITUTE(SUBSTITUTE(MID(Общий!B454,SEARCH("Karcher",Общий!B454,1),19),".",""),"-","")),1)+8,8)),VALUE(LEFT(SUBSTITUTE(SUBSTITUTE(Общий!B454,".",""),"-",""),8))))),0)</f>
        <v>0</v>
      </c>
      <c r="B454" s="25">
        <f>IFERROR(CONCATENATE(VALUE(IF(LEN(IFERROR(VALUE(MID(TRIM(SUBSTITUTE(SUBSTITUTE(MID(Общий!B454,SEARCH("Karcher",Общий!B454,1),19),".",""),"-","")),SEARCH("Karcher",TRIM(SUBSTITUTE(SUBSTITUTE(MID(Общий!B454,SEARCH("Karcher",Общий!B454,1),19),".",""),"-","")),1)+8,8)),VALUE(LEFT(SUBSTITUTE(SUBSTITUTE(Общий!B454,".",""),"-",""),8))))=7,CONCATENATE(IFERROR(VALUE(MID(TRIM(SUBSTITUTE(SUBSTITUTE(MID(Общий!B454,SEARCH("Karcher",Общий!B454,1),19),".",""),"-","")),SEARCH("Karcher",TRIM(SUBSTITUTE(SUBSTITUTE(MID(Общий!B454,SEARCH("Karcher",Общий!B454,1),19),".",""),"-","")),1)+8,8)),VALUE(LEFT(SUBSTITUTE(SUBSTITUTE(Общий!B454,".",""),"-",""),8))),"0"),IFERROR(VALUE(MID(TRIM(SUBSTITUTE(SUBSTITUTE(MID(Общий!B454,SEARCH("Karcher",Общий!B454,1),19),".",""),"-","")),SEARCH("Karcher",TRIM(SUBSTITUTE(SUBSTITUTE(MID(Общий!B454,SEARCH("Karcher",Общий!B454,1),19),".",""),"-","")),1)+8,8)),VALUE(LEFT(SUBSTITUTE(SUBSTITUTE(Общий!B454,".",""),"-",""),8)))))," ",Общий!C454),0)</f>
        <v>0</v>
      </c>
      <c r="C454" s="29" t="str">
        <f>Общий!A454</f>
        <v>446</v>
      </c>
      <c r="D454" s="27">
        <f>Общий!B454</f>
        <v>0</v>
      </c>
      <c r="E454" s="28">
        <f>Общий!C454</f>
        <v>0</v>
      </c>
      <c r="G454" s="44"/>
      <c r="H454" s="44"/>
      <c r="I454" s="44"/>
      <c r="J454" s="35"/>
    </row>
    <row r="455" spans="1:10">
      <c r="A455" s="31">
        <f>IFERROR(VALUE(IF(LEN(IFERROR(VALUE(MID(TRIM(SUBSTITUTE(SUBSTITUTE(MID(Общий!B455,SEARCH("Karcher",Общий!B455,1),19),".",""),"-","")),SEARCH("Karcher",TRIM(SUBSTITUTE(SUBSTITUTE(MID(Общий!B455,SEARCH("Karcher",Общий!B455,1),19),".",""),"-","")),1)+8,8)),VALUE(LEFT(SUBSTITUTE(SUBSTITUTE(Общий!B455,".",""),"-",""),8))))=7,CONCATENATE(IFERROR(VALUE(MID(TRIM(SUBSTITUTE(SUBSTITUTE(MID(Общий!B455,SEARCH("Karcher",Общий!B455,1),19),".",""),"-","")),SEARCH("Karcher",TRIM(SUBSTITUTE(SUBSTITUTE(MID(Общий!B455,SEARCH("Karcher",Общий!B455,1),19),".",""),"-","")),1)+8,8)),VALUE(LEFT(SUBSTITUTE(SUBSTITUTE(Общий!B455,".",""),"-",""),8))),"0"),IFERROR(VALUE(MID(TRIM(SUBSTITUTE(SUBSTITUTE(MID(Общий!B455,SEARCH("Karcher",Общий!B455,1),19),".",""),"-","")),SEARCH("Karcher",TRIM(SUBSTITUTE(SUBSTITUTE(MID(Общий!B455,SEARCH("Karcher",Общий!B455,1),19),".",""),"-","")),1)+8,8)),VALUE(LEFT(SUBSTITUTE(SUBSTITUTE(Общий!B455,".",""),"-",""),8))))),0)</f>
        <v>0</v>
      </c>
      <c r="B455" s="25">
        <f>IFERROR(CONCATENATE(VALUE(IF(LEN(IFERROR(VALUE(MID(TRIM(SUBSTITUTE(SUBSTITUTE(MID(Общий!B455,SEARCH("Karcher",Общий!B455,1),19),".",""),"-","")),SEARCH("Karcher",TRIM(SUBSTITUTE(SUBSTITUTE(MID(Общий!B455,SEARCH("Karcher",Общий!B455,1),19),".",""),"-","")),1)+8,8)),VALUE(LEFT(SUBSTITUTE(SUBSTITUTE(Общий!B455,".",""),"-",""),8))))=7,CONCATENATE(IFERROR(VALUE(MID(TRIM(SUBSTITUTE(SUBSTITUTE(MID(Общий!B455,SEARCH("Karcher",Общий!B455,1),19),".",""),"-","")),SEARCH("Karcher",TRIM(SUBSTITUTE(SUBSTITUTE(MID(Общий!B455,SEARCH("Karcher",Общий!B455,1),19),".",""),"-","")),1)+8,8)),VALUE(LEFT(SUBSTITUTE(SUBSTITUTE(Общий!B455,".",""),"-",""),8))),"0"),IFERROR(VALUE(MID(TRIM(SUBSTITUTE(SUBSTITUTE(MID(Общий!B455,SEARCH("Karcher",Общий!B455,1),19),".",""),"-","")),SEARCH("Karcher",TRIM(SUBSTITUTE(SUBSTITUTE(MID(Общий!B455,SEARCH("Karcher",Общий!B455,1),19),".",""),"-","")),1)+8,8)),VALUE(LEFT(SUBSTITUTE(SUBSTITUTE(Общий!B455,".",""),"-",""),8)))))," ",Общий!C455),0)</f>
        <v>0</v>
      </c>
      <c r="C455" s="29" t="str">
        <f>Общий!A455</f>
        <v>447</v>
      </c>
      <c r="D455" s="27">
        <f>Общий!B455</f>
        <v>0</v>
      </c>
      <c r="E455" s="28">
        <f>Общий!C455</f>
        <v>0</v>
      </c>
      <c r="G455" s="44"/>
      <c r="H455" s="44"/>
      <c r="I455" s="44"/>
      <c r="J455" s="35"/>
    </row>
    <row r="456" spans="1:10">
      <c r="A456" s="31">
        <f>IFERROR(VALUE(IF(LEN(IFERROR(VALUE(MID(TRIM(SUBSTITUTE(SUBSTITUTE(MID(Общий!B456,SEARCH("Karcher",Общий!B456,1),19),".",""),"-","")),SEARCH("Karcher",TRIM(SUBSTITUTE(SUBSTITUTE(MID(Общий!B456,SEARCH("Karcher",Общий!B456,1),19),".",""),"-","")),1)+8,8)),VALUE(LEFT(SUBSTITUTE(SUBSTITUTE(Общий!B456,".",""),"-",""),8))))=7,CONCATENATE(IFERROR(VALUE(MID(TRIM(SUBSTITUTE(SUBSTITUTE(MID(Общий!B456,SEARCH("Karcher",Общий!B456,1),19),".",""),"-","")),SEARCH("Karcher",TRIM(SUBSTITUTE(SUBSTITUTE(MID(Общий!B456,SEARCH("Karcher",Общий!B456,1),19),".",""),"-","")),1)+8,8)),VALUE(LEFT(SUBSTITUTE(SUBSTITUTE(Общий!B456,".",""),"-",""),8))),"0"),IFERROR(VALUE(MID(TRIM(SUBSTITUTE(SUBSTITUTE(MID(Общий!B456,SEARCH("Karcher",Общий!B456,1),19),".",""),"-","")),SEARCH("Karcher",TRIM(SUBSTITUTE(SUBSTITUTE(MID(Общий!B456,SEARCH("Karcher",Общий!B456,1),19),".",""),"-","")),1)+8,8)),VALUE(LEFT(SUBSTITUTE(SUBSTITUTE(Общий!B456,".",""),"-",""),8))))),0)</f>
        <v>0</v>
      </c>
      <c r="B456" s="25">
        <f>IFERROR(CONCATENATE(VALUE(IF(LEN(IFERROR(VALUE(MID(TRIM(SUBSTITUTE(SUBSTITUTE(MID(Общий!B456,SEARCH("Karcher",Общий!B456,1),19),".",""),"-","")),SEARCH("Karcher",TRIM(SUBSTITUTE(SUBSTITUTE(MID(Общий!B456,SEARCH("Karcher",Общий!B456,1),19),".",""),"-","")),1)+8,8)),VALUE(LEFT(SUBSTITUTE(SUBSTITUTE(Общий!B456,".",""),"-",""),8))))=7,CONCATENATE(IFERROR(VALUE(MID(TRIM(SUBSTITUTE(SUBSTITUTE(MID(Общий!B456,SEARCH("Karcher",Общий!B456,1),19),".",""),"-","")),SEARCH("Karcher",TRIM(SUBSTITUTE(SUBSTITUTE(MID(Общий!B456,SEARCH("Karcher",Общий!B456,1),19),".",""),"-","")),1)+8,8)),VALUE(LEFT(SUBSTITUTE(SUBSTITUTE(Общий!B456,".",""),"-",""),8))),"0"),IFERROR(VALUE(MID(TRIM(SUBSTITUTE(SUBSTITUTE(MID(Общий!B456,SEARCH("Karcher",Общий!B456,1),19),".",""),"-","")),SEARCH("Karcher",TRIM(SUBSTITUTE(SUBSTITUTE(MID(Общий!B456,SEARCH("Karcher",Общий!B456,1),19),".",""),"-","")),1)+8,8)),VALUE(LEFT(SUBSTITUTE(SUBSTITUTE(Общий!B456,".",""),"-",""),8)))))," ",Общий!C456),0)</f>
        <v>0</v>
      </c>
      <c r="C456" s="29" t="str">
        <f>Общий!A456</f>
        <v>448</v>
      </c>
      <c r="D456" s="27">
        <f>Общий!B456</f>
        <v>0</v>
      </c>
      <c r="E456" s="28">
        <f>Общий!C456</f>
        <v>0</v>
      </c>
      <c r="G456" s="44"/>
      <c r="H456" s="44"/>
      <c r="I456" s="44"/>
      <c r="J456" s="35"/>
    </row>
    <row r="457" spans="1:10">
      <c r="A457" s="31">
        <f>IFERROR(VALUE(IF(LEN(IFERROR(VALUE(MID(TRIM(SUBSTITUTE(SUBSTITUTE(MID(Общий!B457,SEARCH("Karcher",Общий!B457,1),19),".",""),"-","")),SEARCH("Karcher",TRIM(SUBSTITUTE(SUBSTITUTE(MID(Общий!B457,SEARCH("Karcher",Общий!B457,1),19),".",""),"-","")),1)+8,8)),VALUE(LEFT(SUBSTITUTE(SUBSTITUTE(Общий!B457,".",""),"-",""),8))))=7,CONCATENATE(IFERROR(VALUE(MID(TRIM(SUBSTITUTE(SUBSTITUTE(MID(Общий!B457,SEARCH("Karcher",Общий!B457,1),19),".",""),"-","")),SEARCH("Karcher",TRIM(SUBSTITUTE(SUBSTITUTE(MID(Общий!B457,SEARCH("Karcher",Общий!B457,1),19),".",""),"-","")),1)+8,8)),VALUE(LEFT(SUBSTITUTE(SUBSTITUTE(Общий!B457,".",""),"-",""),8))),"0"),IFERROR(VALUE(MID(TRIM(SUBSTITUTE(SUBSTITUTE(MID(Общий!B457,SEARCH("Karcher",Общий!B457,1),19),".",""),"-","")),SEARCH("Karcher",TRIM(SUBSTITUTE(SUBSTITUTE(MID(Общий!B457,SEARCH("Karcher",Общий!B457,1),19),".",""),"-","")),1)+8,8)),VALUE(LEFT(SUBSTITUTE(SUBSTITUTE(Общий!B457,".",""),"-",""),8))))),0)</f>
        <v>0</v>
      </c>
      <c r="B457" s="25">
        <f>IFERROR(CONCATENATE(VALUE(IF(LEN(IFERROR(VALUE(MID(TRIM(SUBSTITUTE(SUBSTITUTE(MID(Общий!B457,SEARCH("Karcher",Общий!B457,1),19),".",""),"-","")),SEARCH("Karcher",TRIM(SUBSTITUTE(SUBSTITUTE(MID(Общий!B457,SEARCH("Karcher",Общий!B457,1),19),".",""),"-","")),1)+8,8)),VALUE(LEFT(SUBSTITUTE(SUBSTITUTE(Общий!B457,".",""),"-",""),8))))=7,CONCATENATE(IFERROR(VALUE(MID(TRIM(SUBSTITUTE(SUBSTITUTE(MID(Общий!B457,SEARCH("Karcher",Общий!B457,1),19),".",""),"-","")),SEARCH("Karcher",TRIM(SUBSTITUTE(SUBSTITUTE(MID(Общий!B457,SEARCH("Karcher",Общий!B457,1),19),".",""),"-","")),1)+8,8)),VALUE(LEFT(SUBSTITUTE(SUBSTITUTE(Общий!B457,".",""),"-",""),8))),"0"),IFERROR(VALUE(MID(TRIM(SUBSTITUTE(SUBSTITUTE(MID(Общий!B457,SEARCH("Karcher",Общий!B457,1),19),".",""),"-","")),SEARCH("Karcher",TRIM(SUBSTITUTE(SUBSTITUTE(MID(Общий!B457,SEARCH("Karcher",Общий!B457,1),19),".",""),"-","")),1)+8,8)),VALUE(LEFT(SUBSTITUTE(SUBSTITUTE(Общий!B457,".",""),"-",""),8)))))," ",Общий!C457),0)</f>
        <v>0</v>
      </c>
      <c r="C457" s="29" t="str">
        <f>Общий!A457</f>
        <v>449</v>
      </c>
      <c r="D457" s="27">
        <f>Общий!B457</f>
        <v>0</v>
      </c>
      <c r="E457" s="28">
        <f>Общий!C457</f>
        <v>0</v>
      </c>
      <c r="G457" s="44"/>
      <c r="H457" s="44"/>
      <c r="I457" s="44"/>
      <c r="J457" s="35"/>
    </row>
    <row r="458" spans="1:10">
      <c r="A458" s="31">
        <f>IFERROR(VALUE(IF(LEN(IFERROR(VALUE(MID(TRIM(SUBSTITUTE(SUBSTITUTE(MID(Общий!B458,SEARCH("Karcher",Общий!B458,1),19),".",""),"-","")),SEARCH("Karcher",TRIM(SUBSTITUTE(SUBSTITUTE(MID(Общий!B458,SEARCH("Karcher",Общий!B458,1),19),".",""),"-","")),1)+8,8)),VALUE(LEFT(SUBSTITUTE(SUBSTITUTE(Общий!B458,".",""),"-",""),8))))=7,CONCATENATE(IFERROR(VALUE(MID(TRIM(SUBSTITUTE(SUBSTITUTE(MID(Общий!B458,SEARCH("Karcher",Общий!B458,1),19),".",""),"-","")),SEARCH("Karcher",TRIM(SUBSTITUTE(SUBSTITUTE(MID(Общий!B458,SEARCH("Karcher",Общий!B458,1),19),".",""),"-","")),1)+8,8)),VALUE(LEFT(SUBSTITUTE(SUBSTITUTE(Общий!B458,".",""),"-",""),8))),"0"),IFERROR(VALUE(MID(TRIM(SUBSTITUTE(SUBSTITUTE(MID(Общий!B458,SEARCH("Karcher",Общий!B458,1),19),".",""),"-","")),SEARCH("Karcher",TRIM(SUBSTITUTE(SUBSTITUTE(MID(Общий!B458,SEARCH("Karcher",Общий!B458,1),19),".",""),"-","")),1)+8,8)),VALUE(LEFT(SUBSTITUTE(SUBSTITUTE(Общий!B458,".",""),"-",""),8))))),0)</f>
        <v>0</v>
      </c>
      <c r="B458" s="25">
        <f>IFERROR(CONCATENATE(VALUE(IF(LEN(IFERROR(VALUE(MID(TRIM(SUBSTITUTE(SUBSTITUTE(MID(Общий!B458,SEARCH("Karcher",Общий!B458,1),19),".",""),"-","")),SEARCH("Karcher",TRIM(SUBSTITUTE(SUBSTITUTE(MID(Общий!B458,SEARCH("Karcher",Общий!B458,1),19),".",""),"-","")),1)+8,8)),VALUE(LEFT(SUBSTITUTE(SUBSTITUTE(Общий!B458,".",""),"-",""),8))))=7,CONCATENATE(IFERROR(VALUE(MID(TRIM(SUBSTITUTE(SUBSTITUTE(MID(Общий!B458,SEARCH("Karcher",Общий!B458,1),19),".",""),"-","")),SEARCH("Karcher",TRIM(SUBSTITUTE(SUBSTITUTE(MID(Общий!B458,SEARCH("Karcher",Общий!B458,1),19),".",""),"-","")),1)+8,8)),VALUE(LEFT(SUBSTITUTE(SUBSTITUTE(Общий!B458,".",""),"-",""),8))),"0"),IFERROR(VALUE(MID(TRIM(SUBSTITUTE(SUBSTITUTE(MID(Общий!B458,SEARCH("Karcher",Общий!B458,1),19),".",""),"-","")),SEARCH("Karcher",TRIM(SUBSTITUTE(SUBSTITUTE(MID(Общий!B458,SEARCH("Karcher",Общий!B458,1),19),".",""),"-","")),1)+8,8)),VALUE(LEFT(SUBSTITUTE(SUBSTITUTE(Общий!B458,".",""),"-",""),8)))))," ",Общий!C458),0)</f>
        <v>0</v>
      </c>
      <c r="C458" s="29" t="str">
        <f>Общий!A458</f>
        <v>450</v>
      </c>
      <c r="D458" s="27">
        <f>Общий!B458</f>
        <v>0</v>
      </c>
      <c r="E458" s="28">
        <f>Общий!C458</f>
        <v>0</v>
      </c>
      <c r="G458" s="44"/>
      <c r="H458" s="44"/>
      <c r="I458" s="44"/>
      <c r="J458" s="35"/>
    </row>
    <row r="459" spans="1:10">
      <c r="A459" s="31">
        <f>IFERROR(VALUE(IF(LEN(IFERROR(VALUE(MID(TRIM(SUBSTITUTE(SUBSTITUTE(MID(Общий!B459,SEARCH("Karcher",Общий!B459,1),19),".",""),"-","")),SEARCH("Karcher",TRIM(SUBSTITUTE(SUBSTITUTE(MID(Общий!B459,SEARCH("Karcher",Общий!B459,1),19),".",""),"-","")),1)+8,8)),VALUE(LEFT(SUBSTITUTE(SUBSTITUTE(Общий!B459,".",""),"-",""),8))))=7,CONCATENATE(IFERROR(VALUE(MID(TRIM(SUBSTITUTE(SUBSTITUTE(MID(Общий!B459,SEARCH("Karcher",Общий!B459,1),19),".",""),"-","")),SEARCH("Karcher",TRIM(SUBSTITUTE(SUBSTITUTE(MID(Общий!B459,SEARCH("Karcher",Общий!B459,1),19),".",""),"-","")),1)+8,8)),VALUE(LEFT(SUBSTITUTE(SUBSTITUTE(Общий!B459,".",""),"-",""),8))),"0"),IFERROR(VALUE(MID(TRIM(SUBSTITUTE(SUBSTITUTE(MID(Общий!B459,SEARCH("Karcher",Общий!B459,1),19),".",""),"-","")),SEARCH("Karcher",TRIM(SUBSTITUTE(SUBSTITUTE(MID(Общий!B459,SEARCH("Karcher",Общий!B459,1),19),".",""),"-","")),1)+8,8)),VALUE(LEFT(SUBSTITUTE(SUBSTITUTE(Общий!B459,".",""),"-",""),8))))),0)</f>
        <v>0</v>
      </c>
      <c r="B459" s="25">
        <f>IFERROR(CONCATENATE(VALUE(IF(LEN(IFERROR(VALUE(MID(TRIM(SUBSTITUTE(SUBSTITUTE(MID(Общий!B459,SEARCH("Karcher",Общий!B459,1),19),".",""),"-","")),SEARCH("Karcher",TRIM(SUBSTITUTE(SUBSTITUTE(MID(Общий!B459,SEARCH("Karcher",Общий!B459,1),19),".",""),"-","")),1)+8,8)),VALUE(LEFT(SUBSTITUTE(SUBSTITUTE(Общий!B459,".",""),"-",""),8))))=7,CONCATENATE(IFERROR(VALUE(MID(TRIM(SUBSTITUTE(SUBSTITUTE(MID(Общий!B459,SEARCH("Karcher",Общий!B459,1),19),".",""),"-","")),SEARCH("Karcher",TRIM(SUBSTITUTE(SUBSTITUTE(MID(Общий!B459,SEARCH("Karcher",Общий!B459,1),19),".",""),"-","")),1)+8,8)),VALUE(LEFT(SUBSTITUTE(SUBSTITUTE(Общий!B459,".",""),"-",""),8))),"0"),IFERROR(VALUE(MID(TRIM(SUBSTITUTE(SUBSTITUTE(MID(Общий!B459,SEARCH("Karcher",Общий!B459,1),19),".",""),"-","")),SEARCH("Karcher",TRIM(SUBSTITUTE(SUBSTITUTE(MID(Общий!B459,SEARCH("Karcher",Общий!B459,1),19),".",""),"-","")),1)+8,8)),VALUE(LEFT(SUBSTITUTE(SUBSTITUTE(Общий!B459,".",""),"-",""),8)))))," ",Общий!C459),0)</f>
        <v>0</v>
      </c>
      <c r="C459" s="29" t="str">
        <f>Общий!A459</f>
        <v>451</v>
      </c>
      <c r="D459" s="27">
        <f>Общий!B459</f>
        <v>0</v>
      </c>
      <c r="E459" s="28">
        <f>Общий!C459</f>
        <v>0</v>
      </c>
      <c r="G459" s="44"/>
      <c r="H459" s="44"/>
      <c r="I459" s="44"/>
      <c r="J459" s="35"/>
    </row>
    <row r="460" spans="1:10">
      <c r="A460" s="31">
        <f>IFERROR(VALUE(IF(LEN(IFERROR(VALUE(MID(TRIM(SUBSTITUTE(SUBSTITUTE(MID(Общий!B460,SEARCH("Karcher",Общий!B460,1),19),".",""),"-","")),SEARCH("Karcher",TRIM(SUBSTITUTE(SUBSTITUTE(MID(Общий!B460,SEARCH("Karcher",Общий!B460,1),19),".",""),"-","")),1)+8,8)),VALUE(LEFT(SUBSTITUTE(SUBSTITUTE(Общий!B460,".",""),"-",""),8))))=7,CONCATENATE(IFERROR(VALUE(MID(TRIM(SUBSTITUTE(SUBSTITUTE(MID(Общий!B460,SEARCH("Karcher",Общий!B460,1),19),".",""),"-","")),SEARCH("Karcher",TRIM(SUBSTITUTE(SUBSTITUTE(MID(Общий!B460,SEARCH("Karcher",Общий!B460,1),19),".",""),"-","")),1)+8,8)),VALUE(LEFT(SUBSTITUTE(SUBSTITUTE(Общий!B460,".",""),"-",""),8))),"0"),IFERROR(VALUE(MID(TRIM(SUBSTITUTE(SUBSTITUTE(MID(Общий!B460,SEARCH("Karcher",Общий!B460,1),19),".",""),"-","")),SEARCH("Karcher",TRIM(SUBSTITUTE(SUBSTITUTE(MID(Общий!B460,SEARCH("Karcher",Общий!B460,1),19),".",""),"-","")),1)+8,8)),VALUE(LEFT(SUBSTITUTE(SUBSTITUTE(Общий!B460,".",""),"-",""),8))))),0)</f>
        <v>0</v>
      </c>
      <c r="B460" s="25">
        <f>IFERROR(CONCATENATE(VALUE(IF(LEN(IFERROR(VALUE(MID(TRIM(SUBSTITUTE(SUBSTITUTE(MID(Общий!B460,SEARCH("Karcher",Общий!B460,1),19),".",""),"-","")),SEARCH("Karcher",TRIM(SUBSTITUTE(SUBSTITUTE(MID(Общий!B460,SEARCH("Karcher",Общий!B460,1),19),".",""),"-","")),1)+8,8)),VALUE(LEFT(SUBSTITUTE(SUBSTITUTE(Общий!B460,".",""),"-",""),8))))=7,CONCATENATE(IFERROR(VALUE(MID(TRIM(SUBSTITUTE(SUBSTITUTE(MID(Общий!B460,SEARCH("Karcher",Общий!B460,1),19),".",""),"-","")),SEARCH("Karcher",TRIM(SUBSTITUTE(SUBSTITUTE(MID(Общий!B460,SEARCH("Karcher",Общий!B460,1),19),".",""),"-","")),1)+8,8)),VALUE(LEFT(SUBSTITUTE(SUBSTITUTE(Общий!B460,".",""),"-",""),8))),"0"),IFERROR(VALUE(MID(TRIM(SUBSTITUTE(SUBSTITUTE(MID(Общий!B460,SEARCH("Karcher",Общий!B460,1),19),".",""),"-","")),SEARCH("Karcher",TRIM(SUBSTITUTE(SUBSTITUTE(MID(Общий!B460,SEARCH("Karcher",Общий!B460,1),19),".",""),"-","")),1)+8,8)),VALUE(LEFT(SUBSTITUTE(SUBSTITUTE(Общий!B460,".",""),"-",""),8)))))," ",Общий!C460),0)</f>
        <v>0</v>
      </c>
      <c r="C460" s="29" t="str">
        <f>Общий!A460</f>
        <v>452</v>
      </c>
      <c r="D460" s="27">
        <f>Общий!B460</f>
        <v>0</v>
      </c>
      <c r="E460" s="28">
        <f>Общий!C460</f>
        <v>0</v>
      </c>
      <c r="G460" s="44"/>
      <c r="H460" s="44"/>
      <c r="I460" s="44"/>
      <c r="J460" s="35"/>
    </row>
    <row r="461" spans="1:10">
      <c r="A461" s="31">
        <f>IFERROR(VALUE(IF(LEN(IFERROR(VALUE(MID(TRIM(SUBSTITUTE(SUBSTITUTE(MID(Общий!B461,SEARCH("Karcher",Общий!B461,1),19),".",""),"-","")),SEARCH("Karcher",TRIM(SUBSTITUTE(SUBSTITUTE(MID(Общий!B461,SEARCH("Karcher",Общий!B461,1),19),".",""),"-","")),1)+8,8)),VALUE(LEFT(SUBSTITUTE(SUBSTITUTE(Общий!B461,".",""),"-",""),8))))=7,CONCATENATE(IFERROR(VALUE(MID(TRIM(SUBSTITUTE(SUBSTITUTE(MID(Общий!B461,SEARCH("Karcher",Общий!B461,1),19),".",""),"-","")),SEARCH("Karcher",TRIM(SUBSTITUTE(SUBSTITUTE(MID(Общий!B461,SEARCH("Karcher",Общий!B461,1),19),".",""),"-","")),1)+8,8)),VALUE(LEFT(SUBSTITUTE(SUBSTITUTE(Общий!B461,".",""),"-",""),8))),"0"),IFERROR(VALUE(MID(TRIM(SUBSTITUTE(SUBSTITUTE(MID(Общий!B461,SEARCH("Karcher",Общий!B461,1),19),".",""),"-","")),SEARCH("Karcher",TRIM(SUBSTITUTE(SUBSTITUTE(MID(Общий!B461,SEARCH("Karcher",Общий!B461,1),19),".",""),"-","")),1)+8,8)),VALUE(LEFT(SUBSTITUTE(SUBSTITUTE(Общий!B461,".",""),"-",""),8))))),0)</f>
        <v>0</v>
      </c>
      <c r="B461" s="25">
        <f>IFERROR(CONCATENATE(VALUE(IF(LEN(IFERROR(VALUE(MID(TRIM(SUBSTITUTE(SUBSTITUTE(MID(Общий!B461,SEARCH("Karcher",Общий!B461,1),19),".",""),"-","")),SEARCH("Karcher",TRIM(SUBSTITUTE(SUBSTITUTE(MID(Общий!B461,SEARCH("Karcher",Общий!B461,1),19),".",""),"-","")),1)+8,8)),VALUE(LEFT(SUBSTITUTE(SUBSTITUTE(Общий!B461,".",""),"-",""),8))))=7,CONCATENATE(IFERROR(VALUE(MID(TRIM(SUBSTITUTE(SUBSTITUTE(MID(Общий!B461,SEARCH("Karcher",Общий!B461,1),19),".",""),"-","")),SEARCH("Karcher",TRIM(SUBSTITUTE(SUBSTITUTE(MID(Общий!B461,SEARCH("Karcher",Общий!B461,1),19),".",""),"-","")),1)+8,8)),VALUE(LEFT(SUBSTITUTE(SUBSTITUTE(Общий!B461,".",""),"-",""),8))),"0"),IFERROR(VALUE(MID(TRIM(SUBSTITUTE(SUBSTITUTE(MID(Общий!B461,SEARCH("Karcher",Общий!B461,1),19),".",""),"-","")),SEARCH("Karcher",TRIM(SUBSTITUTE(SUBSTITUTE(MID(Общий!B461,SEARCH("Karcher",Общий!B461,1),19),".",""),"-","")),1)+8,8)),VALUE(LEFT(SUBSTITUTE(SUBSTITUTE(Общий!B461,".",""),"-",""),8)))))," ",Общий!C461),0)</f>
        <v>0</v>
      </c>
      <c r="C461" s="29" t="str">
        <f>Общий!A461</f>
        <v>453</v>
      </c>
      <c r="D461" s="27">
        <f>Общий!B461</f>
        <v>0</v>
      </c>
      <c r="E461" s="28">
        <f>Общий!C461</f>
        <v>0</v>
      </c>
      <c r="G461" s="44"/>
      <c r="H461" s="44"/>
      <c r="I461" s="44"/>
      <c r="J461" s="35"/>
    </row>
    <row r="462" spans="1:10">
      <c r="A462" s="31">
        <f>IFERROR(VALUE(IF(LEN(IFERROR(VALUE(MID(TRIM(SUBSTITUTE(SUBSTITUTE(MID(Общий!B462,SEARCH("Karcher",Общий!B462,1),19),".",""),"-","")),SEARCH("Karcher",TRIM(SUBSTITUTE(SUBSTITUTE(MID(Общий!B462,SEARCH("Karcher",Общий!B462,1),19),".",""),"-","")),1)+8,8)),VALUE(LEFT(SUBSTITUTE(SUBSTITUTE(Общий!B462,".",""),"-",""),8))))=7,CONCATENATE(IFERROR(VALUE(MID(TRIM(SUBSTITUTE(SUBSTITUTE(MID(Общий!B462,SEARCH("Karcher",Общий!B462,1),19),".",""),"-","")),SEARCH("Karcher",TRIM(SUBSTITUTE(SUBSTITUTE(MID(Общий!B462,SEARCH("Karcher",Общий!B462,1),19),".",""),"-","")),1)+8,8)),VALUE(LEFT(SUBSTITUTE(SUBSTITUTE(Общий!B462,".",""),"-",""),8))),"0"),IFERROR(VALUE(MID(TRIM(SUBSTITUTE(SUBSTITUTE(MID(Общий!B462,SEARCH("Karcher",Общий!B462,1),19),".",""),"-","")),SEARCH("Karcher",TRIM(SUBSTITUTE(SUBSTITUTE(MID(Общий!B462,SEARCH("Karcher",Общий!B462,1),19),".",""),"-","")),1)+8,8)),VALUE(LEFT(SUBSTITUTE(SUBSTITUTE(Общий!B462,".",""),"-",""),8))))),0)</f>
        <v>0</v>
      </c>
      <c r="B462" s="25">
        <f>IFERROR(CONCATENATE(VALUE(IF(LEN(IFERROR(VALUE(MID(TRIM(SUBSTITUTE(SUBSTITUTE(MID(Общий!B462,SEARCH("Karcher",Общий!B462,1),19),".",""),"-","")),SEARCH("Karcher",TRIM(SUBSTITUTE(SUBSTITUTE(MID(Общий!B462,SEARCH("Karcher",Общий!B462,1),19),".",""),"-","")),1)+8,8)),VALUE(LEFT(SUBSTITUTE(SUBSTITUTE(Общий!B462,".",""),"-",""),8))))=7,CONCATENATE(IFERROR(VALUE(MID(TRIM(SUBSTITUTE(SUBSTITUTE(MID(Общий!B462,SEARCH("Karcher",Общий!B462,1),19),".",""),"-","")),SEARCH("Karcher",TRIM(SUBSTITUTE(SUBSTITUTE(MID(Общий!B462,SEARCH("Karcher",Общий!B462,1),19),".",""),"-","")),1)+8,8)),VALUE(LEFT(SUBSTITUTE(SUBSTITUTE(Общий!B462,".",""),"-",""),8))),"0"),IFERROR(VALUE(MID(TRIM(SUBSTITUTE(SUBSTITUTE(MID(Общий!B462,SEARCH("Karcher",Общий!B462,1),19),".",""),"-","")),SEARCH("Karcher",TRIM(SUBSTITUTE(SUBSTITUTE(MID(Общий!B462,SEARCH("Karcher",Общий!B462,1),19),".",""),"-","")),1)+8,8)),VALUE(LEFT(SUBSTITUTE(SUBSTITUTE(Общий!B462,".",""),"-",""),8)))))," ",Общий!C462),0)</f>
        <v>0</v>
      </c>
      <c r="C462" s="29" t="str">
        <f>Общий!A462</f>
        <v>454</v>
      </c>
      <c r="D462" s="27">
        <f>Общий!B462</f>
        <v>0</v>
      </c>
      <c r="E462" s="28">
        <f>Общий!C462</f>
        <v>0</v>
      </c>
      <c r="G462" s="44"/>
      <c r="H462" s="44"/>
      <c r="I462" s="44"/>
      <c r="J462" s="35"/>
    </row>
    <row r="463" spans="1:10">
      <c r="A463" s="31">
        <f>IFERROR(VALUE(IF(LEN(IFERROR(VALUE(MID(TRIM(SUBSTITUTE(SUBSTITUTE(MID(Общий!B463,SEARCH("Karcher",Общий!B463,1),19),".",""),"-","")),SEARCH("Karcher",TRIM(SUBSTITUTE(SUBSTITUTE(MID(Общий!B463,SEARCH("Karcher",Общий!B463,1),19),".",""),"-","")),1)+8,8)),VALUE(LEFT(SUBSTITUTE(SUBSTITUTE(Общий!B463,".",""),"-",""),8))))=7,CONCATENATE(IFERROR(VALUE(MID(TRIM(SUBSTITUTE(SUBSTITUTE(MID(Общий!B463,SEARCH("Karcher",Общий!B463,1),19),".",""),"-","")),SEARCH("Karcher",TRIM(SUBSTITUTE(SUBSTITUTE(MID(Общий!B463,SEARCH("Karcher",Общий!B463,1),19),".",""),"-","")),1)+8,8)),VALUE(LEFT(SUBSTITUTE(SUBSTITUTE(Общий!B463,".",""),"-",""),8))),"0"),IFERROR(VALUE(MID(TRIM(SUBSTITUTE(SUBSTITUTE(MID(Общий!B463,SEARCH("Karcher",Общий!B463,1),19),".",""),"-","")),SEARCH("Karcher",TRIM(SUBSTITUTE(SUBSTITUTE(MID(Общий!B463,SEARCH("Karcher",Общий!B463,1),19),".",""),"-","")),1)+8,8)),VALUE(LEFT(SUBSTITUTE(SUBSTITUTE(Общий!B463,".",""),"-",""),8))))),0)</f>
        <v>0</v>
      </c>
      <c r="B463" s="25">
        <f>IFERROR(CONCATENATE(VALUE(IF(LEN(IFERROR(VALUE(MID(TRIM(SUBSTITUTE(SUBSTITUTE(MID(Общий!B463,SEARCH("Karcher",Общий!B463,1),19),".",""),"-","")),SEARCH("Karcher",TRIM(SUBSTITUTE(SUBSTITUTE(MID(Общий!B463,SEARCH("Karcher",Общий!B463,1),19),".",""),"-","")),1)+8,8)),VALUE(LEFT(SUBSTITUTE(SUBSTITUTE(Общий!B463,".",""),"-",""),8))))=7,CONCATENATE(IFERROR(VALUE(MID(TRIM(SUBSTITUTE(SUBSTITUTE(MID(Общий!B463,SEARCH("Karcher",Общий!B463,1),19),".",""),"-","")),SEARCH("Karcher",TRIM(SUBSTITUTE(SUBSTITUTE(MID(Общий!B463,SEARCH("Karcher",Общий!B463,1),19),".",""),"-","")),1)+8,8)),VALUE(LEFT(SUBSTITUTE(SUBSTITUTE(Общий!B463,".",""),"-",""),8))),"0"),IFERROR(VALUE(MID(TRIM(SUBSTITUTE(SUBSTITUTE(MID(Общий!B463,SEARCH("Karcher",Общий!B463,1),19),".",""),"-","")),SEARCH("Karcher",TRIM(SUBSTITUTE(SUBSTITUTE(MID(Общий!B463,SEARCH("Karcher",Общий!B463,1),19),".",""),"-","")),1)+8,8)),VALUE(LEFT(SUBSTITUTE(SUBSTITUTE(Общий!B463,".",""),"-",""),8)))))," ",Общий!C463),0)</f>
        <v>0</v>
      </c>
      <c r="C463" s="29" t="str">
        <f>Общий!A463</f>
        <v>455</v>
      </c>
      <c r="D463" s="27">
        <f>Общий!B463</f>
        <v>0</v>
      </c>
      <c r="E463" s="28">
        <f>Общий!C463</f>
        <v>0</v>
      </c>
      <c r="G463" s="44"/>
      <c r="H463" s="44"/>
      <c r="I463" s="44"/>
      <c r="J463" s="35"/>
    </row>
    <row r="464" spans="1:10">
      <c r="A464" s="31">
        <f>IFERROR(VALUE(IF(LEN(IFERROR(VALUE(MID(TRIM(SUBSTITUTE(SUBSTITUTE(MID(Общий!B464,SEARCH("Karcher",Общий!B464,1),19),".",""),"-","")),SEARCH("Karcher",TRIM(SUBSTITUTE(SUBSTITUTE(MID(Общий!B464,SEARCH("Karcher",Общий!B464,1),19),".",""),"-","")),1)+8,8)),VALUE(LEFT(SUBSTITUTE(SUBSTITUTE(Общий!B464,".",""),"-",""),8))))=7,CONCATENATE(IFERROR(VALUE(MID(TRIM(SUBSTITUTE(SUBSTITUTE(MID(Общий!B464,SEARCH("Karcher",Общий!B464,1),19),".",""),"-","")),SEARCH("Karcher",TRIM(SUBSTITUTE(SUBSTITUTE(MID(Общий!B464,SEARCH("Karcher",Общий!B464,1),19),".",""),"-","")),1)+8,8)),VALUE(LEFT(SUBSTITUTE(SUBSTITUTE(Общий!B464,".",""),"-",""),8))),"0"),IFERROR(VALUE(MID(TRIM(SUBSTITUTE(SUBSTITUTE(MID(Общий!B464,SEARCH("Karcher",Общий!B464,1),19),".",""),"-","")),SEARCH("Karcher",TRIM(SUBSTITUTE(SUBSTITUTE(MID(Общий!B464,SEARCH("Karcher",Общий!B464,1),19),".",""),"-","")),1)+8,8)),VALUE(LEFT(SUBSTITUTE(SUBSTITUTE(Общий!B464,".",""),"-",""),8))))),0)</f>
        <v>0</v>
      </c>
      <c r="B464" s="25">
        <f>IFERROR(CONCATENATE(VALUE(IF(LEN(IFERROR(VALUE(MID(TRIM(SUBSTITUTE(SUBSTITUTE(MID(Общий!B464,SEARCH("Karcher",Общий!B464,1),19),".",""),"-","")),SEARCH("Karcher",TRIM(SUBSTITUTE(SUBSTITUTE(MID(Общий!B464,SEARCH("Karcher",Общий!B464,1),19),".",""),"-","")),1)+8,8)),VALUE(LEFT(SUBSTITUTE(SUBSTITUTE(Общий!B464,".",""),"-",""),8))))=7,CONCATENATE(IFERROR(VALUE(MID(TRIM(SUBSTITUTE(SUBSTITUTE(MID(Общий!B464,SEARCH("Karcher",Общий!B464,1),19),".",""),"-","")),SEARCH("Karcher",TRIM(SUBSTITUTE(SUBSTITUTE(MID(Общий!B464,SEARCH("Karcher",Общий!B464,1),19),".",""),"-","")),1)+8,8)),VALUE(LEFT(SUBSTITUTE(SUBSTITUTE(Общий!B464,".",""),"-",""),8))),"0"),IFERROR(VALUE(MID(TRIM(SUBSTITUTE(SUBSTITUTE(MID(Общий!B464,SEARCH("Karcher",Общий!B464,1),19),".",""),"-","")),SEARCH("Karcher",TRIM(SUBSTITUTE(SUBSTITUTE(MID(Общий!B464,SEARCH("Karcher",Общий!B464,1),19),".",""),"-","")),1)+8,8)),VALUE(LEFT(SUBSTITUTE(SUBSTITUTE(Общий!B464,".",""),"-",""),8)))))," ",Общий!C464),0)</f>
        <v>0</v>
      </c>
      <c r="C464" s="29" t="str">
        <f>Общий!A464</f>
        <v>456</v>
      </c>
      <c r="D464" s="27">
        <f>Общий!B464</f>
        <v>0</v>
      </c>
      <c r="E464" s="28">
        <f>Общий!C464</f>
        <v>0</v>
      </c>
      <c r="G464" s="44"/>
      <c r="H464" s="44"/>
      <c r="I464" s="44"/>
      <c r="J464" s="35"/>
    </row>
    <row r="465" spans="1:10">
      <c r="A465" s="31">
        <f>IFERROR(VALUE(IF(LEN(IFERROR(VALUE(MID(TRIM(SUBSTITUTE(SUBSTITUTE(MID(Общий!B465,SEARCH("Karcher",Общий!B465,1),19),".",""),"-","")),SEARCH("Karcher",TRIM(SUBSTITUTE(SUBSTITUTE(MID(Общий!B465,SEARCH("Karcher",Общий!B465,1),19),".",""),"-","")),1)+8,8)),VALUE(LEFT(SUBSTITUTE(SUBSTITUTE(Общий!B465,".",""),"-",""),8))))=7,CONCATENATE(IFERROR(VALUE(MID(TRIM(SUBSTITUTE(SUBSTITUTE(MID(Общий!B465,SEARCH("Karcher",Общий!B465,1),19),".",""),"-","")),SEARCH("Karcher",TRIM(SUBSTITUTE(SUBSTITUTE(MID(Общий!B465,SEARCH("Karcher",Общий!B465,1),19),".",""),"-","")),1)+8,8)),VALUE(LEFT(SUBSTITUTE(SUBSTITUTE(Общий!B465,".",""),"-",""),8))),"0"),IFERROR(VALUE(MID(TRIM(SUBSTITUTE(SUBSTITUTE(MID(Общий!B465,SEARCH("Karcher",Общий!B465,1),19),".",""),"-","")),SEARCH("Karcher",TRIM(SUBSTITUTE(SUBSTITUTE(MID(Общий!B465,SEARCH("Karcher",Общий!B465,1),19),".",""),"-","")),1)+8,8)),VALUE(LEFT(SUBSTITUTE(SUBSTITUTE(Общий!B465,".",""),"-",""),8))))),0)</f>
        <v>0</v>
      </c>
      <c r="B465" s="25">
        <f>IFERROR(CONCATENATE(VALUE(IF(LEN(IFERROR(VALUE(MID(TRIM(SUBSTITUTE(SUBSTITUTE(MID(Общий!B465,SEARCH("Karcher",Общий!B465,1),19),".",""),"-","")),SEARCH("Karcher",TRIM(SUBSTITUTE(SUBSTITUTE(MID(Общий!B465,SEARCH("Karcher",Общий!B465,1),19),".",""),"-","")),1)+8,8)),VALUE(LEFT(SUBSTITUTE(SUBSTITUTE(Общий!B465,".",""),"-",""),8))))=7,CONCATENATE(IFERROR(VALUE(MID(TRIM(SUBSTITUTE(SUBSTITUTE(MID(Общий!B465,SEARCH("Karcher",Общий!B465,1),19),".",""),"-","")),SEARCH("Karcher",TRIM(SUBSTITUTE(SUBSTITUTE(MID(Общий!B465,SEARCH("Karcher",Общий!B465,1),19),".",""),"-","")),1)+8,8)),VALUE(LEFT(SUBSTITUTE(SUBSTITUTE(Общий!B465,".",""),"-",""),8))),"0"),IFERROR(VALUE(MID(TRIM(SUBSTITUTE(SUBSTITUTE(MID(Общий!B465,SEARCH("Karcher",Общий!B465,1),19),".",""),"-","")),SEARCH("Karcher",TRIM(SUBSTITUTE(SUBSTITUTE(MID(Общий!B465,SEARCH("Karcher",Общий!B465,1),19),".",""),"-","")),1)+8,8)),VALUE(LEFT(SUBSTITUTE(SUBSTITUTE(Общий!B465,".",""),"-",""),8)))))," ",Общий!C465),0)</f>
        <v>0</v>
      </c>
      <c r="C465" s="29" t="str">
        <f>Общий!A465</f>
        <v>457</v>
      </c>
      <c r="D465" s="27">
        <f>Общий!B465</f>
        <v>0</v>
      </c>
      <c r="E465" s="28">
        <f>Общий!C465</f>
        <v>0</v>
      </c>
      <c r="G465" s="44"/>
      <c r="H465" s="44"/>
      <c r="I465" s="44"/>
      <c r="J465" s="35"/>
    </row>
    <row r="466" spans="1:10">
      <c r="A466" s="31">
        <f>IFERROR(VALUE(IF(LEN(IFERROR(VALUE(MID(TRIM(SUBSTITUTE(SUBSTITUTE(MID(Общий!B466,SEARCH("Karcher",Общий!B466,1),19),".",""),"-","")),SEARCH("Karcher",TRIM(SUBSTITUTE(SUBSTITUTE(MID(Общий!B466,SEARCH("Karcher",Общий!B466,1),19),".",""),"-","")),1)+8,8)),VALUE(LEFT(SUBSTITUTE(SUBSTITUTE(Общий!B466,".",""),"-",""),8))))=7,CONCATENATE(IFERROR(VALUE(MID(TRIM(SUBSTITUTE(SUBSTITUTE(MID(Общий!B466,SEARCH("Karcher",Общий!B466,1),19),".",""),"-","")),SEARCH("Karcher",TRIM(SUBSTITUTE(SUBSTITUTE(MID(Общий!B466,SEARCH("Karcher",Общий!B466,1),19),".",""),"-","")),1)+8,8)),VALUE(LEFT(SUBSTITUTE(SUBSTITUTE(Общий!B466,".",""),"-",""),8))),"0"),IFERROR(VALUE(MID(TRIM(SUBSTITUTE(SUBSTITUTE(MID(Общий!B466,SEARCH("Karcher",Общий!B466,1),19),".",""),"-","")),SEARCH("Karcher",TRIM(SUBSTITUTE(SUBSTITUTE(MID(Общий!B466,SEARCH("Karcher",Общий!B466,1),19),".",""),"-","")),1)+8,8)),VALUE(LEFT(SUBSTITUTE(SUBSTITUTE(Общий!B466,".",""),"-",""),8))))),0)</f>
        <v>0</v>
      </c>
      <c r="B466" s="25">
        <f>IFERROR(CONCATENATE(VALUE(IF(LEN(IFERROR(VALUE(MID(TRIM(SUBSTITUTE(SUBSTITUTE(MID(Общий!B466,SEARCH("Karcher",Общий!B466,1),19),".",""),"-","")),SEARCH("Karcher",TRIM(SUBSTITUTE(SUBSTITUTE(MID(Общий!B466,SEARCH("Karcher",Общий!B466,1),19),".",""),"-","")),1)+8,8)),VALUE(LEFT(SUBSTITUTE(SUBSTITUTE(Общий!B466,".",""),"-",""),8))))=7,CONCATENATE(IFERROR(VALUE(MID(TRIM(SUBSTITUTE(SUBSTITUTE(MID(Общий!B466,SEARCH("Karcher",Общий!B466,1),19),".",""),"-","")),SEARCH("Karcher",TRIM(SUBSTITUTE(SUBSTITUTE(MID(Общий!B466,SEARCH("Karcher",Общий!B466,1),19),".",""),"-","")),1)+8,8)),VALUE(LEFT(SUBSTITUTE(SUBSTITUTE(Общий!B466,".",""),"-",""),8))),"0"),IFERROR(VALUE(MID(TRIM(SUBSTITUTE(SUBSTITUTE(MID(Общий!B466,SEARCH("Karcher",Общий!B466,1),19),".",""),"-","")),SEARCH("Karcher",TRIM(SUBSTITUTE(SUBSTITUTE(MID(Общий!B466,SEARCH("Karcher",Общий!B466,1),19),".",""),"-","")),1)+8,8)),VALUE(LEFT(SUBSTITUTE(SUBSTITUTE(Общий!B466,".",""),"-",""),8)))))," ",Общий!C466),0)</f>
        <v>0</v>
      </c>
      <c r="C466" s="29" t="str">
        <f>Общий!A466</f>
        <v>458</v>
      </c>
      <c r="D466" s="27">
        <f>Общий!B466</f>
        <v>0</v>
      </c>
      <c r="E466" s="28">
        <f>Общий!C466</f>
        <v>0</v>
      </c>
      <c r="G466" s="44"/>
      <c r="H466" s="44"/>
      <c r="I466" s="44"/>
      <c r="J466" s="35"/>
    </row>
    <row r="467" spans="1:10">
      <c r="A467" s="31">
        <f>IFERROR(VALUE(IF(LEN(IFERROR(VALUE(MID(TRIM(SUBSTITUTE(SUBSTITUTE(MID(Общий!B467,SEARCH("Karcher",Общий!B467,1),19),".",""),"-","")),SEARCH("Karcher",TRIM(SUBSTITUTE(SUBSTITUTE(MID(Общий!B467,SEARCH("Karcher",Общий!B467,1),19),".",""),"-","")),1)+8,8)),VALUE(LEFT(SUBSTITUTE(SUBSTITUTE(Общий!B467,".",""),"-",""),8))))=7,CONCATENATE(IFERROR(VALUE(MID(TRIM(SUBSTITUTE(SUBSTITUTE(MID(Общий!B467,SEARCH("Karcher",Общий!B467,1),19),".",""),"-","")),SEARCH("Karcher",TRIM(SUBSTITUTE(SUBSTITUTE(MID(Общий!B467,SEARCH("Karcher",Общий!B467,1),19),".",""),"-","")),1)+8,8)),VALUE(LEFT(SUBSTITUTE(SUBSTITUTE(Общий!B467,".",""),"-",""),8))),"0"),IFERROR(VALUE(MID(TRIM(SUBSTITUTE(SUBSTITUTE(MID(Общий!B467,SEARCH("Karcher",Общий!B467,1),19),".",""),"-","")),SEARCH("Karcher",TRIM(SUBSTITUTE(SUBSTITUTE(MID(Общий!B467,SEARCH("Karcher",Общий!B467,1),19),".",""),"-","")),1)+8,8)),VALUE(LEFT(SUBSTITUTE(SUBSTITUTE(Общий!B467,".",""),"-",""),8))))),0)</f>
        <v>0</v>
      </c>
      <c r="B467" s="25">
        <f>IFERROR(CONCATENATE(VALUE(IF(LEN(IFERROR(VALUE(MID(TRIM(SUBSTITUTE(SUBSTITUTE(MID(Общий!B467,SEARCH("Karcher",Общий!B467,1),19),".",""),"-","")),SEARCH("Karcher",TRIM(SUBSTITUTE(SUBSTITUTE(MID(Общий!B467,SEARCH("Karcher",Общий!B467,1),19),".",""),"-","")),1)+8,8)),VALUE(LEFT(SUBSTITUTE(SUBSTITUTE(Общий!B467,".",""),"-",""),8))))=7,CONCATENATE(IFERROR(VALUE(MID(TRIM(SUBSTITUTE(SUBSTITUTE(MID(Общий!B467,SEARCH("Karcher",Общий!B467,1),19),".",""),"-","")),SEARCH("Karcher",TRIM(SUBSTITUTE(SUBSTITUTE(MID(Общий!B467,SEARCH("Karcher",Общий!B467,1),19),".",""),"-","")),1)+8,8)),VALUE(LEFT(SUBSTITUTE(SUBSTITUTE(Общий!B467,".",""),"-",""),8))),"0"),IFERROR(VALUE(MID(TRIM(SUBSTITUTE(SUBSTITUTE(MID(Общий!B467,SEARCH("Karcher",Общий!B467,1),19),".",""),"-","")),SEARCH("Karcher",TRIM(SUBSTITUTE(SUBSTITUTE(MID(Общий!B467,SEARCH("Karcher",Общий!B467,1),19),".",""),"-","")),1)+8,8)),VALUE(LEFT(SUBSTITUTE(SUBSTITUTE(Общий!B467,".",""),"-",""),8)))))," ",Общий!C467),0)</f>
        <v>0</v>
      </c>
      <c r="C467" s="29" t="str">
        <f>Общий!A467</f>
        <v>459</v>
      </c>
      <c r="D467" s="27">
        <f>Общий!B467</f>
        <v>0</v>
      </c>
      <c r="E467" s="28">
        <f>Общий!C467</f>
        <v>0</v>
      </c>
      <c r="G467" s="44"/>
      <c r="H467" s="44"/>
      <c r="I467" s="44"/>
      <c r="J467" s="35"/>
    </row>
    <row r="468" spans="1:10">
      <c r="A468" s="31">
        <f>IFERROR(VALUE(IF(LEN(IFERROR(VALUE(MID(TRIM(SUBSTITUTE(SUBSTITUTE(MID(Общий!B468,SEARCH("Karcher",Общий!B468,1),19),".",""),"-","")),SEARCH("Karcher",TRIM(SUBSTITUTE(SUBSTITUTE(MID(Общий!B468,SEARCH("Karcher",Общий!B468,1),19),".",""),"-","")),1)+8,8)),VALUE(LEFT(SUBSTITUTE(SUBSTITUTE(Общий!B468,".",""),"-",""),8))))=7,CONCATENATE(IFERROR(VALUE(MID(TRIM(SUBSTITUTE(SUBSTITUTE(MID(Общий!B468,SEARCH("Karcher",Общий!B468,1),19),".",""),"-","")),SEARCH("Karcher",TRIM(SUBSTITUTE(SUBSTITUTE(MID(Общий!B468,SEARCH("Karcher",Общий!B468,1),19),".",""),"-","")),1)+8,8)),VALUE(LEFT(SUBSTITUTE(SUBSTITUTE(Общий!B468,".",""),"-",""),8))),"0"),IFERROR(VALUE(MID(TRIM(SUBSTITUTE(SUBSTITUTE(MID(Общий!B468,SEARCH("Karcher",Общий!B468,1),19),".",""),"-","")),SEARCH("Karcher",TRIM(SUBSTITUTE(SUBSTITUTE(MID(Общий!B468,SEARCH("Karcher",Общий!B468,1),19),".",""),"-","")),1)+8,8)),VALUE(LEFT(SUBSTITUTE(SUBSTITUTE(Общий!B468,".",""),"-",""),8))))),0)</f>
        <v>0</v>
      </c>
      <c r="B468" s="25">
        <f>IFERROR(CONCATENATE(VALUE(IF(LEN(IFERROR(VALUE(MID(TRIM(SUBSTITUTE(SUBSTITUTE(MID(Общий!B468,SEARCH("Karcher",Общий!B468,1),19),".",""),"-","")),SEARCH("Karcher",TRIM(SUBSTITUTE(SUBSTITUTE(MID(Общий!B468,SEARCH("Karcher",Общий!B468,1),19),".",""),"-","")),1)+8,8)),VALUE(LEFT(SUBSTITUTE(SUBSTITUTE(Общий!B468,".",""),"-",""),8))))=7,CONCATENATE(IFERROR(VALUE(MID(TRIM(SUBSTITUTE(SUBSTITUTE(MID(Общий!B468,SEARCH("Karcher",Общий!B468,1),19),".",""),"-","")),SEARCH("Karcher",TRIM(SUBSTITUTE(SUBSTITUTE(MID(Общий!B468,SEARCH("Karcher",Общий!B468,1),19),".",""),"-","")),1)+8,8)),VALUE(LEFT(SUBSTITUTE(SUBSTITUTE(Общий!B468,".",""),"-",""),8))),"0"),IFERROR(VALUE(MID(TRIM(SUBSTITUTE(SUBSTITUTE(MID(Общий!B468,SEARCH("Karcher",Общий!B468,1),19),".",""),"-","")),SEARCH("Karcher",TRIM(SUBSTITUTE(SUBSTITUTE(MID(Общий!B468,SEARCH("Karcher",Общий!B468,1),19),".",""),"-","")),1)+8,8)),VALUE(LEFT(SUBSTITUTE(SUBSTITUTE(Общий!B468,".",""),"-",""),8)))))," ",Общий!C468),0)</f>
        <v>0</v>
      </c>
      <c r="C468" s="29" t="str">
        <f>Общий!A468</f>
        <v>460</v>
      </c>
      <c r="D468" s="27">
        <f>Общий!B468</f>
        <v>0</v>
      </c>
      <c r="E468" s="28">
        <f>Общий!C468</f>
        <v>0</v>
      </c>
      <c r="G468" s="44"/>
      <c r="H468" s="44"/>
      <c r="I468" s="44"/>
      <c r="J468" s="35"/>
    </row>
    <row r="469" spans="1:10">
      <c r="A469" s="31">
        <f>IFERROR(VALUE(IF(LEN(IFERROR(VALUE(MID(TRIM(SUBSTITUTE(SUBSTITUTE(MID(Общий!B469,SEARCH("Karcher",Общий!B469,1),19),".",""),"-","")),SEARCH("Karcher",TRIM(SUBSTITUTE(SUBSTITUTE(MID(Общий!B469,SEARCH("Karcher",Общий!B469,1),19),".",""),"-","")),1)+8,8)),VALUE(LEFT(SUBSTITUTE(SUBSTITUTE(Общий!B469,".",""),"-",""),8))))=7,CONCATENATE(IFERROR(VALUE(MID(TRIM(SUBSTITUTE(SUBSTITUTE(MID(Общий!B469,SEARCH("Karcher",Общий!B469,1),19),".",""),"-","")),SEARCH("Karcher",TRIM(SUBSTITUTE(SUBSTITUTE(MID(Общий!B469,SEARCH("Karcher",Общий!B469,1),19),".",""),"-","")),1)+8,8)),VALUE(LEFT(SUBSTITUTE(SUBSTITUTE(Общий!B469,".",""),"-",""),8))),"0"),IFERROR(VALUE(MID(TRIM(SUBSTITUTE(SUBSTITUTE(MID(Общий!B469,SEARCH("Karcher",Общий!B469,1),19),".",""),"-","")),SEARCH("Karcher",TRIM(SUBSTITUTE(SUBSTITUTE(MID(Общий!B469,SEARCH("Karcher",Общий!B469,1),19),".",""),"-","")),1)+8,8)),VALUE(LEFT(SUBSTITUTE(SUBSTITUTE(Общий!B469,".",""),"-",""),8))))),0)</f>
        <v>0</v>
      </c>
      <c r="B469" s="25">
        <f>IFERROR(CONCATENATE(VALUE(IF(LEN(IFERROR(VALUE(MID(TRIM(SUBSTITUTE(SUBSTITUTE(MID(Общий!B469,SEARCH("Karcher",Общий!B469,1),19),".",""),"-","")),SEARCH("Karcher",TRIM(SUBSTITUTE(SUBSTITUTE(MID(Общий!B469,SEARCH("Karcher",Общий!B469,1),19),".",""),"-","")),1)+8,8)),VALUE(LEFT(SUBSTITUTE(SUBSTITUTE(Общий!B469,".",""),"-",""),8))))=7,CONCATENATE(IFERROR(VALUE(MID(TRIM(SUBSTITUTE(SUBSTITUTE(MID(Общий!B469,SEARCH("Karcher",Общий!B469,1),19),".",""),"-","")),SEARCH("Karcher",TRIM(SUBSTITUTE(SUBSTITUTE(MID(Общий!B469,SEARCH("Karcher",Общий!B469,1),19),".",""),"-","")),1)+8,8)),VALUE(LEFT(SUBSTITUTE(SUBSTITUTE(Общий!B469,".",""),"-",""),8))),"0"),IFERROR(VALUE(MID(TRIM(SUBSTITUTE(SUBSTITUTE(MID(Общий!B469,SEARCH("Karcher",Общий!B469,1),19),".",""),"-","")),SEARCH("Karcher",TRIM(SUBSTITUTE(SUBSTITUTE(MID(Общий!B469,SEARCH("Karcher",Общий!B469,1),19),".",""),"-","")),1)+8,8)),VALUE(LEFT(SUBSTITUTE(SUBSTITUTE(Общий!B469,".",""),"-",""),8)))))," ",Общий!C469),0)</f>
        <v>0</v>
      </c>
      <c r="C469" s="29" t="str">
        <f>Общий!A469</f>
        <v>461</v>
      </c>
      <c r="D469" s="27">
        <f>Общий!B469</f>
        <v>0</v>
      </c>
      <c r="E469" s="28">
        <f>Общий!C469</f>
        <v>0</v>
      </c>
      <c r="G469" s="44"/>
      <c r="H469" s="44"/>
      <c r="I469" s="44"/>
      <c r="J469" s="35"/>
    </row>
    <row r="470" spans="1:10">
      <c r="A470" s="31">
        <f>IFERROR(VALUE(IF(LEN(IFERROR(VALUE(MID(TRIM(SUBSTITUTE(SUBSTITUTE(MID(Общий!B470,SEARCH("Karcher",Общий!B470,1),19),".",""),"-","")),SEARCH("Karcher",TRIM(SUBSTITUTE(SUBSTITUTE(MID(Общий!B470,SEARCH("Karcher",Общий!B470,1),19),".",""),"-","")),1)+8,8)),VALUE(LEFT(SUBSTITUTE(SUBSTITUTE(Общий!B470,".",""),"-",""),8))))=7,CONCATENATE(IFERROR(VALUE(MID(TRIM(SUBSTITUTE(SUBSTITUTE(MID(Общий!B470,SEARCH("Karcher",Общий!B470,1),19),".",""),"-","")),SEARCH("Karcher",TRIM(SUBSTITUTE(SUBSTITUTE(MID(Общий!B470,SEARCH("Karcher",Общий!B470,1),19),".",""),"-","")),1)+8,8)),VALUE(LEFT(SUBSTITUTE(SUBSTITUTE(Общий!B470,".",""),"-",""),8))),"0"),IFERROR(VALUE(MID(TRIM(SUBSTITUTE(SUBSTITUTE(MID(Общий!B470,SEARCH("Karcher",Общий!B470,1),19),".",""),"-","")),SEARCH("Karcher",TRIM(SUBSTITUTE(SUBSTITUTE(MID(Общий!B470,SEARCH("Karcher",Общий!B470,1),19),".",""),"-","")),1)+8,8)),VALUE(LEFT(SUBSTITUTE(SUBSTITUTE(Общий!B470,".",""),"-",""),8))))),0)</f>
        <v>0</v>
      </c>
      <c r="B470" s="25">
        <f>IFERROR(CONCATENATE(VALUE(IF(LEN(IFERROR(VALUE(MID(TRIM(SUBSTITUTE(SUBSTITUTE(MID(Общий!B470,SEARCH("Karcher",Общий!B470,1),19),".",""),"-","")),SEARCH("Karcher",TRIM(SUBSTITUTE(SUBSTITUTE(MID(Общий!B470,SEARCH("Karcher",Общий!B470,1),19),".",""),"-","")),1)+8,8)),VALUE(LEFT(SUBSTITUTE(SUBSTITUTE(Общий!B470,".",""),"-",""),8))))=7,CONCATENATE(IFERROR(VALUE(MID(TRIM(SUBSTITUTE(SUBSTITUTE(MID(Общий!B470,SEARCH("Karcher",Общий!B470,1),19),".",""),"-","")),SEARCH("Karcher",TRIM(SUBSTITUTE(SUBSTITUTE(MID(Общий!B470,SEARCH("Karcher",Общий!B470,1),19),".",""),"-","")),1)+8,8)),VALUE(LEFT(SUBSTITUTE(SUBSTITUTE(Общий!B470,".",""),"-",""),8))),"0"),IFERROR(VALUE(MID(TRIM(SUBSTITUTE(SUBSTITUTE(MID(Общий!B470,SEARCH("Karcher",Общий!B470,1),19),".",""),"-","")),SEARCH("Karcher",TRIM(SUBSTITUTE(SUBSTITUTE(MID(Общий!B470,SEARCH("Karcher",Общий!B470,1),19),".",""),"-","")),1)+8,8)),VALUE(LEFT(SUBSTITUTE(SUBSTITUTE(Общий!B470,".",""),"-",""),8)))))," ",Общий!C470),0)</f>
        <v>0</v>
      </c>
      <c r="C470" s="29" t="str">
        <f>Общий!A470</f>
        <v>462</v>
      </c>
      <c r="D470" s="27">
        <f>Общий!B470</f>
        <v>0</v>
      </c>
      <c r="E470" s="28">
        <f>Общий!C470</f>
        <v>0</v>
      </c>
      <c r="G470" s="44"/>
      <c r="H470" s="44"/>
      <c r="I470" s="44"/>
      <c r="J470" s="35"/>
    </row>
    <row r="471" spans="1:10">
      <c r="A471" s="31">
        <f>IFERROR(VALUE(IF(LEN(IFERROR(VALUE(MID(TRIM(SUBSTITUTE(SUBSTITUTE(MID(Общий!B471,SEARCH("Karcher",Общий!B471,1),19),".",""),"-","")),SEARCH("Karcher",TRIM(SUBSTITUTE(SUBSTITUTE(MID(Общий!B471,SEARCH("Karcher",Общий!B471,1),19),".",""),"-","")),1)+8,8)),VALUE(LEFT(SUBSTITUTE(SUBSTITUTE(Общий!B471,".",""),"-",""),8))))=7,CONCATENATE(IFERROR(VALUE(MID(TRIM(SUBSTITUTE(SUBSTITUTE(MID(Общий!B471,SEARCH("Karcher",Общий!B471,1),19),".",""),"-","")),SEARCH("Karcher",TRIM(SUBSTITUTE(SUBSTITUTE(MID(Общий!B471,SEARCH("Karcher",Общий!B471,1),19),".",""),"-","")),1)+8,8)),VALUE(LEFT(SUBSTITUTE(SUBSTITUTE(Общий!B471,".",""),"-",""),8))),"0"),IFERROR(VALUE(MID(TRIM(SUBSTITUTE(SUBSTITUTE(MID(Общий!B471,SEARCH("Karcher",Общий!B471,1),19),".",""),"-","")),SEARCH("Karcher",TRIM(SUBSTITUTE(SUBSTITUTE(MID(Общий!B471,SEARCH("Karcher",Общий!B471,1),19),".",""),"-","")),1)+8,8)),VALUE(LEFT(SUBSTITUTE(SUBSTITUTE(Общий!B471,".",""),"-",""),8))))),0)</f>
        <v>0</v>
      </c>
      <c r="B471" s="25">
        <f>IFERROR(CONCATENATE(VALUE(IF(LEN(IFERROR(VALUE(MID(TRIM(SUBSTITUTE(SUBSTITUTE(MID(Общий!B471,SEARCH("Karcher",Общий!B471,1),19),".",""),"-","")),SEARCH("Karcher",TRIM(SUBSTITUTE(SUBSTITUTE(MID(Общий!B471,SEARCH("Karcher",Общий!B471,1),19),".",""),"-","")),1)+8,8)),VALUE(LEFT(SUBSTITUTE(SUBSTITUTE(Общий!B471,".",""),"-",""),8))))=7,CONCATENATE(IFERROR(VALUE(MID(TRIM(SUBSTITUTE(SUBSTITUTE(MID(Общий!B471,SEARCH("Karcher",Общий!B471,1),19),".",""),"-","")),SEARCH("Karcher",TRIM(SUBSTITUTE(SUBSTITUTE(MID(Общий!B471,SEARCH("Karcher",Общий!B471,1),19),".",""),"-","")),1)+8,8)),VALUE(LEFT(SUBSTITUTE(SUBSTITUTE(Общий!B471,".",""),"-",""),8))),"0"),IFERROR(VALUE(MID(TRIM(SUBSTITUTE(SUBSTITUTE(MID(Общий!B471,SEARCH("Karcher",Общий!B471,1),19),".",""),"-","")),SEARCH("Karcher",TRIM(SUBSTITUTE(SUBSTITUTE(MID(Общий!B471,SEARCH("Karcher",Общий!B471,1),19),".",""),"-","")),1)+8,8)),VALUE(LEFT(SUBSTITUTE(SUBSTITUTE(Общий!B471,".",""),"-",""),8)))))," ",Общий!C471),0)</f>
        <v>0</v>
      </c>
      <c r="C471" s="29" t="str">
        <f>Общий!A471</f>
        <v>463</v>
      </c>
      <c r="D471" s="27">
        <f>Общий!B471</f>
        <v>0</v>
      </c>
      <c r="E471" s="28">
        <f>Общий!C471</f>
        <v>0</v>
      </c>
      <c r="G471" s="44"/>
      <c r="H471" s="44"/>
      <c r="I471" s="44"/>
      <c r="J471" s="35"/>
    </row>
    <row r="472" spans="1:10">
      <c r="A472" s="31">
        <f>IFERROR(VALUE(IF(LEN(IFERROR(VALUE(MID(TRIM(SUBSTITUTE(SUBSTITUTE(MID(Общий!B472,SEARCH("Karcher",Общий!B472,1),19),".",""),"-","")),SEARCH("Karcher",TRIM(SUBSTITUTE(SUBSTITUTE(MID(Общий!B472,SEARCH("Karcher",Общий!B472,1),19),".",""),"-","")),1)+8,8)),VALUE(LEFT(SUBSTITUTE(SUBSTITUTE(Общий!B472,".",""),"-",""),8))))=7,CONCATENATE(IFERROR(VALUE(MID(TRIM(SUBSTITUTE(SUBSTITUTE(MID(Общий!B472,SEARCH("Karcher",Общий!B472,1),19),".",""),"-","")),SEARCH("Karcher",TRIM(SUBSTITUTE(SUBSTITUTE(MID(Общий!B472,SEARCH("Karcher",Общий!B472,1),19),".",""),"-","")),1)+8,8)),VALUE(LEFT(SUBSTITUTE(SUBSTITUTE(Общий!B472,".",""),"-",""),8))),"0"),IFERROR(VALUE(MID(TRIM(SUBSTITUTE(SUBSTITUTE(MID(Общий!B472,SEARCH("Karcher",Общий!B472,1),19),".",""),"-","")),SEARCH("Karcher",TRIM(SUBSTITUTE(SUBSTITUTE(MID(Общий!B472,SEARCH("Karcher",Общий!B472,1),19),".",""),"-","")),1)+8,8)),VALUE(LEFT(SUBSTITUTE(SUBSTITUTE(Общий!B472,".",""),"-",""),8))))),0)</f>
        <v>0</v>
      </c>
      <c r="B472" s="25">
        <f>IFERROR(CONCATENATE(VALUE(IF(LEN(IFERROR(VALUE(MID(TRIM(SUBSTITUTE(SUBSTITUTE(MID(Общий!B472,SEARCH("Karcher",Общий!B472,1),19),".",""),"-","")),SEARCH("Karcher",TRIM(SUBSTITUTE(SUBSTITUTE(MID(Общий!B472,SEARCH("Karcher",Общий!B472,1),19),".",""),"-","")),1)+8,8)),VALUE(LEFT(SUBSTITUTE(SUBSTITUTE(Общий!B472,".",""),"-",""),8))))=7,CONCATENATE(IFERROR(VALUE(MID(TRIM(SUBSTITUTE(SUBSTITUTE(MID(Общий!B472,SEARCH("Karcher",Общий!B472,1),19),".",""),"-","")),SEARCH("Karcher",TRIM(SUBSTITUTE(SUBSTITUTE(MID(Общий!B472,SEARCH("Karcher",Общий!B472,1),19),".",""),"-","")),1)+8,8)),VALUE(LEFT(SUBSTITUTE(SUBSTITUTE(Общий!B472,".",""),"-",""),8))),"0"),IFERROR(VALUE(MID(TRIM(SUBSTITUTE(SUBSTITUTE(MID(Общий!B472,SEARCH("Karcher",Общий!B472,1),19),".",""),"-","")),SEARCH("Karcher",TRIM(SUBSTITUTE(SUBSTITUTE(MID(Общий!B472,SEARCH("Karcher",Общий!B472,1),19),".",""),"-","")),1)+8,8)),VALUE(LEFT(SUBSTITUTE(SUBSTITUTE(Общий!B472,".",""),"-",""),8)))))," ",Общий!C472),0)</f>
        <v>0</v>
      </c>
      <c r="C472" s="29" t="str">
        <f>Общий!A472</f>
        <v>464</v>
      </c>
      <c r="D472" s="27">
        <f>Общий!B472</f>
        <v>0</v>
      </c>
      <c r="E472" s="28">
        <f>Общий!C472</f>
        <v>0</v>
      </c>
      <c r="G472" s="44"/>
      <c r="H472" s="44"/>
      <c r="I472" s="44"/>
      <c r="J472" s="35"/>
    </row>
    <row r="473" spans="1:10">
      <c r="A473" s="31">
        <f>IFERROR(VALUE(IF(LEN(IFERROR(VALUE(MID(TRIM(SUBSTITUTE(SUBSTITUTE(MID(Общий!B473,SEARCH("Karcher",Общий!B473,1),19),".",""),"-","")),SEARCH("Karcher",TRIM(SUBSTITUTE(SUBSTITUTE(MID(Общий!B473,SEARCH("Karcher",Общий!B473,1),19),".",""),"-","")),1)+8,8)),VALUE(LEFT(SUBSTITUTE(SUBSTITUTE(Общий!B473,".",""),"-",""),8))))=7,CONCATENATE(IFERROR(VALUE(MID(TRIM(SUBSTITUTE(SUBSTITUTE(MID(Общий!B473,SEARCH("Karcher",Общий!B473,1),19),".",""),"-","")),SEARCH("Karcher",TRIM(SUBSTITUTE(SUBSTITUTE(MID(Общий!B473,SEARCH("Karcher",Общий!B473,1),19),".",""),"-","")),1)+8,8)),VALUE(LEFT(SUBSTITUTE(SUBSTITUTE(Общий!B473,".",""),"-",""),8))),"0"),IFERROR(VALUE(MID(TRIM(SUBSTITUTE(SUBSTITUTE(MID(Общий!B473,SEARCH("Karcher",Общий!B473,1),19),".",""),"-","")),SEARCH("Karcher",TRIM(SUBSTITUTE(SUBSTITUTE(MID(Общий!B473,SEARCH("Karcher",Общий!B473,1),19),".",""),"-","")),1)+8,8)),VALUE(LEFT(SUBSTITUTE(SUBSTITUTE(Общий!B473,".",""),"-",""),8))))),0)</f>
        <v>0</v>
      </c>
      <c r="B473" s="25">
        <f>IFERROR(CONCATENATE(VALUE(IF(LEN(IFERROR(VALUE(MID(TRIM(SUBSTITUTE(SUBSTITUTE(MID(Общий!B473,SEARCH("Karcher",Общий!B473,1),19),".",""),"-","")),SEARCH("Karcher",TRIM(SUBSTITUTE(SUBSTITUTE(MID(Общий!B473,SEARCH("Karcher",Общий!B473,1),19),".",""),"-","")),1)+8,8)),VALUE(LEFT(SUBSTITUTE(SUBSTITUTE(Общий!B473,".",""),"-",""),8))))=7,CONCATENATE(IFERROR(VALUE(MID(TRIM(SUBSTITUTE(SUBSTITUTE(MID(Общий!B473,SEARCH("Karcher",Общий!B473,1),19),".",""),"-","")),SEARCH("Karcher",TRIM(SUBSTITUTE(SUBSTITUTE(MID(Общий!B473,SEARCH("Karcher",Общий!B473,1),19),".",""),"-","")),1)+8,8)),VALUE(LEFT(SUBSTITUTE(SUBSTITUTE(Общий!B473,".",""),"-",""),8))),"0"),IFERROR(VALUE(MID(TRIM(SUBSTITUTE(SUBSTITUTE(MID(Общий!B473,SEARCH("Karcher",Общий!B473,1),19),".",""),"-","")),SEARCH("Karcher",TRIM(SUBSTITUTE(SUBSTITUTE(MID(Общий!B473,SEARCH("Karcher",Общий!B473,1),19),".",""),"-","")),1)+8,8)),VALUE(LEFT(SUBSTITUTE(SUBSTITUTE(Общий!B473,".",""),"-",""),8)))))," ",Общий!C473),0)</f>
        <v>0</v>
      </c>
      <c r="C473" s="29" t="str">
        <f>Общий!A473</f>
        <v>465</v>
      </c>
      <c r="D473" s="27">
        <f>Общий!B473</f>
        <v>0</v>
      </c>
      <c r="E473" s="28">
        <f>Общий!C473</f>
        <v>0</v>
      </c>
      <c r="G473" s="44"/>
      <c r="H473" s="44"/>
      <c r="I473" s="44"/>
      <c r="J473" s="35"/>
    </row>
    <row r="474" spans="1:10">
      <c r="A474" s="31">
        <f>IFERROR(VALUE(IF(LEN(IFERROR(VALUE(MID(TRIM(SUBSTITUTE(SUBSTITUTE(MID(Общий!B474,SEARCH("Karcher",Общий!B474,1),19),".",""),"-","")),SEARCH("Karcher",TRIM(SUBSTITUTE(SUBSTITUTE(MID(Общий!B474,SEARCH("Karcher",Общий!B474,1),19),".",""),"-","")),1)+8,8)),VALUE(LEFT(SUBSTITUTE(SUBSTITUTE(Общий!B474,".",""),"-",""),8))))=7,CONCATENATE(IFERROR(VALUE(MID(TRIM(SUBSTITUTE(SUBSTITUTE(MID(Общий!B474,SEARCH("Karcher",Общий!B474,1),19),".",""),"-","")),SEARCH("Karcher",TRIM(SUBSTITUTE(SUBSTITUTE(MID(Общий!B474,SEARCH("Karcher",Общий!B474,1),19),".",""),"-","")),1)+8,8)),VALUE(LEFT(SUBSTITUTE(SUBSTITUTE(Общий!B474,".",""),"-",""),8))),"0"),IFERROR(VALUE(MID(TRIM(SUBSTITUTE(SUBSTITUTE(MID(Общий!B474,SEARCH("Karcher",Общий!B474,1),19),".",""),"-","")),SEARCH("Karcher",TRIM(SUBSTITUTE(SUBSTITUTE(MID(Общий!B474,SEARCH("Karcher",Общий!B474,1),19),".",""),"-","")),1)+8,8)),VALUE(LEFT(SUBSTITUTE(SUBSTITUTE(Общий!B474,".",""),"-",""),8))))),0)</f>
        <v>0</v>
      </c>
      <c r="B474" s="25">
        <f>IFERROR(CONCATENATE(VALUE(IF(LEN(IFERROR(VALUE(MID(TRIM(SUBSTITUTE(SUBSTITUTE(MID(Общий!B474,SEARCH("Karcher",Общий!B474,1),19),".",""),"-","")),SEARCH("Karcher",TRIM(SUBSTITUTE(SUBSTITUTE(MID(Общий!B474,SEARCH("Karcher",Общий!B474,1),19),".",""),"-","")),1)+8,8)),VALUE(LEFT(SUBSTITUTE(SUBSTITUTE(Общий!B474,".",""),"-",""),8))))=7,CONCATENATE(IFERROR(VALUE(MID(TRIM(SUBSTITUTE(SUBSTITUTE(MID(Общий!B474,SEARCH("Karcher",Общий!B474,1),19),".",""),"-","")),SEARCH("Karcher",TRIM(SUBSTITUTE(SUBSTITUTE(MID(Общий!B474,SEARCH("Karcher",Общий!B474,1),19),".",""),"-","")),1)+8,8)),VALUE(LEFT(SUBSTITUTE(SUBSTITUTE(Общий!B474,".",""),"-",""),8))),"0"),IFERROR(VALUE(MID(TRIM(SUBSTITUTE(SUBSTITUTE(MID(Общий!B474,SEARCH("Karcher",Общий!B474,1),19),".",""),"-","")),SEARCH("Karcher",TRIM(SUBSTITUTE(SUBSTITUTE(MID(Общий!B474,SEARCH("Karcher",Общий!B474,1),19),".",""),"-","")),1)+8,8)),VALUE(LEFT(SUBSTITUTE(SUBSTITUTE(Общий!B474,".",""),"-",""),8)))))," ",Общий!C474),0)</f>
        <v>0</v>
      </c>
      <c r="C474" s="29" t="str">
        <f>Общий!A474</f>
        <v>466</v>
      </c>
      <c r="D474" s="27">
        <f>Общий!B474</f>
        <v>0</v>
      </c>
      <c r="E474" s="28">
        <f>Общий!C474</f>
        <v>0</v>
      </c>
      <c r="G474" s="44"/>
      <c r="H474" s="44"/>
      <c r="I474" s="44"/>
      <c r="J474" s="35"/>
    </row>
    <row r="475" spans="1:10">
      <c r="A475" s="31">
        <f>IFERROR(VALUE(IF(LEN(IFERROR(VALUE(MID(TRIM(SUBSTITUTE(SUBSTITUTE(MID(Общий!B475,SEARCH("Karcher",Общий!B475,1),19),".",""),"-","")),SEARCH("Karcher",TRIM(SUBSTITUTE(SUBSTITUTE(MID(Общий!B475,SEARCH("Karcher",Общий!B475,1),19),".",""),"-","")),1)+8,8)),VALUE(LEFT(SUBSTITUTE(SUBSTITUTE(Общий!B475,".",""),"-",""),8))))=7,CONCATENATE(IFERROR(VALUE(MID(TRIM(SUBSTITUTE(SUBSTITUTE(MID(Общий!B475,SEARCH("Karcher",Общий!B475,1),19),".",""),"-","")),SEARCH("Karcher",TRIM(SUBSTITUTE(SUBSTITUTE(MID(Общий!B475,SEARCH("Karcher",Общий!B475,1),19),".",""),"-","")),1)+8,8)),VALUE(LEFT(SUBSTITUTE(SUBSTITUTE(Общий!B475,".",""),"-",""),8))),"0"),IFERROR(VALUE(MID(TRIM(SUBSTITUTE(SUBSTITUTE(MID(Общий!B475,SEARCH("Karcher",Общий!B475,1),19),".",""),"-","")),SEARCH("Karcher",TRIM(SUBSTITUTE(SUBSTITUTE(MID(Общий!B475,SEARCH("Karcher",Общий!B475,1),19),".",""),"-","")),1)+8,8)),VALUE(LEFT(SUBSTITUTE(SUBSTITUTE(Общий!B475,".",""),"-",""),8))))),0)</f>
        <v>0</v>
      </c>
      <c r="B475" s="25">
        <f>IFERROR(CONCATENATE(VALUE(IF(LEN(IFERROR(VALUE(MID(TRIM(SUBSTITUTE(SUBSTITUTE(MID(Общий!B475,SEARCH("Karcher",Общий!B475,1),19),".",""),"-","")),SEARCH("Karcher",TRIM(SUBSTITUTE(SUBSTITUTE(MID(Общий!B475,SEARCH("Karcher",Общий!B475,1),19),".",""),"-","")),1)+8,8)),VALUE(LEFT(SUBSTITUTE(SUBSTITUTE(Общий!B475,".",""),"-",""),8))))=7,CONCATENATE(IFERROR(VALUE(MID(TRIM(SUBSTITUTE(SUBSTITUTE(MID(Общий!B475,SEARCH("Karcher",Общий!B475,1),19),".",""),"-","")),SEARCH("Karcher",TRIM(SUBSTITUTE(SUBSTITUTE(MID(Общий!B475,SEARCH("Karcher",Общий!B475,1),19),".",""),"-","")),1)+8,8)),VALUE(LEFT(SUBSTITUTE(SUBSTITUTE(Общий!B475,".",""),"-",""),8))),"0"),IFERROR(VALUE(MID(TRIM(SUBSTITUTE(SUBSTITUTE(MID(Общий!B475,SEARCH("Karcher",Общий!B475,1),19),".",""),"-","")),SEARCH("Karcher",TRIM(SUBSTITUTE(SUBSTITUTE(MID(Общий!B475,SEARCH("Karcher",Общий!B475,1),19),".",""),"-","")),1)+8,8)),VALUE(LEFT(SUBSTITUTE(SUBSTITUTE(Общий!B475,".",""),"-",""),8)))))," ",Общий!C475),0)</f>
        <v>0</v>
      </c>
      <c r="C475" s="29" t="str">
        <f>Общий!A475</f>
        <v>467</v>
      </c>
      <c r="D475" s="27">
        <f>Общий!B475</f>
        <v>0</v>
      </c>
      <c r="E475" s="28">
        <f>Общий!C475</f>
        <v>0</v>
      </c>
      <c r="G475" s="44"/>
      <c r="H475" s="44"/>
      <c r="I475" s="44"/>
      <c r="J475" s="35"/>
    </row>
    <row r="476" spans="1:10">
      <c r="A476" s="31">
        <f>IFERROR(VALUE(IF(LEN(IFERROR(VALUE(MID(TRIM(SUBSTITUTE(SUBSTITUTE(MID(Общий!B476,SEARCH("Karcher",Общий!B476,1),19),".",""),"-","")),SEARCH("Karcher",TRIM(SUBSTITUTE(SUBSTITUTE(MID(Общий!B476,SEARCH("Karcher",Общий!B476,1),19),".",""),"-","")),1)+8,8)),VALUE(LEFT(SUBSTITUTE(SUBSTITUTE(Общий!B476,".",""),"-",""),8))))=7,CONCATENATE(IFERROR(VALUE(MID(TRIM(SUBSTITUTE(SUBSTITUTE(MID(Общий!B476,SEARCH("Karcher",Общий!B476,1),19),".",""),"-","")),SEARCH("Karcher",TRIM(SUBSTITUTE(SUBSTITUTE(MID(Общий!B476,SEARCH("Karcher",Общий!B476,1),19),".",""),"-","")),1)+8,8)),VALUE(LEFT(SUBSTITUTE(SUBSTITUTE(Общий!B476,".",""),"-",""),8))),"0"),IFERROR(VALUE(MID(TRIM(SUBSTITUTE(SUBSTITUTE(MID(Общий!B476,SEARCH("Karcher",Общий!B476,1),19),".",""),"-","")),SEARCH("Karcher",TRIM(SUBSTITUTE(SUBSTITUTE(MID(Общий!B476,SEARCH("Karcher",Общий!B476,1),19),".",""),"-","")),1)+8,8)),VALUE(LEFT(SUBSTITUTE(SUBSTITUTE(Общий!B476,".",""),"-",""),8))))),0)</f>
        <v>0</v>
      </c>
      <c r="B476" s="25">
        <f>IFERROR(CONCATENATE(VALUE(IF(LEN(IFERROR(VALUE(MID(TRIM(SUBSTITUTE(SUBSTITUTE(MID(Общий!B476,SEARCH("Karcher",Общий!B476,1),19),".",""),"-","")),SEARCH("Karcher",TRIM(SUBSTITUTE(SUBSTITUTE(MID(Общий!B476,SEARCH("Karcher",Общий!B476,1),19),".",""),"-","")),1)+8,8)),VALUE(LEFT(SUBSTITUTE(SUBSTITUTE(Общий!B476,".",""),"-",""),8))))=7,CONCATENATE(IFERROR(VALUE(MID(TRIM(SUBSTITUTE(SUBSTITUTE(MID(Общий!B476,SEARCH("Karcher",Общий!B476,1),19),".",""),"-","")),SEARCH("Karcher",TRIM(SUBSTITUTE(SUBSTITUTE(MID(Общий!B476,SEARCH("Karcher",Общий!B476,1),19),".",""),"-","")),1)+8,8)),VALUE(LEFT(SUBSTITUTE(SUBSTITUTE(Общий!B476,".",""),"-",""),8))),"0"),IFERROR(VALUE(MID(TRIM(SUBSTITUTE(SUBSTITUTE(MID(Общий!B476,SEARCH("Karcher",Общий!B476,1),19),".",""),"-","")),SEARCH("Karcher",TRIM(SUBSTITUTE(SUBSTITUTE(MID(Общий!B476,SEARCH("Karcher",Общий!B476,1),19),".",""),"-","")),1)+8,8)),VALUE(LEFT(SUBSTITUTE(SUBSTITUTE(Общий!B476,".",""),"-",""),8)))))," ",Общий!C476),0)</f>
        <v>0</v>
      </c>
      <c r="C476" s="29" t="str">
        <f>Общий!A476</f>
        <v>468</v>
      </c>
      <c r="D476" s="27">
        <f>Общий!B476</f>
        <v>0</v>
      </c>
      <c r="E476" s="28">
        <f>Общий!C476</f>
        <v>0</v>
      </c>
      <c r="G476" s="44"/>
      <c r="H476" s="44"/>
      <c r="I476" s="44"/>
      <c r="J476" s="35"/>
    </row>
    <row r="477" spans="1:10">
      <c r="A477" s="31">
        <f>IFERROR(VALUE(IF(LEN(IFERROR(VALUE(MID(TRIM(SUBSTITUTE(SUBSTITUTE(MID(Общий!B477,SEARCH("Karcher",Общий!B477,1),19),".",""),"-","")),SEARCH("Karcher",TRIM(SUBSTITUTE(SUBSTITUTE(MID(Общий!B477,SEARCH("Karcher",Общий!B477,1),19),".",""),"-","")),1)+8,8)),VALUE(LEFT(SUBSTITUTE(SUBSTITUTE(Общий!B477,".",""),"-",""),8))))=7,CONCATENATE(IFERROR(VALUE(MID(TRIM(SUBSTITUTE(SUBSTITUTE(MID(Общий!B477,SEARCH("Karcher",Общий!B477,1),19),".",""),"-","")),SEARCH("Karcher",TRIM(SUBSTITUTE(SUBSTITUTE(MID(Общий!B477,SEARCH("Karcher",Общий!B477,1),19),".",""),"-","")),1)+8,8)),VALUE(LEFT(SUBSTITUTE(SUBSTITUTE(Общий!B477,".",""),"-",""),8))),"0"),IFERROR(VALUE(MID(TRIM(SUBSTITUTE(SUBSTITUTE(MID(Общий!B477,SEARCH("Karcher",Общий!B477,1),19),".",""),"-","")),SEARCH("Karcher",TRIM(SUBSTITUTE(SUBSTITUTE(MID(Общий!B477,SEARCH("Karcher",Общий!B477,1),19),".",""),"-","")),1)+8,8)),VALUE(LEFT(SUBSTITUTE(SUBSTITUTE(Общий!B477,".",""),"-",""),8))))),0)</f>
        <v>0</v>
      </c>
      <c r="B477" s="25">
        <f>IFERROR(CONCATENATE(VALUE(IF(LEN(IFERROR(VALUE(MID(TRIM(SUBSTITUTE(SUBSTITUTE(MID(Общий!B477,SEARCH("Karcher",Общий!B477,1),19),".",""),"-","")),SEARCH("Karcher",TRIM(SUBSTITUTE(SUBSTITUTE(MID(Общий!B477,SEARCH("Karcher",Общий!B477,1),19),".",""),"-","")),1)+8,8)),VALUE(LEFT(SUBSTITUTE(SUBSTITUTE(Общий!B477,".",""),"-",""),8))))=7,CONCATENATE(IFERROR(VALUE(MID(TRIM(SUBSTITUTE(SUBSTITUTE(MID(Общий!B477,SEARCH("Karcher",Общий!B477,1),19),".",""),"-","")),SEARCH("Karcher",TRIM(SUBSTITUTE(SUBSTITUTE(MID(Общий!B477,SEARCH("Karcher",Общий!B477,1),19),".",""),"-","")),1)+8,8)),VALUE(LEFT(SUBSTITUTE(SUBSTITUTE(Общий!B477,".",""),"-",""),8))),"0"),IFERROR(VALUE(MID(TRIM(SUBSTITUTE(SUBSTITUTE(MID(Общий!B477,SEARCH("Karcher",Общий!B477,1),19),".",""),"-","")),SEARCH("Karcher",TRIM(SUBSTITUTE(SUBSTITUTE(MID(Общий!B477,SEARCH("Karcher",Общий!B477,1),19),".",""),"-","")),1)+8,8)),VALUE(LEFT(SUBSTITUTE(SUBSTITUTE(Общий!B477,".",""),"-",""),8)))))," ",Общий!C477),0)</f>
        <v>0</v>
      </c>
      <c r="C477" s="29" t="str">
        <f>Общий!A477</f>
        <v>469</v>
      </c>
      <c r="D477" s="27">
        <f>Общий!B477</f>
        <v>0</v>
      </c>
      <c r="E477" s="28">
        <f>Общий!C477</f>
        <v>0</v>
      </c>
      <c r="G477" s="44"/>
      <c r="H477" s="44"/>
      <c r="I477" s="44"/>
      <c r="J477" s="35"/>
    </row>
    <row r="478" spans="1:10">
      <c r="A478" s="31">
        <f>IFERROR(VALUE(IF(LEN(IFERROR(VALUE(MID(TRIM(SUBSTITUTE(SUBSTITUTE(MID(Общий!B478,SEARCH("Karcher",Общий!B478,1),19),".",""),"-","")),SEARCH("Karcher",TRIM(SUBSTITUTE(SUBSTITUTE(MID(Общий!B478,SEARCH("Karcher",Общий!B478,1),19),".",""),"-","")),1)+8,8)),VALUE(LEFT(SUBSTITUTE(SUBSTITUTE(Общий!B478,".",""),"-",""),8))))=7,CONCATENATE(IFERROR(VALUE(MID(TRIM(SUBSTITUTE(SUBSTITUTE(MID(Общий!B478,SEARCH("Karcher",Общий!B478,1),19),".",""),"-","")),SEARCH("Karcher",TRIM(SUBSTITUTE(SUBSTITUTE(MID(Общий!B478,SEARCH("Karcher",Общий!B478,1),19),".",""),"-","")),1)+8,8)),VALUE(LEFT(SUBSTITUTE(SUBSTITUTE(Общий!B478,".",""),"-",""),8))),"0"),IFERROR(VALUE(MID(TRIM(SUBSTITUTE(SUBSTITUTE(MID(Общий!B478,SEARCH("Karcher",Общий!B478,1),19),".",""),"-","")),SEARCH("Karcher",TRIM(SUBSTITUTE(SUBSTITUTE(MID(Общий!B478,SEARCH("Karcher",Общий!B478,1),19),".",""),"-","")),1)+8,8)),VALUE(LEFT(SUBSTITUTE(SUBSTITUTE(Общий!B478,".",""),"-",""),8))))),0)</f>
        <v>0</v>
      </c>
      <c r="B478" s="25">
        <f>IFERROR(CONCATENATE(VALUE(IF(LEN(IFERROR(VALUE(MID(TRIM(SUBSTITUTE(SUBSTITUTE(MID(Общий!B478,SEARCH("Karcher",Общий!B478,1),19),".",""),"-","")),SEARCH("Karcher",TRIM(SUBSTITUTE(SUBSTITUTE(MID(Общий!B478,SEARCH("Karcher",Общий!B478,1),19),".",""),"-","")),1)+8,8)),VALUE(LEFT(SUBSTITUTE(SUBSTITUTE(Общий!B478,".",""),"-",""),8))))=7,CONCATENATE(IFERROR(VALUE(MID(TRIM(SUBSTITUTE(SUBSTITUTE(MID(Общий!B478,SEARCH("Karcher",Общий!B478,1),19),".",""),"-","")),SEARCH("Karcher",TRIM(SUBSTITUTE(SUBSTITUTE(MID(Общий!B478,SEARCH("Karcher",Общий!B478,1),19),".",""),"-","")),1)+8,8)),VALUE(LEFT(SUBSTITUTE(SUBSTITUTE(Общий!B478,".",""),"-",""),8))),"0"),IFERROR(VALUE(MID(TRIM(SUBSTITUTE(SUBSTITUTE(MID(Общий!B478,SEARCH("Karcher",Общий!B478,1),19),".",""),"-","")),SEARCH("Karcher",TRIM(SUBSTITUTE(SUBSTITUTE(MID(Общий!B478,SEARCH("Karcher",Общий!B478,1),19),".",""),"-","")),1)+8,8)),VALUE(LEFT(SUBSTITUTE(SUBSTITUTE(Общий!B478,".",""),"-",""),8)))))," ",Общий!C478),0)</f>
        <v>0</v>
      </c>
      <c r="C478" s="29" t="str">
        <f>Общий!A478</f>
        <v>470</v>
      </c>
      <c r="D478" s="27">
        <f>Общий!B478</f>
        <v>0</v>
      </c>
      <c r="E478" s="28">
        <f>Общий!C478</f>
        <v>0</v>
      </c>
      <c r="G478" s="44"/>
      <c r="H478" s="44"/>
      <c r="I478" s="44"/>
      <c r="J478" s="35"/>
    </row>
    <row r="479" spans="1:10">
      <c r="A479" s="31">
        <f>IFERROR(VALUE(IF(LEN(IFERROR(VALUE(MID(TRIM(SUBSTITUTE(SUBSTITUTE(MID(Общий!B479,SEARCH("Karcher",Общий!B479,1),19),".",""),"-","")),SEARCH("Karcher",TRIM(SUBSTITUTE(SUBSTITUTE(MID(Общий!B479,SEARCH("Karcher",Общий!B479,1),19),".",""),"-","")),1)+8,8)),VALUE(LEFT(SUBSTITUTE(SUBSTITUTE(Общий!B479,".",""),"-",""),8))))=7,CONCATENATE(IFERROR(VALUE(MID(TRIM(SUBSTITUTE(SUBSTITUTE(MID(Общий!B479,SEARCH("Karcher",Общий!B479,1),19),".",""),"-","")),SEARCH("Karcher",TRIM(SUBSTITUTE(SUBSTITUTE(MID(Общий!B479,SEARCH("Karcher",Общий!B479,1),19),".",""),"-","")),1)+8,8)),VALUE(LEFT(SUBSTITUTE(SUBSTITUTE(Общий!B479,".",""),"-",""),8))),"0"),IFERROR(VALUE(MID(TRIM(SUBSTITUTE(SUBSTITUTE(MID(Общий!B479,SEARCH("Karcher",Общий!B479,1),19),".",""),"-","")),SEARCH("Karcher",TRIM(SUBSTITUTE(SUBSTITUTE(MID(Общий!B479,SEARCH("Karcher",Общий!B479,1),19),".",""),"-","")),1)+8,8)),VALUE(LEFT(SUBSTITUTE(SUBSTITUTE(Общий!B479,".",""),"-",""),8))))),0)</f>
        <v>0</v>
      </c>
      <c r="B479" s="25">
        <f>IFERROR(CONCATENATE(VALUE(IF(LEN(IFERROR(VALUE(MID(TRIM(SUBSTITUTE(SUBSTITUTE(MID(Общий!B479,SEARCH("Karcher",Общий!B479,1),19),".",""),"-","")),SEARCH("Karcher",TRIM(SUBSTITUTE(SUBSTITUTE(MID(Общий!B479,SEARCH("Karcher",Общий!B479,1),19),".",""),"-","")),1)+8,8)),VALUE(LEFT(SUBSTITUTE(SUBSTITUTE(Общий!B479,".",""),"-",""),8))))=7,CONCATENATE(IFERROR(VALUE(MID(TRIM(SUBSTITUTE(SUBSTITUTE(MID(Общий!B479,SEARCH("Karcher",Общий!B479,1),19),".",""),"-","")),SEARCH("Karcher",TRIM(SUBSTITUTE(SUBSTITUTE(MID(Общий!B479,SEARCH("Karcher",Общий!B479,1),19),".",""),"-","")),1)+8,8)),VALUE(LEFT(SUBSTITUTE(SUBSTITUTE(Общий!B479,".",""),"-",""),8))),"0"),IFERROR(VALUE(MID(TRIM(SUBSTITUTE(SUBSTITUTE(MID(Общий!B479,SEARCH("Karcher",Общий!B479,1),19),".",""),"-","")),SEARCH("Karcher",TRIM(SUBSTITUTE(SUBSTITUTE(MID(Общий!B479,SEARCH("Karcher",Общий!B479,1),19),".",""),"-","")),1)+8,8)),VALUE(LEFT(SUBSTITUTE(SUBSTITUTE(Общий!B479,".",""),"-",""),8)))))," ",Общий!C479),0)</f>
        <v>0</v>
      </c>
      <c r="C479" s="29" t="str">
        <f>Общий!A479</f>
        <v>471</v>
      </c>
      <c r="D479" s="27">
        <f>Общий!B479</f>
        <v>0</v>
      </c>
      <c r="E479" s="28">
        <f>Общий!C479</f>
        <v>0</v>
      </c>
      <c r="G479" s="44"/>
      <c r="H479" s="44"/>
      <c r="I479" s="44"/>
      <c r="J479" s="35"/>
    </row>
    <row r="480" spans="1:10">
      <c r="A480" s="31">
        <f>IFERROR(VALUE(IF(LEN(IFERROR(VALUE(MID(TRIM(SUBSTITUTE(SUBSTITUTE(MID(Общий!B480,SEARCH("Karcher",Общий!B480,1),19),".",""),"-","")),SEARCH("Karcher",TRIM(SUBSTITUTE(SUBSTITUTE(MID(Общий!B480,SEARCH("Karcher",Общий!B480,1),19),".",""),"-","")),1)+8,8)),VALUE(LEFT(SUBSTITUTE(SUBSTITUTE(Общий!B480,".",""),"-",""),8))))=7,CONCATENATE(IFERROR(VALUE(MID(TRIM(SUBSTITUTE(SUBSTITUTE(MID(Общий!B480,SEARCH("Karcher",Общий!B480,1),19),".",""),"-","")),SEARCH("Karcher",TRIM(SUBSTITUTE(SUBSTITUTE(MID(Общий!B480,SEARCH("Karcher",Общий!B480,1),19),".",""),"-","")),1)+8,8)),VALUE(LEFT(SUBSTITUTE(SUBSTITUTE(Общий!B480,".",""),"-",""),8))),"0"),IFERROR(VALUE(MID(TRIM(SUBSTITUTE(SUBSTITUTE(MID(Общий!B480,SEARCH("Karcher",Общий!B480,1),19),".",""),"-","")),SEARCH("Karcher",TRIM(SUBSTITUTE(SUBSTITUTE(MID(Общий!B480,SEARCH("Karcher",Общий!B480,1),19),".",""),"-","")),1)+8,8)),VALUE(LEFT(SUBSTITUTE(SUBSTITUTE(Общий!B480,".",""),"-",""),8))))),0)</f>
        <v>0</v>
      </c>
      <c r="B480" s="25">
        <f>IFERROR(CONCATENATE(VALUE(IF(LEN(IFERROR(VALUE(MID(TRIM(SUBSTITUTE(SUBSTITUTE(MID(Общий!B480,SEARCH("Karcher",Общий!B480,1),19),".",""),"-","")),SEARCH("Karcher",TRIM(SUBSTITUTE(SUBSTITUTE(MID(Общий!B480,SEARCH("Karcher",Общий!B480,1),19),".",""),"-","")),1)+8,8)),VALUE(LEFT(SUBSTITUTE(SUBSTITUTE(Общий!B480,".",""),"-",""),8))))=7,CONCATENATE(IFERROR(VALUE(MID(TRIM(SUBSTITUTE(SUBSTITUTE(MID(Общий!B480,SEARCH("Karcher",Общий!B480,1),19),".",""),"-","")),SEARCH("Karcher",TRIM(SUBSTITUTE(SUBSTITUTE(MID(Общий!B480,SEARCH("Karcher",Общий!B480,1),19),".",""),"-","")),1)+8,8)),VALUE(LEFT(SUBSTITUTE(SUBSTITUTE(Общий!B480,".",""),"-",""),8))),"0"),IFERROR(VALUE(MID(TRIM(SUBSTITUTE(SUBSTITUTE(MID(Общий!B480,SEARCH("Karcher",Общий!B480,1),19),".",""),"-","")),SEARCH("Karcher",TRIM(SUBSTITUTE(SUBSTITUTE(MID(Общий!B480,SEARCH("Karcher",Общий!B480,1),19),".",""),"-","")),1)+8,8)),VALUE(LEFT(SUBSTITUTE(SUBSTITUTE(Общий!B480,".",""),"-",""),8)))))," ",Общий!C480),0)</f>
        <v>0</v>
      </c>
      <c r="C480" s="29" t="str">
        <f>Общий!A480</f>
        <v>472</v>
      </c>
      <c r="D480" s="27">
        <f>Общий!B480</f>
        <v>0</v>
      </c>
      <c r="E480" s="28">
        <f>Общий!C480</f>
        <v>0</v>
      </c>
      <c r="G480" s="44"/>
      <c r="H480" s="44"/>
      <c r="I480" s="44"/>
      <c r="J480" s="35"/>
    </row>
    <row r="481" spans="1:10">
      <c r="A481" s="31">
        <f>IFERROR(VALUE(IF(LEN(IFERROR(VALUE(MID(TRIM(SUBSTITUTE(SUBSTITUTE(MID(Общий!B481,SEARCH("Karcher",Общий!B481,1),19),".",""),"-","")),SEARCH("Karcher",TRIM(SUBSTITUTE(SUBSTITUTE(MID(Общий!B481,SEARCH("Karcher",Общий!B481,1),19),".",""),"-","")),1)+8,8)),VALUE(LEFT(SUBSTITUTE(SUBSTITUTE(Общий!B481,".",""),"-",""),8))))=7,CONCATENATE(IFERROR(VALUE(MID(TRIM(SUBSTITUTE(SUBSTITUTE(MID(Общий!B481,SEARCH("Karcher",Общий!B481,1),19),".",""),"-","")),SEARCH("Karcher",TRIM(SUBSTITUTE(SUBSTITUTE(MID(Общий!B481,SEARCH("Karcher",Общий!B481,1),19),".",""),"-","")),1)+8,8)),VALUE(LEFT(SUBSTITUTE(SUBSTITUTE(Общий!B481,".",""),"-",""),8))),"0"),IFERROR(VALUE(MID(TRIM(SUBSTITUTE(SUBSTITUTE(MID(Общий!B481,SEARCH("Karcher",Общий!B481,1),19),".",""),"-","")),SEARCH("Karcher",TRIM(SUBSTITUTE(SUBSTITUTE(MID(Общий!B481,SEARCH("Karcher",Общий!B481,1),19),".",""),"-","")),1)+8,8)),VALUE(LEFT(SUBSTITUTE(SUBSTITUTE(Общий!B481,".",""),"-",""),8))))),0)</f>
        <v>0</v>
      </c>
      <c r="B481" s="25">
        <f>IFERROR(CONCATENATE(VALUE(IF(LEN(IFERROR(VALUE(MID(TRIM(SUBSTITUTE(SUBSTITUTE(MID(Общий!B481,SEARCH("Karcher",Общий!B481,1),19),".",""),"-","")),SEARCH("Karcher",TRIM(SUBSTITUTE(SUBSTITUTE(MID(Общий!B481,SEARCH("Karcher",Общий!B481,1),19),".",""),"-","")),1)+8,8)),VALUE(LEFT(SUBSTITUTE(SUBSTITUTE(Общий!B481,".",""),"-",""),8))))=7,CONCATENATE(IFERROR(VALUE(MID(TRIM(SUBSTITUTE(SUBSTITUTE(MID(Общий!B481,SEARCH("Karcher",Общий!B481,1),19),".",""),"-","")),SEARCH("Karcher",TRIM(SUBSTITUTE(SUBSTITUTE(MID(Общий!B481,SEARCH("Karcher",Общий!B481,1),19),".",""),"-","")),1)+8,8)),VALUE(LEFT(SUBSTITUTE(SUBSTITUTE(Общий!B481,".",""),"-",""),8))),"0"),IFERROR(VALUE(MID(TRIM(SUBSTITUTE(SUBSTITUTE(MID(Общий!B481,SEARCH("Karcher",Общий!B481,1),19),".",""),"-","")),SEARCH("Karcher",TRIM(SUBSTITUTE(SUBSTITUTE(MID(Общий!B481,SEARCH("Karcher",Общий!B481,1),19),".",""),"-","")),1)+8,8)),VALUE(LEFT(SUBSTITUTE(SUBSTITUTE(Общий!B481,".",""),"-",""),8)))))," ",Общий!C481),0)</f>
        <v>0</v>
      </c>
      <c r="C481" s="29" t="str">
        <f>Общий!A481</f>
        <v>473</v>
      </c>
      <c r="D481" s="27">
        <f>Общий!B481</f>
        <v>0</v>
      </c>
      <c r="E481" s="28">
        <f>Общий!C481</f>
        <v>0</v>
      </c>
      <c r="G481" s="44"/>
      <c r="H481" s="44"/>
      <c r="I481" s="44"/>
      <c r="J481" s="35"/>
    </row>
    <row r="482" spans="1:10">
      <c r="A482" s="31">
        <f>IFERROR(VALUE(IF(LEN(IFERROR(VALUE(MID(TRIM(SUBSTITUTE(SUBSTITUTE(MID(Общий!B482,SEARCH("Karcher",Общий!B482,1),19),".",""),"-","")),SEARCH("Karcher",TRIM(SUBSTITUTE(SUBSTITUTE(MID(Общий!B482,SEARCH("Karcher",Общий!B482,1),19),".",""),"-","")),1)+8,8)),VALUE(LEFT(SUBSTITUTE(SUBSTITUTE(Общий!B482,".",""),"-",""),8))))=7,CONCATENATE(IFERROR(VALUE(MID(TRIM(SUBSTITUTE(SUBSTITUTE(MID(Общий!B482,SEARCH("Karcher",Общий!B482,1),19),".",""),"-","")),SEARCH("Karcher",TRIM(SUBSTITUTE(SUBSTITUTE(MID(Общий!B482,SEARCH("Karcher",Общий!B482,1),19),".",""),"-","")),1)+8,8)),VALUE(LEFT(SUBSTITUTE(SUBSTITUTE(Общий!B482,".",""),"-",""),8))),"0"),IFERROR(VALUE(MID(TRIM(SUBSTITUTE(SUBSTITUTE(MID(Общий!B482,SEARCH("Karcher",Общий!B482,1),19),".",""),"-","")),SEARCH("Karcher",TRIM(SUBSTITUTE(SUBSTITUTE(MID(Общий!B482,SEARCH("Karcher",Общий!B482,1),19),".",""),"-","")),1)+8,8)),VALUE(LEFT(SUBSTITUTE(SUBSTITUTE(Общий!B482,".",""),"-",""),8))))),0)</f>
        <v>0</v>
      </c>
      <c r="B482" s="25">
        <f>IFERROR(CONCATENATE(VALUE(IF(LEN(IFERROR(VALUE(MID(TRIM(SUBSTITUTE(SUBSTITUTE(MID(Общий!B482,SEARCH("Karcher",Общий!B482,1),19),".",""),"-","")),SEARCH("Karcher",TRIM(SUBSTITUTE(SUBSTITUTE(MID(Общий!B482,SEARCH("Karcher",Общий!B482,1),19),".",""),"-","")),1)+8,8)),VALUE(LEFT(SUBSTITUTE(SUBSTITUTE(Общий!B482,".",""),"-",""),8))))=7,CONCATENATE(IFERROR(VALUE(MID(TRIM(SUBSTITUTE(SUBSTITUTE(MID(Общий!B482,SEARCH("Karcher",Общий!B482,1),19),".",""),"-","")),SEARCH("Karcher",TRIM(SUBSTITUTE(SUBSTITUTE(MID(Общий!B482,SEARCH("Karcher",Общий!B482,1),19),".",""),"-","")),1)+8,8)),VALUE(LEFT(SUBSTITUTE(SUBSTITUTE(Общий!B482,".",""),"-",""),8))),"0"),IFERROR(VALUE(MID(TRIM(SUBSTITUTE(SUBSTITUTE(MID(Общий!B482,SEARCH("Karcher",Общий!B482,1),19),".",""),"-","")),SEARCH("Karcher",TRIM(SUBSTITUTE(SUBSTITUTE(MID(Общий!B482,SEARCH("Karcher",Общий!B482,1),19),".",""),"-","")),1)+8,8)),VALUE(LEFT(SUBSTITUTE(SUBSTITUTE(Общий!B482,".",""),"-",""),8)))))," ",Общий!C482),0)</f>
        <v>0</v>
      </c>
      <c r="C482" s="29" t="str">
        <f>Общий!A482</f>
        <v>474</v>
      </c>
      <c r="D482" s="27">
        <f>Общий!B482</f>
        <v>0</v>
      </c>
      <c r="E482" s="28">
        <f>Общий!C482</f>
        <v>0</v>
      </c>
      <c r="G482" s="44"/>
      <c r="H482" s="44"/>
      <c r="I482" s="44"/>
      <c r="J482" s="35"/>
    </row>
    <row r="483" spans="1:10">
      <c r="A483" s="31">
        <f>IFERROR(VALUE(IF(LEN(IFERROR(VALUE(MID(TRIM(SUBSTITUTE(SUBSTITUTE(MID(Общий!B483,SEARCH("Karcher",Общий!B483,1),19),".",""),"-","")),SEARCH("Karcher",TRIM(SUBSTITUTE(SUBSTITUTE(MID(Общий!B483,SEARCH("Karcher",Общий!B483,1),19),".",""),"-","")),1)+8,8)),VALUE(LEFT(SUBSTITUTE(SUBSTITUTE(Общий!B483,".",""),"-",""),8))))=7,CONCATENATE(IFERROR(VALUE(MID(TRIM(SUBSTITUTE(SUBSTITUTE(MID(Общий!B483,SEARCH("Karcher",Общий!B483,1),19),".",""),"-","")),SEARCH("Karcher",TRIM(SUBSTITUTE(SUBSTITUTE(MID(Общий!B483,SEARCH("Karcher",Общий!B483,1),19),".",""),"-","")),1)+8,8)),VALUE(LEFT(SUBSTITUTE(SUBSTITUTE(Общий!B483,".",""),"-",""),8))),"0"),IFERROR(VALUE(MID(TRIM(SUBSTITUTE(SUBSTITUTE(MID(Общий!B483,SEARCH("Karcher",Общий!B483,1),19),".",""),"-","")),SEARCH("Karcher",TRIM(SUBSTITUTE(SUBSTITUTE(MID(Общий!B483,SEARCH("Karcher",Общий!B483,1),19),".",""),"-","")),1)+8,8)),VALUE(LEFT(SUBSTITUTE(SUBSTITUTE(Общий!B483,".",""),"-",""),8))))),0)</f>
        <v>0</v>
      </c>
      <c r="B483" s="25">
        <f>IFERROR(CONCATENATE(VALUE(IF(LEN(IFERROR(VALUE(MID(TRIM(SUBSTITUTE(SUBSTITUTE(MID(Общий!B483,SEARCH("Karcher",Общий!B483,1),19),".",""),"-","")),SEARCH("Karcher",TRIM(SUBSTITUTE(SUBSTITUTE(MID(Общий!B483,SEARCH("Karcher",Общий!B483,1),19),".",""),"-","")),1)+8,8)),VALUE(LEFT(SUBSTITUTE(SUBSTITUTE(Общий!B483,".",""),"-",""),8))))=7,CONCATENATE(IFERROR(VALUE(MID(TRIM(SUBSTITUTE(SUBSTITUTE(MID(Общий!B483,SEARCH("Karcher",Общий!B483,1),19),".",""),"-","")),SEARCH("Karcher",TRIM(SUBSTITUTE(SUBSTITUTE(MID(Общий!B483,SEARCH("Karcher",Общий!B483,1),19),".",""),"-","")),1)+8,8)),VALUE(LEFT(SUBSTITUTE(SUBSTITUTE(Общий!B483,".",""),"-",""),8))),"0"),IFERROR(VALUE(MID(TRIM(SUBSTITUTE(SUBSTITUTE(MID(Общий!B483,SEARCH("Karcher",Общий!B483,1),19),".",""),"-","")),SEARCH("Karcher",TRIM(SUBSTITUTE(SUBSTITUTE(MID(Общий!B483,SEARCH("Karcher",Общий!B483,1),19),".",""),"-","")),1)+8,8)),VALUE(LEFT(SUBSTITUTE(SUBSTITUTE(Общий!B483,".",""),"-",""),8)))))," ",Общий!C483),0)</f>
        <v>0</v>
      </c>
      <c r="C483" s="29" t="str">
        <f>Общий!A483</f>
        <v>475</v>
      </c>
      <c r="D483" s="27">
        <f>Общий!B483</f>
        <v>0</v>
      </c>
      <c r="E483" s="28">
        <f>Общий!C483</f>
        <v>0</v>
      </c>
      <c r="G483" s="44"/>
      <c r="H483" s="44"/>
      <c r="I483" s="44"/>
      <c r="J483" s="35"/>
    </row>
    <row r="484" spans="1:10">
      <c r="A484" s="31">
        <f>IFERROR(VALUE(IF(LEN(IFERROR(VALUE(MID(TRIM(SUBSTITUTE(SUBSTITUTE(MID(Общий!B484,SEARCH("Karcher",Общий!B484,1),19),".",""),"-","")),SEARCH("Karcher",TRIM(SUBSTITUTE(SUBSTITUTE(MID(Общий!B484,SEARCH("Karcher",Общий!B484,1),19),".",""),"-","")),1)+8,8)),VALUE(LEFT(SUBSTITUTE(SUBSTITUTE(Общий!B484,".",""),"-",""),8))))=7,CONCATENATE(IFERROR(VALUE(MID(TRIM(SUBSTITUTE(SUBSTITUTE(MID(Общий!B484,SEARCH("Karcher",Общий!B484,1),19),".",""),"-","")),SEARCH("Karcher",TRIM(SUBSTITUTE(SUBSTITUTE(MID(Общий!B484,SEARCH("Karcher",Общий!B484,1),19),".",""),"-","")),1)+8,8)),VALUE(LEFT(SUBSTITUTE(SUBSTITUTE(Общий!B484,".",""),"-",""),8))),"0"),IFERROR(VALUE(MID(TRIM(SUBSTITUTE(SUBSTITUTE(MID(Общий!B484,SEARCH("Karcher",Общий!B484,1),19),".",""),"-","")),SEARCH("Karcher",TRIM(SUBSTITUTE(SUBSTITUTE(MID(Общий!B484,SEARCH("Karcher",Общий!B484,1),19),".",""),"-","")),1)+8,8)),VALUE(LEFT(SUBSTITUTE(SUBSTITUTE(Общий!B484,".",""),"-",""),8))))),0)</f>
        <v>0</v>
      </c>
      <c r="B484" s="25">
        <f>IFERROR(CONCATENATE(VALUE(IF(LEN(IFERROR(VALUE(MID(TRIM(SUBSTITUTE(SUBSTITUTE(MID(Общий!B484,SEARCH("Karcher",Общий!B484,1),19),".",""),"-","")),SEARCH("Karcher",TRIM(SUBSTITUTE(SUBSTITUTE(MID(Общий!B484,SEARCH("Karcher",Общий!B484,1),19),".",""),"-","")),1)+8,8)),VALUE(LEFT(SUBSTITUTE(SUBSTITUTE(Общий!B484,".",""),"-",""),8))))=7,CONCATENATE(IFERROR(VALUE(MID(TRIM(SUBSTITUTE(SUBSTITUTE(MID(Общий!B484,SEARCH("Karcher",Общий!B484,1),19),".",""),"-","")),SEARCH("Karcher",TRIM(SUBSTITUTE(SUBSTITUTE(MID(Общий!B484,SEARCH("Karcher",Общий!B484,1),19),".",""),"-","")),1)+8,8)),VALUE(LEFT(SUBSTITUTE(SUBSTITUTE(Общий!B484,".",""),"-",""),8))),"0"),IFERROR(VALUE(MID(TRIM(SUBSTITUTE(SUBSTITUTE(MID(Общий!B484,SEARCH("Karcher",Общий!B484,1),19),".",""),"-","")),SEARCH("Karcher",TRIM(SUBSTITUTE(SUBSTITUTE(MID(Общий!B484,SEARCH("Karcher",Общий!B484,1),19),".",""),"-","")),1)+8,8)),VALUE(LEFT(SUBSTITUTE(SUBSTITUTE(Общий!B484,".",""),"-",""),8)))))," ",Общий!C484),0)</f>
        <v>0</v>
      </c>
      <c r="C484" s="29" t="str">
        <f>Общий!A484</f>
        <v>476</v>
      </c>
      <c r="D484" s="27">
        <f>Общий!B484</f>
        <v>0</v>
      </c>
      <c r="E484" s="28">
        <f>Общий!C484</f>
        <v>0</v>
      </c>
      <c r="G484" s="44"/>
      <c r="H484" s="44"/>
      <c r="I484" s="44"/>
      <c r="J484" s="35"/>
    </row>
    <row r="485" spans="1:10">
      <c r="A485" s="31">
        <f>IFERROR(VALUE(IF(LEN(IFERROR(VALUE(MID(TRIM(SUBSTITUTE(SUBSTITUTE(MID(Общий!B485,SEARCH("Karcher",Общий!B485,1),19),".",""),"-","")),SEARCH("Karcher",TRIM(SUBSTITUTE(SUBSTITUTE(MID(Общий!B485,SEARCH("Karcher",Общий!B485,1),19),".",""),"-","")),1)+8,8)),VALUE(LEFT(SUBSTITUTE(SUBSTITUTE(Общий!B485,".",""),"-",""),8))))=7,CONCATENATE(IFERROR(VALUE(MID(TRIM(SUBSTITUTE(SUBSTITUTE(MID(Общий!B485,SEARCH("Karcher",Общий!B485,1),19),".",""),"-","")),SEARCH("Karcher",TRIM(SUBSTITUTE(SUBSTITUTE(MID(Общий!B485,SEARCH("Karcher",Общий!B485,1),19),".",""),"-","")),1)+8,8)),VALUE(LEFT(SUBSTITUTE(SUBSTITUTE(Общий!B485,".",""),"-",""),8))),"0"),IFERROR(VALUE(MID(TRIM(SUBSTITUTE(SUBSTITUTE(MID(Общий!B485,SEARCH("Karcher",Общий!B485,1),19),".",""),"-","")),SEARCH("Karcher",TRIM(SUBSTITUTE(SUBSTITUTE(MID(Общий!B485,SEARCH("Karcher",Общий!B485,1),19),".",""),"-","")),1)+8,8)),VALUE(LEFT(SUBSTITUTE(SUBSTITUTE(Общий!B485,".",""),"-",""),8))))),0)</f>
        <v>0</v>
      </c>
      <c r="B485" s="25">
        <f>IFERROR(CONCATENATE(VALUE(IF(LEN(IFERROR(VALUE(MID(TRIM(SUBSTITUTE(SUBSTITUTE(MID(Общий!B485,SEARCH("Karcher",Общий!B485,1),19),".",""),"-","")),SEARCH("Karcher",TRIM(SUBSTITUTE(SUBSTITUTE(MID(Общий!B485,SEARCH("Karcher",Общий!B485,1),19),".",""),"-","")),1)+8,8)),VALUE(LEFT(SUBSTITUTE(SUBSTITUTE(Общий!B485,".",""),"-",""),8))))=7,CONCATENATE(IFERROR(VALUE(MID(TRIM(SUBSTITUTE(SUBSTITUTE(MID(Общий!B485,SEARCH("Karcher",Общий!B485,1),19),".",""),"-","")),SEARCH("Karcher",TRIM(SUBSTITUTE(SUBSTITUTE(MID(Общий!B485,SEARCH("Karcher",Общий!B485,1),19),".",""),"-","")),1)+8,8)),VALUE(LEFT(SUBSTITUTE(SUBSTITUTE(Общий!B485,".",""),"-",""),8))),"0"),IFERROR(VALUE(MID(TRIM(SUBSTITUTE(SUBSTITUTE(MID(Общий!B485,SEARCH("Karcher",Общий!B485,1),19),".",""),"-","")),SEARCH("Karcher",TRIM(SUBSTITUTE(SUBSTITUTE(MID(Общий!B485,SEARCH("Karcher",Общий!B485,1),19),".",""),"-","")),1)+8,8)),VALUE(LEFT(SUBSTITUTE(SUBSTITUTE(Общий!B485,".",""),"-",""),8)))))," ",Общий!C485),0)</f>
        <v>0</v>
      </c>
      <c r="C485" s="29" t="str">
        <f>Общий!A485</f>
        <v>477</v>
      </c>
      <c r="D485" s="27">
        <f>Общий!B485</f>
        <v>0</v>
      </c>
      <c r="E485" s="28">
        <f>Общий!C485</f>
        <v>0</v>
      </c>
      <c r="G485" s="44"/>
      <c r="H485" s="44"/>
      <c r="I485" s="44"/>
      <c r="J485" s="35"/>
    </row>
    <row r="486" spans="1:10">
      <c r="A486" s="31">
        <f>IFERROR(VALUE(IF(LEN(IFERROR(VALUE(MID(TRIM(SUBSTITUTE(SUBSTITUTE(MID(Общий!B486,SEARCH("Karcher",Общий!B486,1),19),".",""),"-","")),SEARCH("Karcher",TRIM(SUBSTITUTE(SUBSTITUTE(MID(Общий!B486,SEARCH("Karcher",Общий!B486,1),19),".",""),"-","")),1)+8,8)),VALUE(LEFT(SUBSTITUTE(SUBSTITUTE(Общий!B486,".",""),"-",""),8))))=7,CONCATENATE(IFERROR(VALUE(MID(TRIM(SUBSTITUTE(SUBSTITUTE(MID(Общий!B486,SEARCH("Karcher",Общий!B486,1),19),".",""),"-","")),SEARCH("Karcher",TRIM(SUBSTITUTE(SUBSTITUTE(MID(Общий!B486,SEARCH("Karcher",Общий!B486,1),19),".",""),"-","")),1)+8,8)),VALUE(LEFT(SUBSTITUTE(SUBSTITUTE(Общий!B486,".",""),"-",""),8))),"0"),IFERROR(VALUE(MID(TRIM(SUBSTITUTE(SUBSTITUTE(MID(Общий!B486,SEARCH("Karcher",Общий!B486,1),19),".",""),"-","")),SEARCH("Karcher",TRIM(SUBSTITUTE(SUBSTITUTE(MID(Общий!B486,SEARCH("Karcher",Общий!B486,1),19),".",""),"-","")),1)+8,8)),VALUE(LEFT(SUBSTITUTE(SUBSTITUTE(Общий!B486,".",""),"-",""),8))))),0)</f>
        <v>0</v>
      </c>
      <c r="B486" s="25">
        <f>IFERROR(CONCATENATE(VALUE(IF(LEN(IFERROR(VALUE(MID(TRIM(SUBSTITUTE(SUBSTITUTE(MID(Общий!B486,SEARCH("Karcher",Общий!B486,1),19),".",""),"-","")),SEARCH("Karcher",TRIM(SUBSTITUTE(SUBSTITUTE(MID(Общий!B486,SEARCH("Karcher",Общий!B486,1),19),".",""),"-","")),1)+8,8)),VALUE(LEFT(SUBSTITUTE(SUBSTITUTE(Общий!B486,".",""),"-",""),8))))=7,CONCATENATE(IFERROR(VALUE(MID(TRIM(SUBSTITUTE(SUBSTITUTE(MID(Общий!B486,SEARCH("Karcher",Общий!B486,1),19),".",""),"-","")),SEARCH("Karcher",TRIM(SUBSTITUTE(SUBSTITUTE(MID(Общий!B486,SEARCH("Karcher",Общий!B486,1),19),".",""),"-","")),1)+8,8)),VALUE(LEFT(SUBSTITUTE(SUBSTITUTE(Общий!B486,".",""),"-",""),8))),"0"),IFERROR(VALUE(MID(TRIM(SUBSTITUTE(SUBSTITUTE(MID(Общий!B486,SEARCH("Karcher",Общий!B486,1),19),".",""),"-","")),SEARCH("Karcher",TRIM(SUBSTITUTE(SUBSTITUTE(MID(Общий!B486,SEARCH("Karcher",Общий!B486,1),19),".",""),"-","")),1)+8,8)),VALUE(LEFT(SUBSTITUTE(SUBSTITUTE(Общий!B486,".",""),"-",""),8)))))," ",Общий!C486),0)</f>
        <v>0</v>
      </c>
      <c r="C486" s="29" t="str">
        <f>Общий!A486</f>
        <v>478</v>
      </c>
      <c r="D486" s="27">
        <f>Общий!B486</f>
        <v>0</v>
      </c>
      <c r="E486" s="28">
        <f>Общий!C486</f>
        <v>0</v>
      </c>
      <c r="G486" s="44"/>
      <c r="H486" s="44"/>
      <c r="I486" s="44"/>
      <c r="J486" s="35"/>
    </row>
    <row r="487" spans="1:10">
      <c r="A487" s="31">
        <f>IFERROR(VALUE(IF(LEN(IFERROR(VALUE(MID(TRIM(SUBSTITUTE(SUBSTITUTE(MID(Общий!B487,SEARCH("Karcher",Общий!B487,1),19),".",""),"-","")),SEARCH("Karcher",TRIM(SUBSTITUTE(SUBSTITUTE(MID(Общий!B487,SEARCH("Karcher",Общий!B487,1),19),".",""),"-","")),1)+8,8)),VALUE(LEFT(SUBSTITUTE(SUBSTITUTE(Общий!B487,".",""),"-",""),8))))=7,CONCATENATE(IFERROR(VALUE(MID(TRIM(SUBSTITUTE(SUBSTITUTE(MID(Общий!B487,SEARCH("Karcher",Общий!B487,1),19),".",""),"-","")),SEARCH("Karcher",TRIM(SUBSTITUTE(SUBSTITUTE(MID(Общий!B487,SEARCH("Karcher",Общий!B487,1),19),".",""),"-","")),1)+8,8)),VALUE(LEFT(SUBSTITUTE(SUBSTITUTE(Общий!B487,".",""),"-",""),8))),"0"),IFERROR(VALUE(MID(TRIM(SUBSTITUTE(SUBSTITUTE(MID(Общий!B487,SEARCH("Karcher",Общий!B487,1),19),".",""),"-","")),SEARCH("Karcher",TRIM(SUBSTITUTE(SUBSTITUTE(MID(Общий!B487,SEARCH("Karcher",Общий!B487,1),19),".",""),"-","")),1)+8,8)),VALUE(LEFT(SUBSTITUTE(SUBSTITUTE(Общий!B487,".",""),"-",""),8))))),0)</f>
        <v>0</v>
      </c>
      <c r="B487" s="25">
        <f>IFERROR(CONCATENATE(VALUE(IF(LEN(IFERROR(VALUE(MID(TRIM(SUBSTITUTE(SUBSTITUTE(MID(Общий!B487,SEARCH("Karcher",Общий!B487,1),19),".",""),"-","")),SEARCH("Karcher",TRIM(SUBSTITUTE(SUBSTITUTE(MID(Общий!B487,SEARCH("Karcher",Общий!B487,1),19),".",""),"-","")),1)+8,8)),VALUE(LEFT(SUBSTITUTE(SUBSTITUTE(Общий!B487,".",""),"-",""),8))))=7,CONCATENATE(IFERROR(VALUE(MID(TRIM(SUBSTITUTE(SUBSTITUTE(MID(Общий!B487,SEARCH("Karcher",Общий!B487,1),19),".",""),"-","")),SEARCH("Karcher",TRIM(SUBSTITUTE(SUBSTITUTE(MID(Общий!B487,SEARCH("Karcher",Общий!B487,1),19),".",""),"-","")),1)+8,8)),VALUE(LEFT(SUBSTITUTE(SUBSTITUTE(Общий!B487,".",""),"-",""),8))),"0"),IFERROR(VALUE(MID(TRIM(SUBSTITUTE(SUBSTITUTE(MID(Общий!B487,SEARCH("Karcher",Общий!B487,1),19),".",""),"-","")),SEARCH("Karcher",TRIM(SUBSTITUTE(SUBSTITUTE(MID(Общий!B487,SEARCH("Karcher",Общий!B487,1),19),".",""),"-","")),1)+8,8)),VALUE(LEFT(SUBSTITUTE(SUBSTITUTE(Общий!B487,".",""),"-",""),8)))))," ",Общий!C487),0)</f>
        <v>0</v>
      </c>
      <c r="C487" s="29" t="str">
        <f>Общий!A487</f>
        <v>479</v>
      </c>
      <c r="D487" s="27">
        <f>Общий!B487</f>
        <v>0</v>
      </c>
      <c r="E487" s="28">
        <f>Общий!C487</f>
        <v>0</v>
      </c>
      <c r="G487" s="44"/>
      <c r="H487" s="44"/>
      <c r="I487" s="44"/>
      <c r="J487" s="35"/>
    </row>
    <row r="488" spans="1:10">
      <c r="A488" s="31">
        <f>IFERROR(VALUE(IF(LEN(IFERROR(VALUE(MID(TRIM(SUBSTITUTE(SUBSTITUTE(MID(Общий!B488,SEARCH("Karcher",Общий!B488,1),19),".",""),"-","")),SEARCH("Karcher",TRIM(SUBSTITUTE(SUBSTITUTE(MID(Общий!B488,SEARCH("Karcher",Общий!B488,1),19),".",""),"-","")),1)+8,8)),VALUE(LEFT(SUBSTITUTE(SUBSTITUTE(Общий!B488,".",""),"-",""),8))))=7,CONCATENATE(IFERROR(VALUE(MID(TRIM(SUBSTITUTE(SUBSTITUTE(MID(Общий!B488,SEARCH("Karcher",Общий!B488,1),19),".",""),"-","")),SEARCH("Karcher",TRIM(SUBSTITUTE(SUBSTITUTE(MID(Общий!B488,SEARCH("Karcher",Общий!B488,1),19),".",""),"-","")),1)+8,8)),VALUE(LEFT(SUBSTITUTE(SUBSTITUTE(Общий!B488,".",""),"-",""),8))),"0"),IFERROR(VALUE(MID(TRIM(SUBSTITUTE(SUBSTITUTE(MID(Общий!B488,SEARCH("Karcher",Общий!B488,1),19),".",""),"-","")),SEARCH("Karcher",TRIM(SUBSTITUTE(SUBSTITUTE(MID(Общий!B488,SEARCH("Karcher",Общий!B488,1),19),".",""),"-","")),1)+8,8)),VALUE(LEFT(SUBSTITUTE(SUBSTITUTE(Общий!B488,".",""),"-",""),8))))),0)</f>
        <v>0</v>
      </c>
      <c r="B488" s="25">
        <f>IFERROR(CONCATENATE(VALUE(IF(LEN(IFERROR(VALUE(MID(TRIM(SUBSTITUTE(SUBSTITUTE(MID(Общий!B488,SEARCH("Karcher",Общий!B488,1),19),".",""),"-","")),SEARCH("Karcher",TRIM(SUBSTITUTE(SUBSTITUTE(MID(Общий!B488,SEARCH("Karcher",Общий!B488,1),19),".",""),"-","")),1)+8,8)),VALUE(LEFT(SUBSTITUTE(SUBSTITUTE(Общий!B488,".",""),"-",""),8))))=7,CONCATENATE(IFERROR(VALUE(MID(TRIM(SUBSTITUTE(SUBSTITUTE(MID(Общий!B488,SEARCH("Karcher",Общий!B488,1),19),".",""),"-","")),SEARCH("Karcher",TRIM(SUBSTITUTE(SUBSTITUTE(MID(Общий!B488,SEARCH("Karcher",Общий!B488,1),19),".",""),"-","")),1)+8,8)),VALUE(LEFT(SUBSTITUTE(SUBSTITUTE(Общий!B488,".",""),"-",""),8))),"0"),IFERROR(VALUE(MID(TRIM(SUBSTITUTE(SUBSTITUTE(MID(Общий!B488,SEARCH("Karcher",Общий!B488,1),19),".",""),"-","")),SEARCH("Karcher",TRIM(SUBSTITUTE(SUBSTITUTE(MID(Общий!B488,SEARCH("Karcher",Общий!B488,1),19),".",""),"-","")),1)+8,8)),VALUE(LEFT(SUBSTITUTE(SUBSTITUTE(Общий!B488,".",""),"-",""),8)))))," ",Общий!C488),0)</f>
        <v>0</v>
      </c>
      <c r="C488" s="29" t="str">
        <f>Общий!A488</f>
        <v>480</v>
      </c>
      <c r="D488" s="27">
        <f>Общий!B488</f>
        <v>0</v>
      </c>
      <c r="E488" s="28">
        <f>Общий!C488</f>
        <v>0</v>
      </c>
      <c r="G488" s="44"/>
      <c r="H488" s="44"/>
      <c r="I488" s="44"/>
      <c r="J488" s="35"/>
    </row>
    <row r="489" spans="1:10">
      <c r="A489" s="31">
        <f>IFERROR(VALUE(IF(LEN(IFERROR(VALUE(MID(TRIM(SUBSTITUTE(SUBSTITUTE(MID(Общий!B489,SEARCH("Karcher",Общий!B489,1),19),".",""),"-","")),SEARCH("Karcher",TRIM(SUBSTITUTE(SUBSTITUTE(MID(Общий!B489,SEARCH("Karcher",Общий!B489,1),19),".",""),"-","")),1)+8,8)),VALUE(LEFT(SUBSTITUTE(SUBSTITUTE(Общий!B489,".",""),"-",""),8))))=7,CONCATENATE(IFERROR(VALUE(MID(TRIM(SUBSTITUTE(SUBSTITUTE(MID(Общий!B489,SEARCH("Karcher",Общий!B489,1),19),".",""),"-","")),SEARCH("Karcher",TRIM(SUBSTITUTE(SUBSTITUTE(MID(Общий!B489,SEARCH("Karcher",Общий!B489,1),19),".",""),"-","")),1)+8,8)),VALUE(LEFT(SUBSTITUTE(SUBSTITUTE(Общий!B489,".",""),"-",""),8))),"0"),IFERROR(VALUE(MID(TRIM(SUBSTITUTE(SUBSTITUTE(MID(Общий!B489,SEARCH("Karcher",Общий!B489,1),19),".",""),"-","")),SEARCH("Karcher",TRIM(SUBSTITUTE(SUBSTITUTE(MID(Общий!B489,SEARCH("Karcher",Общий!B489,1),19),".",""),"-","")),1)+8,8)),VALUE(LEFT(SUBSTITUTE(SUBSTITUTE(Общий!B489,".",""),"-",""),8))))),0)</f>
        <v>0</v>
      </c>
      <c r="B489" s="25">
        <f>IFERROR(CONCATENATE(VALUE(IF(LEN(IFERROR(VALUE(MID(TRIM(SUBSTITUTE(SUBSTITUTE(MID(Общий!B489,SEARCH("Karcher",Общий!B489,1),19),".",""),"-","")),SEARCH("Karcher",TRIM(SUBSTITUTE(SUBSTITUTE(MID(Общий!B489,SEARCH("Karcher",Общий!B489,1),19),".",""),"-","")),1)+8,8)),VALUE(LEFT(SUBSTITUTE(SUBSTITUTE(Общий!B489,".",""),"-",""),8))))=7,CONCATENATE(IFERROR(VALUE(MID(TRIM(SUBSTITUTE(SUBSTITUTE(MID(Общий!B489,SEARCH("Karcher",Общий!B489,1),19),".",""),"-","")),SEARCH("Karcher",TRIM(SUBSTITUTE(SUBSTITUTE(MID(Общий!B489,SEARCH("Karcher",Общий!B489,1),19),".",""),"-","")),1)+8,8)),VALUE(LEFT(SUBSTITUTE(SUBSTITUTE(Общий!B489,".",""),"-",""),8))),"0"),IFERROR(VALUE(MID(TRIM(SUBSTITUTE(SUBSTITUTE(MID(Общий!B489,SEARCH("Karcher",Общий!B489,1),19),".",""),"-","")),SEARCH("Karcher",TRIM(SUBSTITUTE(SUBSTITUTE(MID(Общий!B489,SEARCH("Karcher",Общий!B489,1),19),".",""),"-","")),1)+8,8)),VALUE(LEFT(SUBSTITUTE(SUBSTITUTE(Общий!B489,".",""),"-",""),8)))))," ",Общий!C489),0)</f>
        <v>0</v>
      </c>
      <c r="C489" s="29" t="str">
        <f>Общий!A489</f>
        <v>481</v>
      </c>
      <c r="D489" s="27">
        <f>Общий!B489</f>
        <v>0</v>
      </c>
      <c r="E489" s="28">
        <f>Общий!C489</f>
        <v>0</v>
      </c>
      <c r="G489" s="44"/>
      <c r="H489" s="44"/>
      <c r="I489" s="44"/>
      <c r="J489" s="35"/>
    </row>
    <row r="490" spans="1:10">
      <c r="A490" s="31">
        <f>IFERROR(VALUE(IF(LEN(IFERROR(VALUE(MID(TRIM(SUBSTITUTE(SUBSTITUTE(MID(Общий!B490,SEARCH("Karcher",Общий!B490,1),19),".",""),"-","")),SEARCH("Karcher",TRIM(SUBSTITUTE(SUBSTITUTE(MID(Общий!B490,SEARCH("Karcher",Общий!B490,1),19),".",""),"-","")),1)+8,8)),VALUE(LEFT(SUBSTITUTE(SUBSTITUTE(Общий!B490,".",""),"-",""),8))))=7,CONCATENATE(IFERROR(VALUE(MID(TRIM(SUBSTITUTE(SUBSTITUTE(MID(Общий!B490,SEARCH("Karcher",Общий!B490,1),19),".",""),"-","")),SEARCH("Karcher",TRIM(SUBSTITUTE(SUBSTITUTE(MID(Общий!B490,SEARCH("Karcher",Общий!B490,1),19),".",""),"-","")),1)+8,8)),VALUE(LEFT(SUBSTITUTE(SUBSTITUTE(Общий!B490,".",""),"-",""),8))),"0"),IFERROR(VALUE(MID(TRIM(SUBSTITUTE(SUBSTITUTE(MID(Общий!B490,SEARCH("Karcher",Общий!B490,1),19),".",""),"-","")),SEARCH("Karcher",TRIM(SUBSTITUTE(SUBSTITUTE(MID(Общий!B490,SEARCH("Karcher",Общий!B490,1),19),".",""),"-","")),1)+8,8)),VALUE(LEFT(SUBSTITUTE(SUBSTITUTE(Общий!B490,".",""),"-",""),8))))),0)</f>
        <v>0</v>
      </c>
      <c r="B490" s="25">
        <f>IFERROR(CONCATENATE(VALUE(IF(LEN(IFERROR(VALUE(MID(TRIM(SUBSTITUTE(SUBSTITUTE(MID(Общий!B490,SEARCH("Karcher",Общий!B490,1),19),".",""),"-","")),SEARCH("Karcher",TRIM(SUBSTITUTE(SUBSTITUTE(MID(Общий!B490,SEARCH("Karcher",Общий!B490,1),19),".",""),"-","")),1)+8,8)),VALUE(LEFT(SUBSTITUTE(SUBSTITUTE(Общий!B490,".",""),"-",""),8))))=7,CONCATENATE(IFERROR(VALUE(MID(TRIM(SUBSTITUTE(SUBSTITUTE(MID(Общий!B490,SEARCH("Karcher",Общий!B490,1),19),".",""),"-","")),SEARCH("Karcher",TRIM(SUBSTITUTE(SUBSTITUTE(MID(Общий!B490,SEARCH("Karcher",Общий!B490,1),19),".",""),"-","")),1)+8,8)),VALUE(LEFT(SUBSTITUTE(SUBSTITUTE(Общий!B490,".",""),"-",""),8))),"0"),IFERROR(VALUE(MID(TRIM(SUBSTITUTE(SUBSTITUTE(MID(Общий!B490,SEARCH("Karcher",Общий!B490,1),19),".",""),"-","")),SEARCH("Karcher",TRIM(SUBSTITUTE(SUBSTITUTE(MID(Общий!B490,SEARCH("Karcher",Общий!B490,1),19),".",""),"-","")),1)+8,8)),VALUE(LEFT(SUBSTITUTE(SUBSTITUTE(Общий!B490,".",""),"-",""),8)))))," ",Общий!C490),0)</f>
        <v>0</v>
      </c>
      <c r="C490" s="29" t="str">
        <f>Общий!A490</f>
        <v>482</v>
      </c>
      <c r="D490" s="27">
        <f>Общий!B490</f>
        <v>0</v>
      </c>
      <c r="E490" s="28">
        <f>Общий!C490</f>
        <v>0</v>
      </c>
      <c r="G490" s="44"/>
      <c r="H490" s="44"/>
      <c r="I490" s="44"/>
      <c r="J490" s="35"/>
    </row>
    <row r="491" spans="1:10">
      <c r="A491" s="31">
        <f>IFERROR(VALUE(IF(LEN(IFERROR(VALUE(MID(TRIM(SUBSTITUTE(SUBSTITUTE(MID(Общий!B491,SEARCH("Karcher",Общий!B491,1),19),".",""),"-","")),SEARCH("Karcher",TRIM(SUBSTITUTE(SUBSTITUTE(MID(Общий!B491,SEARCH("Karcher",Общий!B491,1),19),".",""),"-","")),1)+8,8)),VALUE(LEFT(SUBSTITUTE(SUBSTITUTE(Общий!B491,".",""),"-",""),8))))=7,CONCATENATE(IFERROR(VALUE(MID(TRIM(SUBSTITUTE(SUBSTITUTE(MID(Общий!B491,SEARCH("Karcher",Общий!B491,1),19),".",""),"-","")),SEARCH("Karcher",TRIM(SUBSTITUTE(SUBSTITUTE(MID(Общий!B491,SEARCH("Karcher",Общий!B491,1),19),".",""),"-","")),1)+8,8)),VALUE(LEFT(SUBSTITUTE(SUBSTITUTE(Общий!B491,".",""),"-",""),8))),"0"),IFERROR(VALUE(MID(TRIM(SUBSTITUTE(SUBSTITUTE(MID(Общий!B491,SEARCH("Karcher",Общий!B491,1),19),".",""),"-","")),SEARCH("Karcher",TRIM(SUBSTITUTE(SUBSTITUTE(MID(Общий!B491,SEARCH("Karcher",Общий!B491,1),19),".",""),"-","")),1)+8,8)),VALUE(LEFT(SUBSTITUTE(SUBSTITUTE(Общий!B491,".",""),"-",""),8))))),0)</f>
        <v>0</v>
      </c>
      <c r="B491" s="25">
        <f>IFERROR(CONCATENATE(VALUE(IF(LEN(IFERROR(VALUE(MID(TRIM(SUBSTITUTE(SUBSTITUTE(MID(Общий!B491,SEARCH("Karcher",Общий!B491,1),19),".",""),"-","")),SEARCH("Karcher",TRIM(SUBSTITUTE(SUBSTITUTE(MID(Общий!B491,SEARCH("Karcher",Общий!B491,1),19),".",""),"-","")),1)+8,8)),VALUE(LEFT(SUBSTITUTE(SUBSTITUTE(Общий!B491,".",""),"-",""),8))))=7,CONCATENATE(IFERROR(VALUE(MID(TRIM(SUBSTITUTE(SUBSTITUTE(MID(Общий!B491,SEARCH("Karcher",Общий!B491,1),19),".",""),"-","")),SEARCH("Karcher",TRIM(SUBSTITUTE(SUBSTITUTE(MID(Общий!B491,SEARCH("Karcher",Общий!B491,1),19),".",""),"-","")),1)+8,8)),VALUE(LEFT(SUBSTITUTE(SUBSTITUTE(Общий!B491,".",""),"-",""),8))),"0"),IFERROR(VALUE(MID(TRIM(SUBSTITUTE(SUBSTITUTE(MID(Общий!B491,SEARCH("Karcher",Общий!B491,1),19),".",""),"-","")),SEARCH("Karcher",TRIM(SUBSTITUTE(SUBSTITUTE(MID(Общий!B491,SEARCH("Karcher",Общий!B491,1),19),".",""),"-","")),1)+8,8)),VALUE(LEFT(SUBSTITUTE(SUBSTITUTE(Общий!B491,".",""),"-",""),8)))))," ",Общий!C491),0)</f>
        <v>0</v>
      </c>
      <c r="C491" s="29" t="str">
        <f>Общий!A491</f>
        <v>483</v>
      </c>
      <c r="D491" s="27">
        <f>Общий!B491</f>
        <v>0</v>
      </c>
      <c r="E491" s="28">
        <f>Общий!C491</f>
        <v>0</v>
      </c>
      <c r="G491" s="44"/>
      <c r="H491" s="44"/>
      <c r="I491" s="44"/>
      <c r="J491" s="35"/>
    </row>
    <row r="492" spans="1:10">
      <c r="A492" s="31">
        <f>IFERROR(VALUE(IF(LEN(IFERROR(VALUE(MID(TRIM(SUBSTITUTE(SUBSTITUTE(MID(Общий!B492,SEARCH("Karcher",Общий!B492,1),19),".",""),"-","")),SEARCH("Karcher",TRIM(SUBSTITUTE(SUBSTITUTE(MID(Общий!B492,SEARCH("Karcher",Общий!B492,1),19),".",""),"-","")),1)+8,8)),VALUE(LEFT(SUBSTITUTE(SUBSTITUTE(Общий!B492,".",""),"-",""),8))))=7,CONCATENATE(IFERROR(VALUE(MID(TRIM(SUBSTITUTE(SUBSTITUTE(MID(Общий!B492,SEARCH("Karcher",Общий!B492,1),19),".",""),"-","")),SEARCH("Karcher",TRIM(SUBSTITUTE(SUBSTITUTE(MID(Общий!B492,SEARCH("Karcher",Общий!B492,1),19),".",""),"-","")),1)+8,8)),VALUE(LEFT(SUBSTITUTE(SUBSTITUTE(Общий!B492,".",""),"-",""),8))),"0"),IFERROR(VALUE(MID(TRIM(SUBSTITUTE(SUBSTITUTE(MID(Общий!B492,SEARCH("Karcher",Общий!B492,1),19),".",""),"-","")),SEARCH("Karcher",TRIM(SUBSTITUTE(SUBSTITUTE(MID(Общий!B492,SEARCH("Karcher",Общий!B492,1),19),".",""),"-","")),1)+8,8)),VALUE(LEFT(SUBSTITUTE(SUBSTITUTE(Общий!B492,".",""),"-",""),8))))),0)</f>
        <v>0</v>
      </c>
      <c r="B492" s="25">
        <f>IFERROR(CONCATENATE(VALUE(IF(LEN(IFERROR(VALUE(MID(TRIM(SUBSTITUTE(SUBSTITUTE(MID(Общий!B492,SEARCH("Karcher",Общий!B492,1),19),".",""),"-","")),SEARCH("Karcher",TRIM(SUBSTITUTE(SUBSTITUTE(MID(Общий!B492,SEARCH("Karcher",Общий!B492,1),19),".",""),"-","")),1)+8,8)),VALUE(LEFT(SUBSTITUTE(SUBSTITUTE(Общий!B492,".",""),"-",""),8))))=7,CONCATENATE(IFERROR(VALUE(MID(TRIM(SUBSTITUTE(SUBSTITUTE(MID(Общий!B492,SEARCH("Karcher",Общий!B492,1),19),".",""),"-","")),SEARCH("Karcher",TRIM(SUBSTITUTE(SUBSTITUTE(MID(Общий!B492,SEARCH("Karcher",Общий!B492,1),19),".",""),"-","")),1)+8,8)),VALUE(LEFT(SUBSTITUTE(SUBSTITUTE(Общий!B492,".",""),"-",""),8))),"0"),IFERROR(VALUE(MID(TRIM(SUBSTITUTE(SUBSTITUTE(MID(Общий!B492,SEARCH("Karcher",Общий!B492,1),19),".",""),"-","")),SEARCH("Karcher",TRIM(SUBSTITUTE(SUBSTITUTE(MID(Общий!B492,SEARCH("Karcher",Общий!B492,1),19),".",""),"-","")),1)+8,8)),VALUE(LEFT(SUBSTITUTE(SUBSTITUTE(Общий!B492,".",""),"-",""),8)))))," ",Общий!C492),0)</f>
        <v>0</v>
      </c>
      <c r="C492" s="29" t="str">
        <f>Общий!A492</f>
        <v>484</v>
      </c>
      <c r="D492" s="27">
        <f>Общий!B492</f>
        <v>0</v>
      </c>
      <c r="E492" s="28">
        <f>Общий!C492</f>
        <v>0</v>
      </c>
      <c r="G492" s="44"/>
      <c r="H492" s="44"/>
      <c r="I492" s="44"/>
      <c r="J492" s="35"/>
    </row>
    <row r="493" spans="1:10">
      <c r="A493" s="31">
        <f>IFERROR(VALUE(IF(LEN(IFERROR(VALUE(MID(TRIM(SUBSTITUTE(SUBSTITUTE(MID(Общий!B493,SEARCH("Karcher",Общий!B493,1),19),".",""),"-","")),SEARCH("Karcher",TRIM(SUBSTITUTE(SUBSTITUTE(MID(Общий!B493,SEARCH("Karcher",Общий!B493,1),19),".",""),"-","")),1)+8,8)),VALUE(LEFT(SUBSTITUTE(SUBSTITUTE(Общий!B493,".",""),"-",""),8))))=7,CONCATENATE(IFERROR(VALUE(MID(TRIM(SUBSTITUTE(SUBSTITUTE(MID(Общий!B493,SEARCH("Karcher",Общий!B493,1),19),".",""),"-","")),SEARCH("Karcher",TRIM(SUBSTITUTE(SUBSTITUTE(MID(Общий!B493,SEARCH("Karcher",Общий!B493,1),19),".",""),"-","")),1)+8,8)),VALUE(LEFT(SUBSTITUTE(SUBSTITUTE(Общий!B493,".",""),"-",""),8))),"0"),IFERROR(VALUE(MID(TRIM(SUBSTITUTE(SUBSTITUTE(MID(Общий!B493,SEARCH("Karcher",Общий!B493,1),19),".",""),"-","")),SEARCH("Karcher",TRIM(SUBSTITUTE(SUBSTITUTE(MID(Общий!B493,SEARCH("Karcher",Общий!B493,1),19),".",""),"-","")),1)+8,8)),VALUE(LEFT(SUBSTITUTE(SUBSTITUTE(Общий!B493,".",""),"-",""),8))))),0)</f>
        <v>0</v>
      </c>
      <c r="B493" s="25">
        <f>IFERROR(CONCATENATE(VALUE(IF(LEN(IFERROR(VALUE(MID(TRIM(SUBSTITUTE(SUBSTITUTE(MID(Общий!B493,SEARCH("Karcher",Общий!B493,1),19),".",""),"-","")),SEARCH("Karcher",TRIM(SUBSTITUTE(SUBSTITUTE(MID(Общий!B493,SEARCH("Karcher",Общий!B493,1),19),".",""),"-","")),1)+8,8)),VALUE(LEFT(SUBSTITUTE(SUBSTITUTE(Общий!B493,".",""),"-",""),8))))=7,CONCATENATE(IFERROR(VALUE(MID(TRIM(SUBSTITUTE(SUBSTITUTE(MID(Общий!B493,SEARCH("Karcher",Общий!B493,1),19),".",""),"-","")),SEARCH("Karcher",TRIM(SUBSTITUTE(SUBSTITUTE(MID(Общий!B493,SEARCH("Karcher",Общий!B493,1),19),".",""),"-","")),1)+8,8)),VALUE(LEFT(SUBSTITUTE(SUBSTITUTE(Общий!B493,".",""),"-",""),8))),"0"),IFERROR(VALUE(MID(TRIM(SUBSTITUTE(SUBSTITUTE(MID(Общий!B493,SEARCH("Karcher",Общий!B493,1),19),".",""),"-","")),SEARCH("Karcher",TRIM(SUBSTITUTE(SUBSTITUTE(MID(Общий!B493,SEARCH("Karcher",Общий!B493,1),19),".",""),"-","")),1)+8,8)),VALUE(LEFT(SUBSTITUTE(SUBSTITUTE(Общий!B493,".",""),"-",""),8)))))," ",Общий!C493),0)</f>
        <v>0</v>
      </c>
      <c r="C493" s="29" t="str">
        <f>Общий!A493</f>
        <v>485</v>
      </c>
      <c r="D493" s="27">
        <f>Общий!B493</f>
        <v>0</v>
      </c>
      <c r="E493" s="28">
        <f>Общий!C493</f>
        <v>0</v>
      </c>
      <c r="G493" s="44"/>
      <c r="H493" s="44"/>
      <c r="I493" s="44"/>
      <c r="J493" s="35"/>
    </row>
    <row r="494" spans="1:10">
      <c r="A494" s="31">
        <f>IFERROR(VALUE(IF(LEN(IFERROR(VALUE(MID(TRIM(SUBSTITUTE(SUBSTITUTE(MID(Общий!B494,SEARCH("Karcher",Общий!B494,1),19),".",""),"-","")),SEARCH("Karcher",TRIM(SUBSTITUTE(SUBSTITUTE(MID(Общий!B494,SEARCH("Karcher",Общий!B494,1),19),".",""),"-","")),1)+8,8)),VALUE(LEFT(SUBSTITUTE(SUBSTITUTE(Общий!B494,".",""),"-",""),8))))=7,CONCATENATE(IFERROR(VALUE(MID(TRIM(SUBSTITUTE(SUBSTITUTE(MID(Общий!B494,SEARCH("Karcher",Общий!B494,1),19),".",""),"-","")),SEARCH("Karcher",TRIM(SUBSTITUTE(SUBSTITUTE(MID(Общий!B494,SEARCH("Karcher",Общий!B494,1),19),".",""),"-","")),1)+8,8)),VALUE(LEFT(SUBSTITUTE(SUBSTITUTE(Общий!B494,".",""),"-",""),8))),"0"),IFERROR(VALUE(MID(TRIM(SUBSTITUTE(SUBSTITUTE(MID(Общий!B494,SEARCH("Karcher",Общий!B494,1),19),".",""),"-","")),SEARCH("Karcher",TRIM(SUBSTITUTE(SUBSTITUTE(MID(Общий!B494,SEARCH("Karcher",Общий!B494,1),19),".",""),"-","")),1)+8,8)),VALUE(LEFT(SUBSTITUTE(SUBSTITUTE(Общий!B494,".",""),"-",""),8))))),0)</f>
        <v>0</v>
      </c>
      <c r="B494" s="25">
        <f>IFERROR(CONCATENATE(VALUE(IF(LEN(IFERROR(VALUE(MID(TRIM(SUBSTITUTE(SUBSTITUTE(MID(Общий!B494,SEARCH("Karcher",Общий!B494,1),19),".",""),"-","")),SEARCH("Karcher",TRIM(SUBSTITUTE(SUBSTITUTE(MID(Общий!B494,SEARCH("Karcher",Общий!B494,1),19),".",""),"-","")),1)+8,8)),VALUE(LEFT(SUBSTITUTE(SUBSTITUTE(Общий!B494,".",""),"-",""),8))))=7,CONCATENATE(IFERROR(VALUE(MID(TRIM(SUBSTITUTE(SUBSTITUTE(MID(Общий!B494,SEARCH("Karcher",Общий!B494,1),19),".",""),"-","")),SEARCH("Karcher",TRIM(SUBSTITUTE(SUBSTITUTE(MID(Общий!B494,SEARCH("Karcher",Общий!B494,1),19),".",""),"-","")),1)+8,8)),VALUE(LEFT(SUBSTITUTE(SUBSTITUTE(Общий!B494,".",""),"-",""),8))),"0"),IFERROR(VALUE(MID(TRIM(SUBSTITUTE(SUBSTITUTE(MID(Общий!B494,SEARCH("Karcher",Общий!B494,1),19),".",""),"-","")),SEARCH("Karcher",TRIM(SUBSTITUTE(SUBSTITUTE(MID(Общий!B494,SEARCH("Karcher",Общий!B494,1),19),".",""),"-","")),1)+8,8)),VALUE(LEFT(SUBSTITUTE(SUBSTITUTE(Общий!B494,".",""),"-",""),8)))))," ",Общий!C494),0)</f>
        <v>0</v>
      </c>
      <c r="C494" s="29" t="str">
        <f>Общий!A494</f>
        <v>486</v>
      </c>
      <c r="D494" s="27">
        <f>Общий!B494</f>
        <v>0</v>
      </c>
      <c r="E494" s="28">
        <f>Общий!C494</f>
        <v>0</v>
      </c>
      <c r="G494" s="44"/>
      <c r="H494" s="44"/>
      <c r="I494" s="44"/>
      <c r="J494" s="35"/>
    </row>
    <row r="495" spans="1:10">
      <c r="A495" s="31">
        <f>IFERROR(VALUE(IF(LEN(IFERROR(VALUE(MID(TRIM(SUBSTITUTE(SUBSTITUTE(MID(Общий!B495,SEARCH("Karcher",Общий!B495,1),19),".",""),"-","")),SEARCH("Karcher",TRIM(SUBSTITUTE(SUBSTITUTE(MID(Общий!B495,SEARCH("Karcher",Общий!B495,1),19),".",""),"-","")),1)+8,8)),VALUE(LEFT(SUBSTITUTE(SUBSTITUTE(Общий!B495,".",""),"-",""),8))))=7,CONCATENATE(IFERROR(VALUE(MID(TRIM(SUBSTITUTE(SUBSTITUTE(MID(Общий!B495,SEARCH("Karcher",Общий!B495,1),19),".",""),"-","")),SEARCH("Karcher",TRIM(SUBSTITUTE(SUBSTITUTE(MID(Общий!B495,SEARCH("Karcher",Общий!B495,1),19),".",""),"-","")),1)+8,8)),VALUE(LEFT(SUBSTITUTE(SUBSTITUTE(Общий!B495,".",""),"-",""),8))),"0"),IFERROR(VALUE(MID(TRIM(SUBSTITUTE(SUBSTITUTE(MID(Общий!B495,SEARCH("Karcher",Общий!B495,1),19),".",""),"-","")),SEARCH("Karcher",TRIM(SUBSTITUTE(SUBSTITUTE(MID(Общий!B495,SEARCH("Karcher",Общий!B495,1),19),".",""),"-","")),1)+8,8)),VALUE(LEFT(SUBSTITUTE(SUBSTITUTE(Общий!B495,".",""),"-",""),8))))),0)</f>
        <v>0</v>
      </c>
      <c r="B495" s="25">
        <f>IFERROR(CONCATENATE(VALUE(IF(LEN(IFERROR(VALUE(MID(TRIM(SUBSTITUTE(SUBSTITUTE(MID(Общий!B495,SEARCH("Karcher",Общий!B495,1),19),".",""),"-","")),SEARCH("Karcher",TRIM(SUBSTITUTE(SUBSTITUTE(MID(Общий!B495,SEARCH("Karcher",Общий!B495,1),19),".",""),"-","")),1)+8,8)),VALUE(LEFT(SUBSTITUTE(SUBSTITUTE(Общий!B495,".",""),"-",""),8))))=7,CONCATENATE(IFERROR(VALUE(MID(TRIM(SUBSTITUTE(SUBSTITUTE(MID(Общий!B495,SEARCH("Karcher",Общий!B495,1),19),".",""),"-","")),SEARCH("Karcher",TRIM(SUBSTITUTE(SUBSTITUTE(MID(Общий!B495,SEARCH("Karcher",Общий!B495,1),19),".",""),"-","")),1)+8,8)),VALUE(LEFT(SUBSTITUTE(SUBSTITUTE(Общий!B495,".",""),"-",""),8))),"0"),IFERROR(VALUE(MID(TRIM(SUBSTITUTE(SUBSTITUTE(MID(Общий!B495,SEARCH("Karcher",Общий!B495,1),19),".",""),"-","")),SEARCH("Karcher",TRIM(SUBSTITUTE(SUBSTITUTE(MID(Общий!B495,SEARCH("Karcher",Общий!B495,1),19),".",""),"-","")),1)+8,8)),VALUE(LEFT(SUBSTITUTE(SUBSTITUTE(Общий!B495,".",""),"-",""),8)))))," ",Общий!C495),0)</f>
        <v>0</v>
      </c>
      <c r="C495" s="29" t="str">
        <f>Общий!A495</f>
        <v>487</v>
      </c>
      <c r="D495" s="27">
        <f>Общий!B495</f>
        <v>0</v>
      </c>
      <c r="E495" s="28">
        <f>Общий!C495</f>
        <v>0</v>
      </c>
      <c r="G495" s="44"/>
      <c r="H495" s="44"/>
      <c r="I495" s="44"/>
      <c r="J495" s="35"/>
    </row>
    <row r="496" spans="1:10">
      <c r="A496" s="31">
        <f>IFERROR(VALUE(IF(LEN(IFERROR(VALUE(MID(TRIM(SUBSTITUTE(SUBSTITUTE(MID(Общий!B496,SEARCH("Karcher",Общий!B496,1),19),".",""),"-","")),SEARCH("Karcher",TRIM(SUBSTITUTE(SUBSTITUTE(MID(Общий!B496,SEARCH("Karcher",Общий!B496,1),19),".",""),"-","")),1)+8,8)),VALUE(LEFT(SUBSTITUTE(SUBSTITUTE(Общий!B496,".",""),"-",""),8))))=7,CONCATENATE(IFERROR(VALUE(MID(TRIM(SUBSTITUTE(SUBSTITUTE(MID(Общий!B496,SEARCH("Karcher",Общий!B496,1),19),".",""),"-","")),SEARCH("Karcher",TRIM(SUBSTITUTE(SUBSTITUTE(MID(Общий!B496,SEARCH("Karcher",Общий!B496,1),19),".",""),"-","")),1)+8,8)),VALUE(LEFT(SUBSTITUTE(SUBSTITUTE(Общий!B496,".",""),"-",""),8))),"0"),IFERROR(VALUE(MID(TRIM(SUBSTITUTE(SUBSTITUTE(MID(Общий!B496,SEARCH("Karcher",Общий!B496,1),19),".",""),"-","")),SEARCH("Karcher",TRIM(SUBSTITUTE(SUBSTITUTE(MID(Общий!B496,SEARCH("Karcher",Общий!B496,1),19),".",""),"-","")),1)+8,8)),VALUE(LEFT(SUBSTITUTE(SUBSTITUTE(Общий!B496,".",""),"-",""),8))))),0)</f>
        <v>0</v>
      </c>
      <c r="B496" s="25">
        <f>IFERROR(CONCATENATE(VALUE(IF(LEN(IFERROR(VALUE(MID(TRIM(SUBSTITUTE(SUBSTITUTE(MID(Общий!B496,SEARCH("Karcher",Общий!B496,1),19),".",""),"-","")),SEARCH("Karcher",TRIM(SUBSTITUTE(SUBSTITUTE(MID(Общий!B496,SEARCH("Karcher",Общий!B496,1),19),".",""),"-","")),1)+8,8)),VALUE(LEFT(SUBSTITUTE(SUBSTITUTE(Общий!B496,".",""),"-",""),8))))=7,CONCATENATE(IFERROR(VALUE(MID(TRIM(SUBSTITUTE(SUBSTITUTE(MID(Общий!B496,SEARCH("Karcher",Общий!B496,1),19),".",""),"-","")),SEARCH("Karcher",TRIM(SUBSTITUTE(SUBSTITUTE(MID(Общий!B496,SEARCH("Karcher",Общий!B496,1),19),".",""),"-","")),1)+8,8)),VALUE(LEFT(SUBSTITUTE(SUBSTITUTE(Общий!B496,".",""),"-",""),8))),"0"),IFERROR(VALUE(MID(TRIM(SUBSTITUTE(SUBSTITUTE(MID(Общий!B496,SEARCH("Karcher",Общий!B496,1),19),".",""),"-","")),SEARCH("Karcher",TRIM(SUBSTITUTE(SUBSTITUTE(MID(Общий!B496,SEARCH("Karcher",Общий!B496,1),19),".",""),"-","")),1)+8,8)),VALUE(LEFT(SUBSTITUTE(SUBSTITUTE(Общий!B496,".",""),"-",""),8)))))," ",Общий!C496),0)</f>
        <v>0</v>
      </c>
      <c r="C496" s="29" t="str">
        <f>Общий!A496</f>
        <v>488</v>
      </c>
      <c r="D496" s="27">
        <f>Общий!B496</f>
        <v>0</v>
      </c>
      <c r="E496" s="28">
        <f>Общий!C496</f>
        <v>0</v>
      </c>
      <c r="G496" s="44"/>
      <c r="H496" s="44"/>
      <c r="I496" s="44"/>
      <c r="J496" s="35"/>
    </row>
    <row r="497" spans="1:10">
      <c r="A497" s="31">
        <f>IFERROR(VALUE(IF(LEN(IFERROR(VALUE(MID(TRIM(SUBSTITUTE(SUBSTITUTE(MID(Общий!B497,SEARCH("Karcher",Общий!B497,1),19),".",""),"-","")),SEARCH("Karcher",TRIM(SUBSTITUTE(SUBSTITUTE(MID(Общий!B497,SEARCH("Karcher",Общий!B497,1),19),".",""),"-","")),1)+8,8)),VALUE(LEFT(SUBSTITUTE(SUBSTITUTE(Общий!B497,".",""),"-",""),8))))=7,CONCATENATE(IFERROR(VALUE(MID(TRIM(SUBSTITUTE(SUBSTITUTE(MID(Общий!B497,SEARCH("Karcher",Общий!B497,1),19),".",""),"-","")),SEARCH("Karcher",TRIM(SUBSTITUTE(SUBSTITUTE(MID(Общий!B497,SEARCH("Karcher",Общий!B497,1),19),".",""),"-","")),1)+8,8)),VALUE(LEFT(SUBSTITUTE(SUBSTITUTE(Общий!B497,".",""),"-",""),8))),"0"),IFERROR(VALUE(MID(TRIM(SUBSTITUTE(SUBSTITUTE(MID(Общий!B497,SEARCH("Karcher",Общий!B497,1),19),".",""),"-","")),SEARCH("Karcher",TRIM(SUBSTITUTE(SUBSTITUTE(MID(Общий!B497,SEARCH("Karcher",Общий!B497,1),19),".",""),"-","")),1)+8,8)),VALUE(LEFT(SUBSTITUTE(SUBSTITUTE(Общий!B497,".",""),"-",""),8))))),0)</f>
        <v>0</v>
      </c>
      <c r="B497" s="25">
        <f>IFERROR(CONCATENATE(VALUE(IF(LEN(IFERROR(VALUE(MID(TRIM(SUBSTITUTE(SUBSTITUTE(MID(Общий!B497,SEARCH("Karcher",Общий!B497,1),19),".",""),"-","")),SEARCH("Karcher",TRIM(SUBSTITUTE(SUBSTITUTE(MID(Общий!B497,SEARCH("Karcher",Общий!B497,1),19),".",""),"-","")),1)+8,8)),VALUE(LEFT(SUBSTITUTE(SUBSTITUTE(Общий!B497,".",""),"-",""),8))))=7,CONCATENATE(IFERROR(VALUE(MID(TRIM(SUBSTITUTE(SUBSTITUTE(MID(Общий!B497,SEARCH("Karcher",Общий!B497,1),19),".",""),"-","")),SEARCH("Karcher",TRIM(SUBSTITUTE(SUBSTITUTE(MID(Общий!B497,SEARCH("Karcher",Общий!B497,1),19),".",""),"-","")),1)+8,8)),VALUE(LEFT(SUBSTITUTE(SUBSTITUTE(Общий!B497,".",""),"-",""),8))),"0"),IFERROR(VALUE(MID(TRIM(SUBSTITUTE(SUBSTITUTE(MID(Общий!B497,SEARCH("Karcher",Общий!B497,1),19),".",""),"-","")),SEARCH("Karcher",TRIM(SUBSTITUTE(SUBSTITUTE(MID(Общий!B497,SEARCH("Karcher",Общий!B497,1),19),".",""),"-","")),1)+8,8)),VALUE(LEFT(SUBSTITUTE(SUBSTITUTE(Общий!B497,".",""),"-",""),8)))))," ",Общий!C497),0)</f>
        <v>0</v>
      </c>
      <c r="C497" s="29" t="str">
        <f>Общий!A497</f>
        <v>489</v>
      </c>
      <c r="D497" s="27">
        <f>Общий!B497</f>
        <v>0</v>
      </c>
      <c r="E497" s="28">
        <f>Общий!C497</f>
        <v>0</v>
      </c>
      <c r="G497" s="44"/>
      <c r="H497" s="44"/>
      <c r="I497" s="44"/>
      <c r="J497" s="35"/>
    </row>
    <row r="498" spans="1:10">
      <c r="A498" s="31">
        <f>IFERROR(VALUE(IF(LEN(IFERROR(VALUE(MID(TRIM(SUBSTITUTE(SUBSTITUTE(MID(Общий!B498,SEARCH("Karcher",Общий!B498,1),19),".",""),"-","")),SEARCH("Karcher",TRIM(SUBSTITUTE(SUBSTITUTE(MID(Общий!B498,SEARCH("Karcher",Общий!B498,1),19),".",""),"-","")),1)+8,8)),VALUE(LEFT(SUBSTITUTE(SUBSTITUTE(Общий!B498,".",""),"-",""),8))))=7,CONCATENATE(IFERROR(VALUE(MID(TRIM(SUBSTITUTE(SUBSTITUTE(MID(Общий!B498,SEARCH("Karcher",Общий!B498,1),19),".",""),"-","")),SEARCH("Karcher",TRIM(SUBSTITUTE(SUBSTITUTE(MID(Общий!B498,SEARCH("Karcher",Общий!B498,1),19),".",""),"-","")),1)+8,8)),VALUE(LEFT(SUBSTITUTE(SUBSTITUTE(Общий!B498,".",""),"-",""),8))),"0"),IFERROR(VALUE(MID(TRIM(SUBSTITUTE(SUBSTITUTE(MID(Общий!B498,SEARCH("Karcher",Общий!B498,1),19),".",""),"-","")),SEARCH("Karcher",TRIM(SUBSTITUTE(SUBSTITUTE(MID(Общий!B498,SEARCH("Karcher",Общий!B498,1),19),".",""),"-","")),1)+8,8)),VALUE(LEFT(SUBSTITUTE(SUBSTITUTE(Общий!B498,".",""),"-",""),8))))),0)</f>
        <v>0</v>
      </c>
      <c r="B498" s="25">
        <f>IFERROR(CONCATENATE(VALUE(IF(LEN(IFERROR(VALUE(MID(TRIM(SUBSTITUTE(SUBSTITUTE(MID(Общий!B498,SEARCH("Karcher",Общий!B498,1),19),".",""),"-","")),SEARCH("Karcher",TRIM(SUBSTITUTE(SUBSTITUTE(MID(Общий!B498,SEARCH("Karcher",Общий!B498,1),19),".",""),"-","")),1)+8,8)),VALUE(LEFT(SUBSTITUTE(SUBSTITUTE(Общий!B498,".",""),"-",""),8))))=7,CONCATENATE(IFERROR(VALUE(MID(TRIM(SUBSTITUTE(SUBSTITUTE(MID(Общий!B498,SEARCH("Karcher",Общий!B498,1),19),".",""),"-","")),SEARCH("Karcher",TRIM(SUBSTITUTE(SUBSTITUTE(MID(Общий!B498,SEARCH("Karcher",Общий!B498,1),19),".",""),"-","")),1)+8,8)),VALUE(LEFT(SUBSTITUTE(SUBSTITUTE(Общий!B498,".",""),"-",""),8))),"0"),IFERROR(VALUE(MID(TRIM(SUBSTITUTE(SUBSTITUTE(MID(Общий!B498,SEARCH("Karcher",Общий!B498,1),19),".",""),"-","")),SEARCH("Karcher",TRIM(SUBSTITUTE(SUBSTITUTE(MID(Общий!B498,SEARCH("Karcher",Общий!B498,1),19),".",""),"-","")),1)+8,8)),VALUE(LEFT(SUBSTITUTE(SUBSTITUTE(Общий!B498,".",""),"-",""),8)))))," ",Общий!C498),0)</f>
        <v>0</v>
      </c>
      <c r="C498" s="29" t="str">
        <f>Общий!A498</f>
        <v>490</v>
      </c>
      <c r="D498" s="27">
        <f>Общий!B498</f>
        <v>0</v>
      </c>
      <c r="E498" s="28">
        <f>Общий!C498</f>
        <v>0</v>
      </c>
      <c r="G498" s="44"/>
      <c r="H498" s="44"/>
      <c r="I498" s="44"/>
      <c r="J498" s="35"/>
    </row>
    <row r="499" spans="1:10">
      <c r="A499" s="31">
        <f>IFERROR(VALUE(IF(LEN(IFERROR(VALUE(MID(TRIM(SUBSTITUTE(SUBSTITUTE(MID(Общий!B499,SEARCH("Karcher",Общий!B499,1),19),".",""),"-","")),SEARCH("Karcher",TRIM(SUBSTITUTE(SUBSTITUTE(MID(Общий!B499,SEARCH("Karcher",Общий!B499,1),19),".",""),"-","")),1)+8,8)),VALUE(LEFT(SUBSTITUTE(SUBSTITUTE(Общий!B499,".",""),"-",""),8))))=7,CONCATENATE(IFERROR(VALUE(MID(TRIM(SUBSTITUTE(SUBSTITUTE(MID(Общий!B499,SEARCH("Karcher",Общий!B499,1),19),".",""),"-","")),SEARCH("Karcher",TRIM(SUBSTITUTE(SUBSTITUTE(MID(Общий!B499,SEARCH("Karcher",Общий!B499,1),19),".",""),"-","")),1)+8,8)),VALUE(LEFT(SUBSTITUTE(SUBSTITUTE(Общий!B499,".",""),"-",""),8))),"0"),IFERROR(VALUE(MID(TRIM(SUBSTITUTE(SUBSTITUTE(MID(Общий!B499,SEARCH("Karcher",Общий!B499,1),19),".",""),"-","")),SEARCH("Karcher",TRIM(SUBSTITUTE(SUBSTITUTE(MID(Общий!B499,SEARCH("Karcher",Общий!B499,1),19),".",""),"-","")),1)+8,8)),VALUE(LEFT(SUBSTITUTE(SUBSTITUTE(Общий!B499,".",""),"-",""),8))))),0)</f>
        <v>0</v>
      </c>
      <c r="B499" s="25">
        <f>IFERROR(CONCATENATE(VALUE(IF(LEN(IFERROR(VALUE(MID(TRIM(SUBSTITUTE(SUBSTITUTE(MID(Общий!B499,SEARCH("Karcher",Общий!B499,1),19),".",""),"-","")),SEARCH("Karcher",TRIM(SUBSTITUTE(SUBSTITUTE(MID(Общий!B499,SEARCH("Karcher",Общий!B499,1),19),".",""),"-","")),1)+8,8)),VALUE(LEFT(SUBSTITUTE(SUBSTITUTE(Общий!B499,".",""),"-",""),8))))=7,CONCATENATE(IFERROR(VALUE(MID(TRIM(SUBSTITUTE(SUBSTITUTE(MID(Общий!B499,SEARCH("Karcher",Общий!B499,1),19),".",""),"-","")),SEARCH("Karcher",TRIM(SUBSTITUTE(SUBSTITUTE(MID(Общий!B499,SEARCH("Karcher",Общий!B499,1),19),".",""),"-","")),1)+8,8)),VALUE(LEFT(SUBSTITUTE(SUBSTITUTE(Общий!B499,".",""),"-",""),8))),"0"),IFERROR(VALUE(MID(TRIM(SUBSTITUTE(SUBSTITUTE(MID(Общий!B499,SEARCH("Karcher",Общий!B499,1),19),".",""),"-","")),SEARCH("Karcher",TRIM(SUBSTITUTE(SUBSTITUTE(MID(Общий!B499,SEARCH("Karcher",Общий!B499,1),19),".",""),"-","")),1)+8,8)),VALUE(LEFT(SUBSTITUTE(SUBSTITUTE(Общий!B499,".",""),"-",""),8)))))," ",Общий!C499),0)</f>
        <v>0</v>
      </c>
      <c r="C499" s="29" t="str">
        <f>Общий!A499</f>
        <v>491</v>
      </c>
      <c r="D499" s="27">
        <f>Общий!B499</f>
        <v>0</v>
      </c>
      <c r="E499" s="28">
        <f>Общий!C499</f>
        <v>0</v>
      </c>
      <c r="G499" s="44"/>
      <c r="H499" s="44"/>
      <c r="I499" s="44"/>
      <c r="J499" s="35"/>
    </row>
    <row r="500" spans="1:10">
      <c r="A500" s="31">
        <f>IFERROR(VALUE(IF(LEN(IFERROR(VALUE(MID(TRIM(SUBSTITUTE(SUBSTITUTE(MID(Общий!B500,SEARCH("Karcher",Общий!B500,1),19),".",""),"-","")),SEARCH("Karcher",TRIM(SUBSTITUTE(SUBSTITUTE(MID(Общий!B500,SEARCH("Karcher",Общий!B500,1),19),".",""),"-","")),1)+8,8)),VALUE(LEFT(SUBSTITUTE(SUBSTITUTE(Общий!B500,".",""),"-",""),8))))=7,CONCATENATE(IFERROR(VALUE(MID(TRIM(SUBSTITUTE(SUBSTITUTE(MID(Общий!B500,SEARCH("Karcher",Общий!B500,1),19),".",""),"-","")),SEARCH("Karcher",TRIM(SUBSTITUTE(SUBSTITUTE(MID(Общий!B500,SEARCH("Karcher",Общий!B500,1),19),".",""),"-","")),1)+8,8)),VALUE(LEFT(SUBSTITUTE(SUBSTITUTE(Общий!B500,".",""),"-",""),8))),"0"),IFERROR(VALUE(MID(TRIM(SUBSTITUTE(SUBSTITUTE(MID(Общий!B500,SEARCH("Karcher",Общий!B500,1),19),".",""),"-","")),SEARCH("Karcher",TRIM(SUBSTITUTE(SUBSTITUTE(MID(Общий!B500,SEARCH("Karcher",Общий!B500,1),19),".",""),"-","")),1)+8,8)),VALUE(LEFT(SUBSTITUTE(SUBSTITUTE(Общий!B500,".",""),"-",""),8))))),0)</f>
        <v>0</v>
      </c>
      <c r="B500" s="25">
        <f>IFERROR(CONCATENATE(VALUE(IF(LEN(IFERROR(VALUE(MID(TRIM(SUBSTITUTE(SUBSTITUTE(MID(Общий!B500,SEARCH("Karcher",Общий!B500,1),19),".",""),"-","")),SEARCH("Karcher",TRIM(SUBSTITUTE(SUBSTITUTE(MID(Общий!B500,SEARCH("Karcher",Общий!B500,1),19),".",""),"-","")),1)+8,8)),VALUE(LEFT(SUBSTITUTE(SUBSTITUTE(Общий!B500,".",""),"-",""),8))))=7,CONCATENATE(IFERROR(VALUE(MID(TRIM(SUBSTITUTE(SUBSTITUTE(MID(Общий!B500,SEARCH("Karcher",Общий!B500,1),19),".",""),"-","")),SEARCH("Karcher",TRIM(SUBSTITUTE(SUBSTITUTE(MID(Общий!B500,SEARCH("Karcher",Общий!B500,1),19),".",""),"-","")),1)+8,8)),VALUE(LEFT(SUBSTITUTE(SUBSTITUTE(Общий!B500,".",""),"-",""),8))),"0"),IFERROR(VALUE(MID(TRIM(SUBSTITUTE(SUBSTITUTE(MID(Общий!B500,SEARCH("Karcher",Общий!B500,1),19),".",""),"-","")),SEARCH("Karcher",TRIM(SUBSTITUTE(SUBSTITUTE(MID(Общий!B500,SEARCH("Karcher",Общий!B500,1),19),".",""),"-","")),1)+8,8)),VALUE(LEFT(SUBSTITUTE(SUBSTITUTE(Общий!B500,".",""),"-",""),8)))))," ",Общий!C500),0)</f>
        <v>0</v>
      </c>
      <c r="C500" s="29" t="str">
        <f>Общий!A500</f>
        <v>492</v>
      </c>
      <c r="D500" s="27">
        <f>Общий!B500</f>
        <v>0</v>
      </c>
      <c r="E500" s="28">
        <f>Общий!C500</f>
        <v>0</v>
      </c>
      <c r="G500" s="44"/>
      <c r="H500" s="44"/>
      <c r="I500" s="44"/>
      <c r="J500" s="35"/>
    </row>
    <row r="501" spans="1:10">
      <c r="A501" s="31">
        <f>IFERROR(VALUE(IF(LEN(IFERROR(VALUE(MID(TRIM(SUBSTITUTE(SUBSTITUTE(MID(Общий!B501,SEARCH("Karcher",Общий!B501,1),19),".",""),"-","")),SEARCH("Karcher",TRIM(SUBSTITUTE(SUBSTITUTE(MID(Общий!B501,SEARCH("Karcher",Общий!B501,1),19),".",""),"-","")),1)+8,8)),VALUE(LEFT(SUBSTITUTE(SUBSTITUTE(Общий!B501,".",""),"-",""),8))))=7,CONCATENATE(IFERROR(VALUE(MID(TRIM(SUBSTITUTE(SUBSTITUTE(MID(Общий!B501,SEARCH("Karcher",Общий!B501,1),19),".",""),"-","")),SEARCH("Karcher",TRIM(SUBSTITUTE(SUBSTITUTE(MID(Общий!B501,SEARCH("Karcher",Общий!B501,1),19),".",""),"-","")),1)+8,8)),VALUE(LEFT(SUBSTITUTE(SUBSTITUTE(Общий!B501,".",""),"-",""),8))),"0"),IFERROR(VALUE(MID(TRIM(SUBSTITUTE(SUBSTITUTE(MID(Общий!B501,SEARCH("Karcher",Общий!B501,1),19),".",""),"-","")),SEARCH("Karcher",TRIM(SUBSTITUTE(SUBSTITUTE(MID(Общий!B501,SEARCH("Karcher",Общий!B501,1),19),".",""),"-","")),1)+8,8)),VALUE(LEFT(SUBSTITUTE(SUBSTITUTE(Общий!B501,".",""),"-",""),8))))),0)</f>
        <v>0</v>
      </c>
      <c r="B501" s="25">
        <f>IFERROR(CONCATENATE(VALUE(IF(LEN(IFERROR(VALUE(MID(TRIM(SUBSTITUTE(SUBSTITUTE(MID(Общий!B501,SEARCH("Karcher",Общий!B501,1),19),".",""),"-","")),SEARCH("Karcher",TRIM(SUBSTITUTE(SUBSTITUTE(MID(Общий!B501,SEARCH("Karcher",Общий!B501,1),19),".",""),"-","")),1)+8,8)),VALUE(LEFT(SUBSTITUTE(SUBSTITUTE(Общий!B501,".",""),"-",""),8))))=7,CONCATENATE(IFERROR(VALUE(MID(TRIM(SUBSTITUTE(SUBSTITUTE(MID(Общий!B501,SEARCH("Karcher",Общий!B501,1),19),".",""),"-","")),SEARCH("Karcher",TRIM(SUBSTITUTE(SUBSTITUTE(MID(Общий!B501,SEARCH("Karcher",Общий!B501,1),19),".",""),"-","")),1)+8,8)),VALUE(LEFT(SUBSTITUTE(SUBSTITUTE(Общий!B501,".",""),"-",""),8))),"0"),IFERROR(VALUE(MID(TRIM(SUBSTITUTE(SUBSTITUTE(MID(Общий!B501,SEARCH("Karcher",Общий!B501,1),19),".",""),"-","")),SEARCH("Karcher",TRIM(SUBSTITUTE(SUBSTITUTE(MID(Общий!B501,SEARCH("Karcher",Общий!B501,1),19),".",""),"-","")),1)+8,8)),VALUE(LEFT(SUBSTITUTE(SUBSTITUTE(Общий!B501,".",""),"-",""),8)))))," ",Общий!C501),0)</f>
        <v>0</v>
      </c>
      <c r="C501" s="29" t="str">
        <f>Общий!A501</f>
        <v>493</v>
      </c>
      <c r="D501" s="27">
        <f>Общий!B501</f>
        <v>0</v>
      </c>
      <c r="E501" s="28">
        <f>Общий!C501</f>
        <v>0</v>
      </c>
      <c r="G501" s="44"/>
      <c r="H501" s="44"/>
      <c r="I501" s="44"/>
      <c r="J501" s="35"/>
    </row>
    <row r="502" spans="1:10">
      <c r="A502" s="31">
        <f>IFERROR(VALUE(IF(LEN(IFERROR(VALUE(MID(TRIM(SUBSTITUTE(SUBSTITUTE(MID(Общий!B502,SEARCH("Karcher",Общий!B502,1),19),".",""),"-","")),SEARCH("Karcher",TRIM(SUBSTITUTE(SUBSTITUTE(MID(Общий!B502,SEARCH("Karcher",Общий!B502,1),19),".",""),"-","")),1)+8,8)),VALUE(LEFT(SUBSTITUTE(SUBSTITUTE(Общий!B502,".",""),"-",""),8))))=7,CONCATENATE(IFERROR(VALUE(MID(TRIM(SUBSTITUTE(SUBSTITUTE(MID(Общий!B502,SEARCH("Karcher",Общий!B502,1),19),".",""),"-","")),SEARCH("Karcher",TRIM(SUBSTITUTE(SUBSTITUTE(MID(Общий!B502,SEARCH("Karcher",Общий!B502,1),19),".",""),"-","")),1)+8,8)),VALUE(LEFT(SUBSTITUTE(SUBSTITUTE(Общий!B502,".",""),"-",""),8))),"0"),IFERROR(VALUE(MID(TRIM(SUBSTITUTE(SUBSTITUTE(MID(Общий!B502,SEARCH("Karcher",Общий!B502,1),19),".",""),"-","")),SEARCH("Karcher",TRIM(SUBSTITUTE(SUBSTITUTE(MID(Общий!B502,SEARCH("Karcher",Общий!B502,1),19),".",""),"-","")),1)+8,8)),VALUE(LEFT(SUBSTITUTE(SUBSTITUTE(Общий!B502,".",""),"-",""),8))))),0)</f>
        <v>0</v>
      </c>
      <c r="B502" s="25">
        <f>IFERROR(CONCATENATE(VALUE(IF(LEN(IFERROR(VALUE(MID(TRIM(SUBSTITUTE(SUBSTITUTE(MID(Общий!B502,SEARCH("Karcher",Общий!B502,1),19),".",""),"-","")),SEARCH("Karcher",TRIM(SUBSTITUTE(SUBSTITUTE(MID(Общий!B502,SEARCH("Karcher",Общий!B502,1),19),".",""),"-","")),1)+8,8)),VALUE(LEFT(SUBSTITUTE(SUBSTITUTE(Общий!B502,".",""),"-",""),8))))=7,CONCATENATE(IFERROR(VALUE(MID(TRIM(SUBSTITUTE(SUBSTITUTE(MID(Общий!B502,SEARCH("Karcher",Общий!B502,1),19),".",""),"-","")),SEARCH("Karcher",TRIM(SUBSTITUTE(SUBSTITUTE(MID(Общий!B502,SEARCH("Karcher",Общий!B502,1),19),".",""),"-","")),1)+8,8)),VALUE(LEFT(SUBSTITUTE(SUBSTITUTE(Общий!B502,".",""),"-",""),8))),"0"),IFERROR(VALUE(MID(TRIM(SUBSTITUTE(SUBSTITUTE(MID(Общий!B502,SEARCH("Karcher",Общий!B502,1),19),".",""),"-","")),SEARCH("Karcher",TRIM(SUBSTITUTE(SUBSTITUTE(MID(Общий!B502,SEARCH("Karcher",Общий!B502,1),19),".",""),"-","")),1)+8,8)),VALUE(LEFT(SUBSTITUTE(SUBSTITUTE(Общий!B502,".",""),"-",""),8)))))," ",Общий!C502),0)</f>
        <v>0</v>
      </c>
      <c r="C502" s="29" t="str">
        <f>Общий!A502</f>
        <v>494</v>
      </c>
      <c r="D502" s="27">
        <f>Общий!B502</f>
        <v>0</v>
      </c>
      <c r="E502" s="28">
        <f>Общий!C502</f>
        <v>0</v>
      </c>
      <c r="G502" s="44"/>
      <c r="H502" s="44"/>
      <c r="I502" s="44"/>
      <c r="J502" s="35"/>
    </row>
    <row r="503" spans="1:10">
      <c r="A503" s="31">
        <f>IFERROR(VALUE(IF(LEN(IFERROR(VALUE(MID(TRIM(SUBSTITUTE(SUBSTITUTE(MID(Общий!B503,SEARCH("Karcher",Общий!B503,1),19),".",""),"-","")),SEARCH("Karcher",TRIM(SUBSTITUTE(SUBSTITUTE(MID(Общий!B503,SEARCH("Karcher",Общий!B503,1),19),".",""),"-","")),1)+8,8)),VALUE(LEFT(SUBSTITUTE(SUBSTITUTE(Общий!B503,".",""),"-",""),8))))=7,CONCATENATE(IFERROR(VALUE(MID(TRIM(SUBSTITUTE(SUBSTITUTE(MID(Общий!B503,SEARCH("Karcher",Общий!B503,1),19),".",""),"-","")),SEARCH("Karcher",TRIM(SUBSTITUTE(SUBSTITUTE(MID(Общий!B503,SEARCH("Karcher",Общий!B503,1),19),".",""),"-","")),1)+8,8)),VALUE(LEFT(SUBSTITUTE(SUBSTITUTE(Общий!B503,".",""),"-",""),8))),"0"),IFERROR(VALUE(MID(TRIM(SUBSTITUTE(SUBSTITUTE(MID(Общий!B503,SEARCH("Karcher",Общий!B503,1),19),".",""),"-","")),SEARCH("Karcher",TRIM(SUBSTITUTE(SUBSTITUTE(MID(Общий!B503,SEARCH("Karcher",Общий!B503,1),19),".",""),"-","")),1)+8,8)),VALUE(LEFT(SUBSTITUTE(SUBSTITUTE(Общий!B503,".",""),"-",""),8))))),0)</f>
        <v>0</v>
      </c>
      <c r="B503" s="25">
        <f>IFERROR(CONCATENATE(VALUE(IF(LEN(IFERROR(VALUE(MID(TRIM(SUBSTITUTE(SUBSTITUTE(MID(Общий!B503,SEARCH("Karcher",Общий!B503,1),19),".",""),"-","")),SEARCH("Karcher",TRIM(SUBSTITUTE(SUBSTITUTE(MID(Общий!B503,SEARCH("Karcher",Общий!B503,1),19),".",""),"-","")),1)+8,8)),VALUE(LEFT(SUBSTITUTE(SUBSTITUTE(Общий!B503,".",""),"-",""),8))))=7,CONCATENATE(IFERROR(VALUE(MID(TRIM(SUBSTITUTE(SUBSTITUTE(MID(Общий!B503,SEARCH("Karcher",Общий!B503,1),19),".",""),"-","")),SEARCH("Karcher",TRIM(SUBSTITUTE(SUBSTITUTE(MID(Общий!B503,SEARCH("Karcher",Общий!B503,1),19),".",""),"-","")),1)+8,8)),VALUE(LEFT(SUBSTITUTE(SUBSTITUTE(Общий!B503,".",""),"-",""),8))),"0"),IFERROR(VALUE(MID(TRIM(SUBSTITUTE(SUBSTITUTE(MID(Общий!B503,SEARCH("Karcher",Общий!B503,1),19),".",""),"-","")),SEARCH("Karcher",TRIM(SUBSTITUTE(SUBSTITUTE(MID(Общий!B503,SEARCH("Karcher",Общий!B503,1),19),".",""),"-","")),1)+8,8)),VALUE(LEFT(SUBSTITUTE(SUBSTITUTE(Общий!B503,".",""),"-",""),8)))))," ",Общий!C503),0)</f>
        <v>0</v>
      </c>
      <c r="C503" s="29" t="str">
        <f>Общий!A503</f>
        <v>495</v>
      </c>
      <c r="D503" s="27">
        <f>Общий!B503</f>
        <v>0</v>
      </c>
      <c r="E503" s="28">
        <f>Общий!C503</f>
        <v>0</v>
      </c>
      <c r="G503" s="44"/>
      <c r="H503" s="44"/>
      <c r="I503" s="44"/>
      <c r="J503" s="35"/>
    </row>
    <row r="504" spans="1:10">
      <c r="A504" s="31">
        <f>IFERROR(VALUE(IF(LEN(IFERROR(VALUE(MID(TRIM(SUBSTITUTE(SUBSTITUTE(MID(Общий!B504,SEARCH("Karcher",Общий!B504,1),19),".",""),"-","")),SEARCH("Karcher",TRIM(SUBSTITUTE(SUBSTITUTE(MID(Общий!B504,SEARCH("Karcher",Общий!B504,1),19),".",""),"-","")),1)+8,8)),VALUE(LEFT(SUBSTITUTE(SUBSTITUTE(Общий!B504,".",""),"-",""),8))))=7,CONCATENATE(IFERROR(VALUE(MID(TRIM(SUBSTITUTE(SUBSTITUTE(MID(Общий!B504,SEARCH("Karcher",Общий!B504,1),19),".",""),"-","")),SEARCH("Karcher",TRIM(SUBSTITUTE(SUBSTITUTE(MID(Общий!B504,SEARCH("Karcher",Общий!B504,1),19),".",""),"-","")),1)+8,8)),VALUE(LEFT(SUBSTITUTE(SUBSTITUTE(Общий!B504,".",""),"-",""),8))),"0"),IFERROR(VALUE(MID(TRIM(SUBSTITUTE(SUBSTITUTE(MID(Общий!B504,SEARCH("Karcher",Общий!B504,1),19),".",""),"-","")),SEARCH("Karcher",TRIM(SUBSTITUTE(SUBSTITUTE(MID(Общий!B504,SEARCH("Karcher",Общий!B504,1),19),".",""),"-","")),1)+8,8)),VALUE(LEFT(SUBSTITUTE(SUBSTITUTE(Общий!B504,".",""),"-",""),8))))),0)</f>
        <v>0</v>
      </c>
      <c r="B504" s="25">
        <f>IFERROR(CONCATENATE(VALUE(IF(LEN(IFERROR(VALUE(MID(TRIM(SUBSTITUTE(SUBSTITUTE(MID(Общий!B504,SEARCH("Karcher",Общий!B504,1),19),".",""),"-","")),SEARCH("Karcher",TRIM(SUBSTITUTE(SUBSTITUTE(MID(Общий!B504,SEARCH("Karcher",Общий!B504,1),19),".",""),"-","")),1)+8,8)),VALUE(LEFT(SUBSTITUTE(SUBSTITUTE(Общий!B504,".",""),"-",""),8))))=7,CONCATENATE(IFERROR(VALUE(MID(TRIM(SUBSTITUTE(SUBSTITUTE(MID(Общий!B504,SEARCH("Karcher",Общий!B504,1),19),".",""),"-","")),SEARCH("Karcher",TRIM(SUBSTITUTE(SUBSTITUTE(MID(Общий!B504,SEARCH("Karcher",Общий!B504,1),19),".",""),"-","")),1)+8,8)),VALUE(LEFT(SUBSTITUTE(SUBSTITUTE(Общий!B504,".",""),"-",""),8))),"0"),IFERROR(VALUE(MID(TRIM(SUBSTITUTE(SUBSTITUTE(MID(Общий!B504,SEARCH("Karcher",Общий!B504,1),19),".",""),"-","")),SEARCH("Karcher",TRIM(SUBSTITUTE(SUBSTITUTE(MID(Общий!B504,SEARCH("Karcher",Общий!B504,1),19),".",""),"-","")),1)+8,8)),VALUE(LEFT(SUBSTITUTE(SUBSTITUTE(Общий!B504,".",""),"-",""),8)))))," ",Общий!C504),0)</f>
        <v>0</v>
      </c>
      <c r="C504" s="29" t="str">
        <f>Общий!A504</f>
        <v>496</v>
      </c>
      <c r="D504" s="27">
        <f>Общий!B504</f>
        <v>0</v>
      </c>
      <c r="E504" s="28">
        <f>Общий!C504</f>
        <v>0</v>
      </c>
      <c r="G504" s="44"/>
      <c r="H504" s="44"/>
      <c r="I504" s="44"/>
      <c r="J504" s="35"/>
    </row>
    <row r="505" spans="1:10">
      <c r="A505" s="31">
        <f>IFERROR(VALUE(IF(LEN(IFERROR(VALUE(MID(TRIM(SUBSTITUTE(SUBSTITUTE(MID(Общий!B505,SEARCH("Karcher",Общий!B505,1),19),".",""),"-","")),SEARCH("Karcher",TRIM(SUBSTITUTE(SUBSTITUTE(MID(Общий!B505,SEARCH("Karcher",Общий!B505,1),19),".",""),"-","")),1)+8,8)),VALUE(LEFT(SUBSTITUTE(SUBSTITUTE(Общий!B505,".",""),"-",""),8))))=7,CONCATENATE(IFERROR(VALUE(MID(TRIM(SUBSTITUTE(SUBSTITUTE(MID(Общий!B505,SEARCH("Karcher",Общий!B505,1),19),".",""),"-","")),SEARCH("Karcher",TRIM(SUBSTITUTE(SUBSTITUTE(MID(Общий!B505,SEARCH("Karcher",Общий!B505,1),19),".",""),"-","")),1)+8,8)),VALUE(LEFT(SUBSTITUTE(SUBSTITUTE(Общий!B505,".",""),"-",""),8))),"0"),IFERROR(VALUE(MID(TRIM(SUBSTITUTE(SUBSTITUTE(MID(Общий!B505,SEARCH("Karcher",Общий!B505,1),19),".",""),"-","")),SEARCH("Karcher",TRIM(SUBSTITUTE(SUBSTITUTE(MID(Общий!B505,SEARCH("Karcher",Общий!B505,1),19),".",""),"-","")),1)+8,8)),VALUE(LEFT(SUBSTITUTE(SUBSTITUTE(Общий!B505,".",""),"-",""),8))))),0)</f>
        <v>0</v>
      </c>
      <c r="B505" s="25">
        <f>IFERROR(CONCATENATE(VALUE(IF(LEN(IFERROR(VALUE(MID(TRIM(SUBSTITUTE(SUBSTITUTE(MID(Общий!B505,SEARCH("Karcher",Общий!B505,1),19),".",""),"-","")),SEARCH("Karcher",TRIM(SUBSTITUTE(SUBSTITUTE(MID(Общий!B505,SEARCH("Karcher",Общий!B505,1),19),".",""),"-","")),1)+8,8)),VALUE(LEFT(SUBSTITUTE(SUBSTITUTE(Общий!B505,".",""),"-",""),8))))=7,CONCATENATE(IFERROR(VALUE(MID(TRIM(SUBSTITUTE(SUBSTITUTE(MID(Общий!B505,SEARCH("Karcher",Общий!B505,1),19),".",""),"-","")),SEARCH("Karcher",TRIM(SUBSTITUTE(SUBSTITUTE(MID(Общий!B505,SEARCH("Karcher",Общий!B505,1),19),".",""),"-","")),1)+8,8)),VALUE(LEFT(SUBSTITUTE(SUBSTITUTE(Общий!B505,".",""),"-",""),8))),"0"),IFERROR(VALUE(MID(TRIM(SUBSTITUTE(SUBSTITUTE(MID(Общий!B505,SEARCH("Karcher",Общий!B505,1),19),".",""),"-","")),SEARCH("Karcher",TRIM(SUBSTITUTE(SUBSTITUTE(MID(Общий!B505,SEARCH("Karcher",Общий!B505,1),19),".",""),"-","")),1)+8,8)),VALUE(LEFT(SUBSTITUTE(SUBSTITUTE(Общий!B505,".",""),"-",""),8)))))," ",Общий!C505),0)</f>
        <v>0</v>
      </c>
      <c r="C505" s="29" t="str">
        <f>Общий!A505</f>
        <v>497</v>
      </c>
      <c r="D505" s="27">
        <f>Общий!B505</f>
        <v>0</v>
      </c>
      <c r="E505" s="28">
        <f>Общий!C505</f>
        <v>0</v>
      </c>
      <c r="G505" s="44"/>
      <c r="H505" s="44"/>
      <c r="I505" s="44"/>
      <c r="J505" s="35"/>
    </row>
    <row r="506" spans="1:10">
      <c r="A506" s="31">
        <f>IFERROR(VALUE(IF(LEN(IFERROR(VALUE(MID(TRIM(SUBSTITUTE(SUBSTITUTE(MID(Общий!B506,SEARCH("Karcher",Общий!B506,1),19),".",""),"-","")),SEARCH("Karcher",TRIM(SUBSTITUTE(SUBSTITUTE(MID(Общий!B506,SEARCH("Karcher",Общий!B506,1),19),".",""),"-","")),1)+8,8)),VALUE(LEFT(SUBSTITUTE(SUBSTITUTE(Общий!B506,".",""),"-",""),8))))=7,CONCATENATE(IFERROR(VALUE(MID(TRIM(SUBSTITUTE(SUBSTITUTE(MID(Общий!B506,SEARCH("Karcher",Общий!B506,1),19),".",""),"-","")),SEARCH("Karcher",TRIM(SUBSTITUTE(SUBSTITUTE(MID(Общий!B506,SEARCH("Karcher",Общий!B506,1),19),".",""),"-","")),1)+8,8)),VALUE(LEFT(SUBSTITUTE(SUBSTITUTE(Общий!B506,".",""),"-",""),8))),"0"),IFERROR(VALUE(MID(TRIM(SUBSTITUTE(SUBSTITUTE(MID(Общий!B506,SEARCH("Karcher",Общий!B506,1),19),".",""),"-","")),SEARCH("Karcher",TRIM(SUBSTITUTE(SUBSTITUTE(MID(Общий!B506,SEARCH("Karcher",Общий!B506,1),19),".",""),"-","")),1)+8,8)),VALUE(LEFT(SUBSTITUTE(SUBSTITUTE(Общий!B506,".",""),"-",""),8))))),0)</f>
        <v>0</v>
      </c>
      <c r="B506" s="25">
        <f>IFERROR(CONCATENATE(VALUE(IF(LEN(IFERROR(VALUE(MID(TRIM(SUBSTITUTE(SUBSTITUTE(MID(Общий!B506,SEARCH("Karcher",Общий!B506,1),19),".",""),"-","")),SEARCH("Karcher",TRIM(SUBSTITUTE(SUBSTITUTE(MID(Общий!B506,SEARCH("Karcher",Общий!B506,1),19),".",""),"-","")),1)+8,8)),VALUE(LEFT(SUBSTITUTE(SUBSTITUTE(Общий!B506,".",""),"-",""),8))))=7,CONCATENATE(IFERROR(VALUE(MID(TRIM(SUBSTITUTE(SUBSTITUTE(MID(Общий!B506,SEARCH("Karcher",Общий!B506,1),19),".",""),"-","")),SEARCH("Karcher",TRIM(SUBSTITUTE(SUBSTITUTE(MID(Общий!B506,SEARCH("Karcher",Общий!B506,1),19),".",""),"-","")),1)+8,8)),VALUE(LEFT(SUBSTITUTE(SUBSTITUTE(Общий!B506,".",""),"-",""),8))),"0"),IFERROR(VALUE(MID(TRIM(SUBSTITUTE(SUBSTITUTE(MID(Общий!B506,SEARCH("Karcher",Общий!B506,1),19),".",""),"-","")),SEARCH("Karcher",TRIM(SUBSTITUTE(SUBSTITUTE(MID(Общий!B506,SEARCH("Karcher",Общий!B506,1),19),".",""),"-","")),1)+8,8)),VALUE(LEFT(SUBSTITUTE(SUBSTITUTE(Общий!B506,".",""),"-",""),8)))))," ",Общий!C506),0)</f>
        <v>0</v>
      </c>
      <c r="C506" s="29" t="str">
        <f>Общий!A506</f>
        <v>498</v>
      </c>
      <c r="D506" s="27">
        <f>Общий!B506</f>
        <v>0</v>
      </c>
      <c r="E506" s="28">
        <f>Общий!C506</f>
        <v>0</v>
      </c>
      <c r="G506" s="44"/>
      <c r="H506" s="44"/>
      <c r="I506" s="44"/>
      <c r="J506" s="35"/>
    </row>
    <row r="507" spans="1:10">
      <c r="A507" s="31">
        <f>IFERROR(VALUE(IF(LEN(IFERROR(VALUE(MID(TRIM(SUBSTITUTE(SUBSTITUTE(MID(Общий!B507,SEARCH("Karcher",Общий!B507,1),19),".",""),"-","")),SEARCH("Karcher",TRIM(SUBSTITUTE(SUBSTITUTE(MID(Общий!B507,SEARCH("Karcher",Общий!B507,1),19),".",""),"-","")),1)+8,8)),VALUE(LEFT(SUBSTITUTE(SUBSTITUTE(Общий!B507,".",""),"-",""),8))))=7,CONCATENATE(IFERROR(VALUE(MID(TRIM(SUBSTITUTE(SUBSTITUTE(MID(Общий!B507,SEARCH("Karcher",Общий!B507,1),19),".",""),"-","")),SEARCH("Karcher",TRIM(SUBSTITUTE(SUBSTITUTE(MID(Общий!B507,SEARCH("Karcher",Общий!B507,1),19),".",""),"-","")),1)+8,8)),VALUE(LEFT(SUBSTITUTE(SUBSTITUTE(Общий!B507,".",""),"-",""),8))),"0"),IFERROR(VALUE(MID(TRIM(SUBSTITUTE(SUBSTITUTE(MID(Общий!B507,SEARCH("Karcher",Общий!B507,1),19),".",""),"-","")),SEARCH("Karcher",TRIM(SUBSTITUTE(SUBSTITUTE(MID(Общий!B507,SEARCH("Karcher",Общий!B507,1),19),".",""),"-","")),1)+8,8)),VALUE(LEFT(SUBSTITUTE(SUBSTITUTE(Общий!B507,".",""),"-",""),8))))),0)</f>
        <v>0</v>
      </c>
      <c r="B507" s="25">
        <f>IFERROR(CONCATENATE(VALUE(IF(LEN(IFERROR(VALUE(MID(TRIM(SUBSTITUTE(SUBSTITUTE(MID(Общий!B507,SEARCH("Karcher",Общий!B507,1),19),".",""),"-","")),SEARCH("Karcher",TRIM(SUBSTITUTE(SUBSTITUTE(MID(Общий!B507,SEARCH("Karcher",Общий!B507,1),19),".",""),"-","")),1)+8,8)),VALUE(LEFT(SUBSTITUTE(SUBSTITUTE(Общий!B507,".",""),"-",""),8))))=7,CONCATENATE(IFERROR(VALUE(MID(TRIM(SUBSTITUTE(SUBSTITUTE(MID(Общий!B507,SEARCH("Karcher",Общий!B507,1),19),".",""),"-","")),SEARCH("Karcher",TRIM(SUBSTITUTE(SUBSTITUTE(MID(Общий!B507,SEARCH("Karcher",Общий!B507,1),19),".",""),"-","")),1)+8,8)),VALUE(LEFT(SUBSTITUTE(SUBSTITUTE(Общий!B507,".",""),"-",""),8))),"0"),IFERROR(VALUE(MID(TRIM(SUBSTITUTE(SUBSTITUTE(MID(Общий!B507,SEARCH("Karcher",Общий!B507,1),19),".",""),"-","")),SEARCH("Karcher",TRIM(SUBSTITUTE(SUBSTITUTE(MID(Общий!B507,SEARCH("Karcher",Общий!B507,1),19),".",""),"-","")),1)+8,8)),VALUE(LEFT(SUBSTITUTE(SUBSTITUTE(Общий!B507,".",""),"-",""),8)))))," ",Общий!C507),0)</f>
        <v>0</v>
      </c>
      <c r="C507" s="29" t="str">
        <f>Общий!A507</f>
        <v>499</v>
      </c>
      <c r="D507" s="27">
        <f>Общий!B507</f>
        <v>0</v>
      </c>
      <c r="E507" s="28">
        <f>Общий!C507</f>
        <v>0</v>
      </c>
      <c r="G507" s="44"/>
      <c r="H507" s="44"/>
      <c r="I507" s="44"/>
      <c r="J507" s="35"/>
    </row>
    <row r="508" spans="1:10">
      <c r="A508" s="31">
        <f>IFERROR(VALUE(IF(LEN(IFERROR(VALUE(MID(TRIM(SUBSTITUTE(SUBSTITUTE(MID(Общий!B508,SEARCH("Karcher",Общий!B508,1),19),".",""),"-","")),SEARCH("Karcher",TRIM(SUBSTITUTE(SUBSTITUTE(MID(Общий!B508,SEARCH("Karcher",Общий!B508,1),19),".",""),"-","")),1)+8,8)),VALUE(LEFT(SUBSTITUTE(SUBSTITUTE(Общий!B508,".",""),"-",""),8))))=7,CONCATENATE(IFERROR(VALUE(MID(TRIM(SUBSTITUTE(SUBSTITUTE(MID(Общий!B508,SEARCH("Karcher",Общий!B508,1),19),".",""),"-","")),SEARCH("Karcher",TRIM(SUBSTITUTE(SUBSTITUTE(MID(Общий!B508,SEARCH("Karcher",Общий!B508,1),19),".",""),"-","")),1)+8,8)),VALUE(LEFT(SUBSTITUTE(SUBSTITUTE(Общий!B508,".",""),"-",""),8))),"0"),IFERROR(VALUE(MID(TRIM(SUBSTITUTE(SUBSTITUTE(MID(Общий!B508,SEARCH("Karcher",Общий!B508,1),19),".",""),"-","")),SEARCH("Karcher",TRIM(SUBSTITUTE(SUBSTITUTE(MID(Общий!B508,SEARCH("Karcher",Общий!B508,1),19),".",""),"-","")),1)+8,8)),VALUE(LEFT(SUBSTITUTE(SUBSTITUTE(Общий!B508,".",""),"-",""),8))))),0)</f>
        <v>0</v>
      </c>
      <c r="B508" s="25">
        <f>IFERROR(CONCATENATE(VALUE(IF(LEN(IFERROR(VALUE(MID(TRIM(SUBSTITUTE(SUBSTITUTE(MID(Общий!B508,SEARCH("Karcher",Общий!B508,1),19),".",""),"-","")),SEARCH("Karcher",TRIM(SUBSTITUTE(SUBSTITUTE(MID(Общий!B508,SEARCH("Karcher",Общий!B508,1),19),".",""),"-","")),1)+8,8)),VALUE(LEFT(SUBSTITUTE(SUBSTITUTE(Общий!B508,".",""),"-",""),8))))=7,CONCATENATE(IFERROR(VALUE(MID(TRIM(SUBSTITUTE(SUBSTITUTE(MID(Общий!B508,SEARCH("Karcher",Общий!B508,1),19),".",""),"-","")),SEARCH("Karcher",TRIM(SUBSTITUTE(SUBSTITUTE(MID(Общий!B508,SEARCH("Karcher",Общий!B508,1),19),".",""),"-","")),1)+8,8)),VALUE(LEFT(SUBSTITUTE(SUBSTITUTE(Общий!B508,".",""),"-",""),8))),"0"),IFERROR(VALUE(MID(TRIM(SUBSTITUTE(SUBSTITUTE(MID(Общий!B508,SEARCH("Karcher",Общий!B508,1),19),".",""),"-","")),SEARCH("Karcher",TRIM(SUBSTITUTE(SUBSTITUTE(MID(Общий!B508,SEARCH("Karcher",Общий!B508,1),19),".",""),"-","")),1)+8,8)),VALUE(LEFT(SUBSTITUTE(SUBSTITUTE(Общий!B508,".",""),"-",""),8)))))," ",Общий!C508),0)</f>
        <v>0</v>
      </c>
      <c r="C508" s="29" t="str">
        <f>Общий!A508</f>
        <v>500</v>
      </c>
      <c r="D508" s="27">
        <f>Общий!B508</f>
        <v>0</v>
      </c>
      <c r="E508" s="28">
        <f>Общий!C508</f>
        <v>0</v>
      </c>
      <c r="G508" s="44"/>
      <c r="H508" s="44"/>
      <c r="I508" s="44"/>
      <c r="J508" s="35"/>
    </row>
    <row r="509" spans="1:10">
      <c r="A509" s="31">
        <f>IFERROR(VALUE(IF(LEN(IFERROR(VALUE(MID(TRIM(SUBSTITUTE(SUBSTITUTE(MID(Общий!B509,SEARCH("Karcher",Общий!B509,1),19),".",""),"-","")),SEARCH("Karcher",TRIM(SUBSTITUTE(SUBSTITUTE(MID(Общий!B509,SEARCH("Karcher",Общий!B509,1),19),".",""),"-","")),1)+8,8)),VALUE(LEFT(SUBSTITUTE(SUBSTITUTE(Общий!B509,".",""),"-",""),8))))=7,CONCATENATE(IFERROR(VALUE(MID(TRIM(SUBSTITUTE(SUBSTITUTE(MID(Общий!B509,SEARCH("Karcher",Общий!B509,1),19),".",""),"-","")),SEARCH("Karcher",TRIM(SUBSTITUTE(SUBSTITUTE(MID(Общий!B509,SEARCH("Karcher",Общий!B509,1),19),".",""),"-","")),1)+8,8)),VALUE(LEFT(SUBSTITUTE(SUBSTITUTE(Общий!B509,".",""),"-",""),8))),"0"),IFERROR(VALUE(MID(TRIM(SUBSTITUTE(SUBSTITUTE(MID(Общий!B509,SEARCH("Karcher",Общий!B509,1),19),".",""),"-","")),SEARCH("Karcher",TRIM(SUBSTITUTE(SUBSTITUTE(MID(Общий!B509,SEARCH("Karcher",Общий!B509,1),19),".",""),"-","")),1)+8,8)),VALUE(LEFT(SUBSTITUTE(SUBSTITUTE(Общий!B509,".",""),"-",""),8))))),0)</f>
        <v>0</v>
      </c>
      <c r="B509" s="25">
        <f>IFERROR(CONCATENATE(VALUE(IF(LEN(IFERROR(VALUE(MID(TRIM(SUBSTITUTE(SUBSTITUTE(MID(Общий!B509,SEARCH("Karcher",Общий!B509,1),19),".",""),"-","")),SEARCH("Karcher",TRIM(SUBSTITUTE(SUBSTITUTE(MID(Общий!B509,SEARCH("Karcher",Общий!B509,1),19),".",""),"-","")),1)+8,8)),VALUE(LEFT(SUBSTITUTE(SUBSTITUTE(Общий!B509,".",""),"-",""),8))))=7,CONCATENATE(IFERROR(VALUE(MID(TRIM(SUBSTITUTE(SUBSTITUTE(MID(Общий!B509,SEARCH("Karcher",Общий!B509,1),19),".",""),"-","")),SEARCH("Karcher",TRIM(SUBSTITUTE(SUBSTITUTE(MID(Общий!B509,SEARCH("Karcher",Общий!B509,1),19),".",""),"-","")),1)+8,8)),VALUE(LEFT(SUBSTITUTE(SUBSTITUTE(Общий!B509,".",""),"-",""),8))),"0"),IFERROR(VALUE(MID(TRIM(SUBSTITUTE(SUBSTITUTE(MID(Общий!B509,SEARCH("Karcher",Общий!B509,1),19),".",""),"-","")),SEARCH("Karcher",TRIM(SUBSTITUTE(SUBSTITUTE(MID(Общий!B509,SEARCH("Karcher",Общий!B509,1),19),".",""),"-","")),1)+8,8)),VALUE(LEFT(SUBSTITUTE(SUBSTITUTE(Общий!B509,".",""),"-",""),8)))))," ",Общий!C509),0)</f>
        <v>0</v>
      </c>
      <c r="C509" s="29" t="str">
        <f>Общий!A509</f>
        <v>501</v>
      </c>
      <c r="D509" s="27">
        <f>Общий!B509</f>
        <v>0</v>
      </c>
      <c r="E509" s="28">
        <f>Общий!C509</f>
        <v>0</v>
      </c>
      <c r="G509" s="44"/>
      <c r="H509" s="44"/>
      <c r="I509" s="44"/>
      <c r="J509" s="35"/>
    </row>
    <row r="510" spans="1:10">
      <c r="A510" s="31">
        <f>IFERROR(VALUE(IF(LEN(IFERROR(VALUE(MID(TRIM(SUBSTITUTE(SUBSTITUTE(MID(Общий!B510,SEARCH("Karcher",Общий!B510,1),19),".",""),"-","")),SEARCH("Karcher",TRIM(SUBSTITUTE(SUBSTITUTE(MID(Общий!B510,SEARCH("Karcher",Общий!B510,1),19),".",""),"-","")),1)+8,8)),VALUE(LEFT(SUBSTITUTE(SUBSTITUTE(Общий!B510,".",""),"-",""),8))))=7,CONCATENATE(IFERROR(VALUE(MID(TRIM(SUBSTITUTE(SUBSTITUTE(MID(Общий!B510,SEARCH("Karcher",Общий!B510,1),19),".",""),"-","")),SEARCH("Karcher",TRIM(SUBSTITUTE(SUBSTITUTE(MID(Общий!B510,SEARCH("Karcher",Общий!B510,1),19),".",""),"-","")),1)+8,8)),VALUE(LEFT(SUBSTITUTE(SUBSTITUTE(Общий!B510,".",""),"-",""),8))),"0"),IFERROR(VALUE(MID(TRIM(SUBSTITUTE(SUBSTITUTE(MID(Общий!B510,SEARCH("Karcher",Общий!B510,1),19),".",""),"-","")),SEARCH("Karcher",TRIM(SUBSTITUTE(SUBSTITUTE(MID(Общий!B510,SEARCH("Karcher",Общий!B510,1),19),".",""),"-","")),1)+8,8)),VALUE(LEFT(SUBSTITUTE(SUBSTITUTE(Общий!B510,".",""),"-",""),8))))),0)</f>
        <v>0</v>
      </c>
      <c r="B510" s="25">
        <f>IFERROR(CONCATENATE(VALUE(IF(LEN(IFERROR(VALUE(MID(TRIM(SUBSTITUTE(SUBSTITUTE(MID(Общий!B510,SEARCH("Karcher",Общий!B510,1),19),".",""),"-","")),SEARCH("Karcher",TRIM(SUBSTITUTE(SUBSTITUTE(MID(Общий!B510,SEARCH("Karcher",Общий!B510,1),19),".",""),"-","")),1)+8,8)),VALUE(LEFT(SUBSTITUTE(SUBSTITUTE(Общий!B510,".",""),"-",""),8))))=7,CONCATENATE(IFERROR(VALUE(MID(TRIM(SUBSTITUTE(SUBSTITUTE(MID(Общий!B510,SEARCH("Karcher",Общий!B510,1),19),".",""),"-","")),SEARCH("Karcher",TRIM(SUBSTITUTE(SUBSTITUTE(MID(Общий!B510,SEARCH("Karcher",Общий!B510,1),19),".",""),"-","")),1)+8,8)),VALUE(LEFT(SUBSTITUTE(SUBSTITUTE(Общий!B510,".",""),"-",""),8))),"0"),IFERROR(VALUE(MID(TRIM(SUBSTITUTE(SUBSTITUTE(MID(Общий!B510,SEARCH("Karcher",Общий!B510,1),19),".",""),"-","")),SEARCH("Karcher",TRIM(SUBSTITUTE(SUBSTITUTE(MID(Общий!B510,SEARCH("Karcher",Общий!B510,1),19),".",""),"-","")),1)+8,8)),VALUE(LEFT(SUBSTITUTE(SUBSTITUTE(Общий!B510,".",""),"-",""),8)))))," ",Общий!C510),0)</f>
        <v>0</v>
      </c>
      <c r="C510" s="29" t="str">
        <f>Общий!A510</f>
        <v>502</v>
      </c>
      <c r="D510" s="27">
        <f>Общий!B510</f>
        <v>0</v>
      </c>
      <c r="E510" s="28">
        <f>Общий!C510</f>
        <v>0</v>
      </c>
      <c r="G510" s="44"/>
      <c r="H510" s="44"/>
      <c r="I510" s="44"/>
      <c r="J510" s="35"/>
    </row>
    <row r="511" spans="1:10">
      <c r="A511" s="31">
        <f>IFERROR(VALUE(IF(LEN(IFERROR(VALUE(MID(TRIM(SUBSTITUTE(SUBSTITUTE(MID(Общий!B511,SEARCH("Karcher",Общий!B511,1),19),".",""),"-","")),SEARCH("Karcher",TRIM(SUBSTITUTE(SUBSTITUTE(MID(Общий!B511,SEARCH("Karcher",Общий!B511,1),19),".",""),"-","")),1)+8,8)),VALUE(LEFT(SUBSTITUTE(SUBSTITUTE(Общий!B511,".",""),"-",""),8))))=7,CONCATENATE(IFERROR(VALUE(MID(TRIM(SUBSTITUTE(SUBSTITUTE(MID(Общий!B511,SEARCH("Karcher",Общий!B511,1),19),".",""),"-","")),SEARCH("Karcher",TRIM(SUBSTITUTE(SUBSTITUTE(MID(Общий!B511,SEARCH("Karcher",Общий!B511,1),19),".",""),"-","")),1)+8,8)),VALUE(LEFT(SUBSTITUTE(SUBSTITUTE(Общий!B511,".",""),"-",""),8))),"0"),IFERROR(VALUE(MID(TRIM(SUBSTITUTE(SUBSTITUTE(MID(Общий!B511,SEARCH("Karcher",Общий!B511,1),19),".",""),"-","")),SEARCH("Karcher",TRIM(SUBSTITUTE(SUBSTITUTE(MID(Общий!B511,SEARCH("Karcher",Общий!B511,1),19),".",""),"-","")),1)+8,8)),VALUE(LEFT(SUBSTITUTE(SUBSTITUTE(Общий!B511,".",""),"-",""),8))))),0)</f>
        <v>0</v>
      </c>
      <c r="B511" s="25">
        <f>IFERROR(CONCATENATE(VALUE(IF(LEN(IFERROR(VALUE(MID(TRIM(SUBSTITUTE(SUBSTITUTE(MID(Общий!B511,SEARCH("Karcher",Общий!B511,1),19),".",""),"-","")),SEARCH("Karcher",TRIM(SUBSTITUTE(SUBSTITUTE(MID(Общий!B511,SEARCH("Karcher",Общий!B511,1),19),".",""),"-","")),1)+8,8)),VALUE(LEFT(SUBSTITUTE(SUBSTITUTE(Общий!B511,".",""),"-",""),8))))=7,CONCATENATE(IFERROR(VALUE(MID(TRIM(SUBSTITUTE(SUBSTITUTE(MID(Общий!B511,SEARCH("Karcher",Общий!B511,1),19),".",""),"-","")),SEARCH("Karcher",TRIM(SUBSTITUTE(SUBSTITUTE(MID(Общий!B511,SEARCH("Karcher",Общий!B511,1),19),".",""),"-","")),1)+8,8)),VALUE(LEFT(SUBSTITUTE(SUBSTITUTE(Общий!B511,".",""),"-",""),8))),"0"),IFERROR(VALUE(MID(TRIM(SUBSTITUTE(SUBSTITUTE(MID(Общий!B511,SEARCH("Karcher",Общий!B511,1),19),".",""),"-","")),SEARCH("Karcher",TRIM(SUBSTITUTE(SUBSTITUTE(MID(Общий!B511,SEARCH("Karcher",Общий!B511,1),19),".",""),"-","")),1)+8,8)),VALUE(LEFT(SUBSTITUTE(SUBSTITUTE(Общий!B511,".",""),"-",""),8)))))," ",Общий!C511),0)</f>
        <v>0</v>
      </c>
      <c r="C511" s="29" t="str">
        <f>Общий!A511</f>
        <v>503</v>
      </c>
      <c r="D511" s="27">
        <f>Общий!B511</f>
        <v>0</v>
      </c>
      <c r="E511" s="28">
        <f>Общий!C511</f>
        <v>0</v>
      </c>
      <c r="G511" s="44"/>
      <c r="H511" s="44"/>
      <c r="I511" s="44"/>
      <c r="J511" s="35"/>
    </row>
    <row r="512" spans="1:10">
      <c r="A512" s="31">
        <f>IFERROR(VALUE(IF(LEN(IFERROR(VALUE(MID(TRIM(SUBSTITUTE(SUBSTITUTE(MID(Общий!B512,SEARCH("Karcher",Общий!B512,1),19),".",""),"-","")),SEARCH("Karcher",TRIM(SUBSTITUTE(SUBSTITUTE(MID(Общий!B512,SEARCH("Karcher",Общий!B512,1),19),".",""),"-","")),1)+8,8)),VALUE(LEFT(SUBSTITUTE(SUBSTITUTE(Общий!B512,".",""),"-",""),8))))=7,CONCATENATE(IFERROR(VALUE(MID(TRIM(SUBSTITUTE(SUBSTITUTE(MID(Общий!B512,SEARCH("Karcher",Общий!B512,1),19),".",""),"-","")),SEARCH("Karcher",TRIM(SUBSTITUTE(SUBSTITUTE(MID(Общий!B512,SEARCH("Karcher",Общий!B512,1),19),".",""),"-","")),1)+8,8)),VALUE(LEFT(SUBSTITUTE(SUBSTITUTE(Общий!B512,".",""),"-",""),8))),"0"),IFERROR(VALUE(MID(TRIM(SUBSTITUTE(SUBSTITUTE(MID(Общий!B512,SEARCH("Karcher",Общий!B512,1),19),".",""),"-","")),SEARCH("Karcher",TRIM(SUBSTITUTE(SUBSTITUTE(MID(Общий!B512,SEARCH("Karcher",Общий!B512,1),19),".",""),"-","")),1)+8,8)),VALUE(LEFT(SUBSTITUTE(SUBSTITUTE(Общий!B512,".",""),"-",""),8))))),0)</f>
        <v>0</v>
      </c>
      <c r="B512" s="25">
        <f>IFERROR(CONCATENATE(VALUE(IF(LEN(IFERROR(VALUE(MID(TRIM(SUBSTITUTE(SUBSTITUTE(MID(Общий!B512,SEARCH("Karcher",Общий!B512,1),19),".",""),"-","")),SEARCH("Karcher",TRIM(SUBSTITUTE(SUBSTITUTE(MID(Общий!B512,SEARCH("Karcher",Общий!B512,1),19),".",""),"-","")),1)+8,8)),VALUE(LEFT(SUBSTITUTE(SUBSTITUTE(Общий!B512,".",""),"-",""),8))))=7,CONCATENATE(IFERROR(VALUE(MID(TRIM(SUBSTITUTE(SUBSTITUTE(MID(Общий!B512,SEARCH("Karcher",Общий!B512,1),19),".",""),"-","")),SEARCH("Karcher",TRIM(SUBSTITUTE(SUBSTITUTE(MID(Общий!B512,SEARCH("Karcher",Общий!B512,1),19),".",""),"-","")),1)+8,8)),VALUE(LEFT(SUBSTITUTE(SUBSTITUTE(Общий!B512,".",""),"-",""),8))),"0"),IFERROR(VALUE(MID(TRIM(SUBSTITUTE(SUBSTITUTE(MID(Общий!B512,SEARCH("Karcher",Общий!B512,1),19),".",""),"-","")),SEARCH("Karcher",TRIM(SUBSTITUTE(SUBSTITUTE(MID(Общий!B512,SEARCH("Karcher",Общий!B512,1),19),".",""),"-","")),1)+8,8)),VALUE(LEFT(SUBSTITUTE(SUBSTITUTE(Общий!B512,".",""),"-",""),8)))))," ",Общий!C512),0)</f>
        <v>0</v>
      </c>
      <c r="C512" s="29" t="str">
        <f>Общий!A512</f>
        <v>504</v>
      </c>
      <c r="D512" s="27">
        <f>Общий!B512</f>
        <v>0</v>
      </c>
      <c r="E512" s="28">
        <f>Общий!C512</f>
        <v>0</v>
      </c>
      <c r="G512" s="44"/>
      <c r="H512" s="44"/>
      <c r="I512" s="44"/>
      <c r="J512" s="35"/>
    </row>
    <row r="513" spans="1:10">
      <c r="A513" s="31">
        <f>IFERROR(VALUE(IF(LEN(IFERROR(VALUE(MID(TRIM(SUBSTITUTE(SUBSTITUTE(MID(Общий!B513,SEARCH("Karcher",Общий!B513,1),19),".",""),"-","")),SEARCH("Karcher",TRIM(SUBSTITUTE(SUBSTITUTE(MID(Общий!B513,SEARCH("Karcher",Общий!B513,1),19),".",""),"-","")),1)+8,8)),VALUE(LEFT(SUBSTITUTE(SUBSTITUTE(Общий!B513,".",""),"-",""),8))))=7,CONCATENATE(IFERROR(VALUE(MID(TRIM(SUBSTITUTE(SUBSTITUTE(MID(Общий!B513,SEARCH("Karcher",Общий!B513,1),19),".",""),"-","")),SEARCH("Karcher",TRIM(SUBSTITUTE(SUBSTITUTE(MID(Общий!B513,SEARCH("Karcher",Общий!B513,1),19),".",""),"-","")),1)+8,8)),VALUE(LEFT(SUBSTITUTE(SUBSTITUTE(Общий!B513,".",""),"-",""),8))),"0"),IFERROR(VALUE(MID(TRIM(SUBSTITUTE(SUBSTITUTE(MID(Общий!B513,SEARCH("Karcher",Общий!B513,1),19),".",""),"-","")),SEARCH("Karcher",TRIM(SUBSTITUTE(SUBSTITUTE(MID(Общий!B513,SEARCH("Karcher",Общий!B513,1),19),".",""),"-","")),1)+8,8)),VALUE(LEFT(SUBSTITUTE(SUBSTITUTE(Общий!B513,".",""),"-",""),8))))),0)</f>
        <v>0</v>
      </c>
      <c r="B513" s="25">
        <f>IFERROR(CONCATENATE(VALUE(IF(LEN(IFERROR(VALUE(MID(TRIM(SUBSTITUTE(SUBSTITUTE(MID(Общий!B513,SEARCH("Karcher",Общий!B513,1),19),".",""),"-","")),SEARCH("Karcher",TRIM(SUBSTITUTE(SUBSTITUTE(MID(Общий!B513,SEARCH("Karcher",Общий!B513,1),19),".",""),"-","")),1)+8,8)),VALUE(LEFT(SUBSTITUTE(SUBSTITUTE(Общий!B513,".",""),"-",""),8))))=7,CONCATENATE(IFERROR(VALUE(MID(TRIM(SUBSTITUTE(SUBSTITUTE(MID(Общий!B513,SEARCH("Karcher",Общий!B513,1),19),".",""),"-","")),SEARCH("Karcher",TRIM(SUBSTITUTE(SUBSTITUTE(MID(Общий!B513,SEARCH("Karcher",Общий!B513,1),19),".",""),"-","")),1)+8,8)),VALUE(LEFT(SUBSTITUTE(SUBSTITUTE(Общий!B513,".",""),"-",""),8))),"0"),IFERROR(VALUE(MID(TRIM(SUBSTITUTE(SUBSTITUTE(MID(Общий!B513,SEARCH("Karcher",Общий!B513,1),19),".",""),"-","")),SEARCH("Karcher",TRIM(SUBSTITUTE(SUBSTITUTE(MID(Общий!B513,SEARCH("Karcher",Общий!B513,1),19),".",""),"-","")),1)+8,8)),VALUE(LEFT(SUBSTITUTE(SUBSTITUTE(Общий!B513,".",""),"-",""),8)))))," ",Общий!C513),0)</f>
        <v>0</v>
      </c>
      <c r="C513" s="29" t="str">
        <f>Общий!A513</f>
        <v>505</v>
      </c>
      <c r="D513" s="27">
        <f>Общий!B513</f>
        <v>0</v>
      </c>
      <c r="E513" s="28">
        <f>Общий!C513</f>
        <v>0</v>
      </c>
      <c r="G513" s="44"/>
      <c r="H513" s="44"/>
      <c r="I513" s="44"/>
      <c r="J513" s="35"/>
    </row>
    <row r="514" spans="1:10">
      <c r="A514" s="31">
        <f>IFERROR(VALUE(IF(LEN(IFERROR(VALUE(MID(TRIM(SUBSTITUTE(SUBSTITUTE(MID(Общий!B514,SEARCH("Karcher",Общий!B514,1),19),".",""),"-","")),SEARCH("Karcher",TRIM(SUBSTITUTE(SUBSTITUTE(MID(Общий!B514,SEARCH("Karcher",Общий!B514,1),19),".",""),"-","")),1)+8,8)),VALUE(LEFT(SUBSTITUTE(SUBSTITUTE(Общий!B514,".",""),"-",""),8))))=7,CONCATENATE(IFERROR(VALUE(MID(TRIM(SUBSTITUTE(SUBSTITUTE(MID(Общий!B514,SEARCH("Karcher",Общий!B514,1),19),".",""),"-","")),SEARCH("Karcher",TRIM(SUBSTITUTE(SUBSTITUTE(MID(Общий!B514,SEARCH("Karcher",Общий!B514,1),19),".",""),"-","")),1)+8,8)),VALUE(LEFT(SUBSTITUTE(SUBSTITUTE(Общий!B514,".",""),"-",""),8))),"0"),IFERROR(VALUE(MID(TRIM(SUBSTITUTE(SUBSTITUTE(MID(Общий!B514,SEARCH("Karcher",Общий!B514,1),19),".",""),"-","")),SEARCH("Karcher",TRIM(SUBSTITUTE(SUBSTITUTE(MID(Общий!B514,SEARCH("Karcher",Общий!B514,1),19),".",""),"-","")),1)+8,8)),VALUE(LEFT(SUBSTITUTE(SUBSTITUTE(Общий!B514,".",""),"-",""),8))))),0)</f>
        <v>0</v>
      </c>
      <c r="B514" s="25">
        <f>IFERROR(CONCATENATE(VALUE(IF(LEN(IFERROR(VALUE(MID(TRIM(SUBSTITUTE(SUBSTITUTE(MID(Общий!B514,SEARCH("Karcher",Общий!B514,1),19),".",""),"-","")),SEARCH("Karcher",TRIM(SUBSTITUTE(SUBSTITUTE(MID(Общий!B514,SEARCH("Karcher",Общий!B514,1),19),".",""),"-","")),1)+8,8)),VALUE(LEFT(SUBSTITUTE(SUBSTITUTE(Общий!B514,".",""),"-",""),8))))=7,CONCATENATE(IFERROR(VALUE(MID(TRIM(SUBSTITUTE(SUBSTITUTE(MID(Общий!B514,SEARCH("Karcher",Общий!B514,1),19),".",""),"-","")),SEARCH("Karcher",TRIM(SUBSTITUTE(SUBSTITUTE(MID(Общий!B514,SEARCH("Karcher",Общий!B514,1),19),".",""),"-","")),1)+8,8)),VALUE(LEFT(SUBSTITUTE(SUBSTITUTE(Общий!B514,".",""),"-",""),8))),"0"),IFERROR(VALUE(MID(TRIM(SUBSTITUTE(SUBSTITUTE(MID(Общий!B514,SEARCH("Karcher",Общий!B514,1),19),".",""),"-","")),SEARCH("Karcher",TRIM(SUBSTITUTE(SUBSTITUTE(MID(Общий!B514,SEARCH("Karcher",Общий!B514,1),19),".",""),"-","")),1)+8,8)),VALUE(LEFT(SUBSTITUTE(SUBSTITUTE(Общий!B514,".",""),"-",""),8)))))," ",Общий!C514),0)</f>
        <v>0</v>
      </c>
      <c r="C514" s="29" t="str">
        <f>Общий!A514</f>
        <v>506</v>
      </c>
      <c r="D514" s="27">
        <f>Общий!B514</f>
        <v>0</v>
      </c>
      <c r="E514" s="28">
        <f>Общий!C514</f>
        <v>0</v>
      </c>
      <c r="G514" s="44"/>
      <c r="H514" s="44"/>
      <c r="I514" s="44"/>
      <c r="J514" s="35"/>
    </row>
    <row r="515" spans="1:10">
      <c r="A515" s="31">
        <f>IFERROR(VALUE(IF(LEN(IFERROR(VALUE(MID(TRIM(SUBSTITUTE(SUBSTITUTE(MID(Общий!B515,SEARCH("Karcher",Общий!B515,1),19),".",""),"-","")),SEARCH("Karcher",TRIM(SUBSTITUTE(SUBSTITUTE(MID(Общий!B515,SEARCH("Karcher",Общий!B515,1),19),".",""),"-","")),1)+8,8)),VALUE(LEFT(SUBSTITUTE(SUBSTITUTE(Общий!B515,".",""),"-",""),8))))=7,CONCATENATE(IFERROR(VALUE(MID(TRIM(SUBSTITUTE(SUBSTITUTE(MID(Общий!B515,SEARCH("Karcher",Общий!B515,1),19),".",""),"-","")),SEARCH("Karcher",TRIM(SUBSTITUTE(SUBSTITUTE(MID(Общий!B515,SEARCH("Karcher",Общий!B515,1),19),".",""),"-","")),1)+8,8)),VALUE(LEFT(SUBSTITUTE(SUBSTITUTE(Общий!B515,".",""),"-",""),8))),"0"),IFERROR(VALUE(MID(TRIM(SUBSTITUTE(SUBSTITUTE(MID(Общий!B515,SEARCH("Karcher",Общий!B515,1),19),".",""),"-","")),SEARCH("Karcher",TRIM(SUBSTITUTE(SUBSTITUTE(MID(Общий!B515,SEARCH("Karcher",Общий!B515,1),19),".",""),"-","")),1)+8,8)),VALUE(LEFT(SUBSTITUTE(SUBSTITUTE(Общий!B515,".",""),"-",""),8))))),0)</f>
        <v>0</v>
      </c>
      <c r="B515" s="25">
        <f>IFERROR(CONCATENATE(VALUE(IF(LEN(IFERROR(VALUE(MID(TRIM(SUBSTITUTE(SUBSTITUTE(MID(Общий!B515,SEARCH("Karcher",Общий!B515,1),19),".",""),"-","")),SEARCH("Karcher",TRIM(SUBSTITUTE(SUBSTITUTE(MID(Общий!B515,SEARCH("Karcher",Общий!B515,1),19),".",""),"-","")),1)+8,8)),VALUE(LEFT(SUBSTITUTE(SUBSTITUTE(Общий!B515,".",""),"-",""),8))))=7,CONCATENATE(IFERROR(VALUE(MID(TRIM(SUBSTITUTE(SUBSTITUTE(MID(Общий!B515,SEARCH("Karcher",Общий!B515,1),19),".",""),"-","")),SEARCH("Karcher",TRIM(SUBSTITUTE(SUBSTITUTE(MID(Общий!B515,SEARCH("Karcher",Общий!B515,1),19),".",""),"-","")),1)+8,8)),VALUE(LEFT(SUBSTITUTE(SUBSTITUTE(Общий!B515,".",""),"-",""),8))),"0"),IFERROR(VALUE(MID(TRIM(SUBSTITUTE(SUBSTITUTE(MID(Общий!B515,SEARCH("Karcher",Общий!B515,1),19),".",""),"-","")),SEARCH("Karcher",TRIM(SUBSTITUTE(SUBSTITUTE(MID(Общий!B515,SEARCH("Karcher",Общий!B515,1),19),".",""),"-","")),1)+8,8)),VALUE(LEFT(SUBSTITUTE(SUBSTITUTE(Общий!B515,".",""),"-",""),8)))))," ",Общий!C515),0)</f>
        <v>0</v>
      </c>
      <c r="C515" s="29" t="str">
        <f>Общий!A515</f>
        <v>507</v>
      </c>
      <c r="D515" s="27">
        <f>Общий!B515</f>
        <v>0</v>
      </c>
      <c r="E515" s="28">
        <f>Общий!C515</f>
        <v>0</v>
      </c>
      <c r="G515" s="44"/>
      <c r="H515" s="44"/>
      <c r="I515" s="44"/>
      <c r="J515" s="35"/>
    </row>
    <row r="516" spans="1:10">
      <c r="A516" s="31">
        <f>IFERROR(VALUE(IF(LEN(IFERROR(VALUE(MID(TRIM(SUBSTITUTE(SUBSTITUTE(MID(Общий!B516,SEARCH("Karcher",Общий!B516,1),19),".",""),"-","")),SEARCH("Karcher",TRIM(SUBSTITUTE(SUBSTITUTE(MID(Общий!B516,SEARCH("Karcher",Общий!B516,1),19),".",""),"-","")),1)+8,8)),VALUE(LEFT(SUBSTITUTE(SUBSTITUTE(Общий!B516,".",""),"-",""),8))))=7,CONCATENATE(IFERROR(VALUE(MID(TRIM(SUBSTITUTE(SUBSTITUTE(MID(Общий!B516,SEARCH("Karcher",Общий!B516,1),19),".",""),"-","")),SEARCH("Karcher",TRIM(SUBSTITUTE(SUBSTITUTE(MID(Общий!B516,SEARCH("Karcher",Общий!B516,1),19),".",""),"-","")),1)+8,8)),VALUE(LEFT(SUBSTITUTE(SUBSTITUTE(Общий!B516,".",""),"-",""),8))),"0"),IFERROR(VALUE(MID(TRIM(SUBSTITUTE(SUBSTITUTE(MID(Общий!B516,SEARCH("Karcher",Общий!B516,1),19),".",""),"-","")),SEARCH("Karcher",TRIM(SUBSTITUTE(SUBSTITUTE(MID(Общий!B516,SEARCH("Karcher",Общий!B516,1),19),".",""),"-","")),1)+8,8)),VALUE(LEFT(SUBSTITUTE(SUBSTITUTE(Общий!B516,".",""),"-",""),8))))),0)</f>
        <v>0</v>
      </c>
      <c r="B516" s="25">
        <f>IFERROR(CONCATENATE(VALUE(IF(LEN(IFERROR(VALUE(MID(TRIM(SUBSTITUTE(SUBSTITUTE(MID(Общий!B516,SEARCH("Karcher",Общий!B516,1),19),".",""),"-","")),SEARCH("Karcher",TRIM(SUBSTITUTE(SUBSTITUTE(MID(Общий!B516,SEARCH("Karcher",Общий!B516,1),19),".",""),"-","")),1)+8,8)),VALUE(LEFT(SUBSTITUTE(SUBSTITUTE(Общий!B516,".",""),"-",""),8))))=7,CONCATENATE(IFERROR(VALUE(MID(TRIM(SUBSTITUTE(SUBSTITUTE(MID(Общий!B516,SEARCH("Karcher",Общий!B516,1),19),".",""),"-","")),SEARCH("Karcher",TRIM(SUBSTITUTE(SUBSTITUTE(MID(Общий!B516,SEARCH("Karcher",Общий!B516,1),19),".",""),"-","")),1)+8,8)),VALUE(LEFT(SUBSTITUTE(SUBSTITUTE(Общий!B516,".",""),"-",""),8))),"0"),IFERROR(VALUE(MID(TRIM(SUBSTITUTE(SUBSTITUTE(MID(Общий!B516,SEARCH("Karcher",Общий!B516,1),19),".",""),"-","")),SEARCH("Karcher",TRIM(SUBSTITUTE(SUBSTITUTE(MID(Общий!B516,SEARCH("Karcher",Общий!B516,1),19),".",""),"-","")),1)+8,8)),VALUE(LEFT(SUBSTITUTE(SUBSTITUTE(Общий!B516,".",""),"-",""),8)))))," ",Общий!C516),0)</f>
        <v>0</v>
      </c>
      <c r="C516" s="29" t="str">
        <f>Общий!A516</f>
        <v>508</v>
      </c>
      <c r="D516" s="27">
        <f>Общий!B516</f>
        <v>0</v>
      </c>
      <c r="E516" s="28">
        <f>Общий!C516</f>
        <v>0</v>
      </c>
      <c r="G516" s="44"/>
      <c r="H516" s="44"/>
      <c r="I516" s="44"/>
      <c r="J516" s="35"/>
    </row>
    <row r="517" spans="1:10">
      <c r="A517" s="31">
        <f>IFERROR(VALUE(IF(LEN(IFERROR(VALUE(MID(TRIM(SUBSTITUTE(SUBSTITUTE(MID(Общий!B517,SEARCH("Karcher",Общий!B517,1),19),".",""),"-","")),SEARCH("Karcher",TRIM(SUBSTITUTE(SUBSTITUTE(MID(Общий!B517,SEARCH("Karcher",Общий!B517,1),19),".",""),"-","")),1)+8,8)),VALUE(LEFT(SUBSTITUTE(SUBSTITUTE(Общий!B517,".",""),"-",""),8))))=7,CONCATENATE(IFERROR(VALUE(MID(TRIM(SUBSTITUTE(SUBSTITUTE(MID(Общий!B517,SEARCH("Karcher",Общий!B517,1),19),".",""),"-","")),SEARCH("Karcher",TRIM(SUBSTITUTE(SUBSTITUTE(MID(Общий!B517,SEARCH("Karcher",Общий!B517,1),19),".",""),"-","")),1)+8,8)),VALUE(LEFT(SUBSTITUTE(SUBSTITUTE(Общий!B517,".",""),"-",""),8))),"0"),IFERROR(VALUE(MID(TRIM(SUBSTITUTE(SUBSTITUTE(MID(Общий!B517,SEARCH("Karcher",Общий!B517,1),19),".",""),"-","")),SEARCH("Karcher",TRIM(SUBSTITUTE(SUBSTITUTE(MID(Общий!B517,SEARCH("Karcher",Общий!B517,1),19),".",""),"-","")),1)+8,8)),VALUE(LEFT(SUBSTITUTE(SUBSTITUTE(Общий!B517,".",""),"-",""),8))))),0)</f>
        <v>0</v>
      </c>
      <c r="B517" s="25">
        <f>IFERROR(CONCATENATE(VALUE(IF(LEN(IFERROR(VALUE(MID(TRIM(SUBSTITUTE(SUBSTITUTE(MID(Общий!B517,SEARCH("Karcher",Общий!B517,1),19),".",""),"-","")),SEARCH("Karcher",TRIM(SUBSTITUTE(SUBSTITUTE(MID(Общий!B517,SEARCH("Karcher",Общий!B517,1),19),".",""),"-","")),1)+8,8)),VALUE(LEFT(SUBSTITUTE(SUBSTITUTE(Общий!B517,".",""),"-",""),8))))=7,CONCATENATE(IFERROR(VALUE(MID(TRIM(SUBSTITUTE(SUBSTITUTE(MID(Общий!B517,SEARCH("Karcher",Общий!B517,1),19),".",""),"-","")),SEARCH("Karcher",TRIM(SUBSTITUTE(SUBSTITUTE(MID(Общий!B517,SEARCH("Karcher",Общий!B517,1),19),".",""),"-","")),1)+8,8)),VALUE(LEFT(SUBSTITUTE(SUBSTITUTE(Общий!B517,".",""),"-",""),8))),"0"),IFERROR(VALUE(MID(TRIM(SUBSTITUTE(SUBSTITUTE(MID(Общий!B517,SEARCH("Karcher",Общий!B517,1),19),".",""),"-","")),SEARCH("Karcher",TRIM(SUBSTITUTE(SUBSTITUTE(MID(Общий!B517,SEARCH("Karcher",Общий!B517,1),19),".",""),"-","")),1)+8,8)),VALUE(LEFT(SUBSTITUTE(SUBSTITUTE(Общий!B517,".",""),"-",""),8)))))," ",Общий!C517),0)</f>
        <v>0</v>
      </c>
      <c r="C517" s="29" t="str">
        <f>Общий!A517</f>
        <v>509</v>
      </c>
      <c r="D517" s="27">
        <f>Общий!B517</f>
        <v>0</v>
      </c>
      <c r="E517" s="28">
        <f>Общий!C517</f>
        <v>0</v>
      </c>
      <c r="G517" s="44"/>
      <c r="H517" s="44"/>
      <c r="I517" s="44"/>
      <c r="J517" s="35"/>
    </row>
    <row r="518" spans="1:10">
      <c r="A518" s="31">
        <f>IFERROR(VALUE(IF(LEN(IFERROR(VALUE(MID(TRIM(SUBSTITUTE(SUBSTITUTE(MID(Общий!B518,SEARCH("Karcher",Общий!B518,1),19),".",""),"-","")),SEARCH("Karcher",TRIM(SUBSTITUTE(SUBSTITUTE(MID(Общий!B518,SEARCH("Karcher",Общий!B518,1),19),".",""),"-","")),1)+8,8)),VALUE(LEFT(SUBSTITUTE(SUBSTITUTE(Общий!B518,".",""),"-",""),8))))=7,CONCATENATE(IFERROR(VALUE(MID(TRIM(SUBSTITUTE(SUBSTITUTE(MID(Общий!B518,SEARCH("Karcher",Общий!B518,1),19),".",""),"-","")),SEARCH("Karcher",TRIM(SUBSTITUTE(SUBSTITUTE(MID(Общий!B518,SEARCH("Karcher",Общий!B518,1),19),".",""),"-","")),1)+8,8)),VALUE(LEFT(SUBSTITUTE(SUBSTITUTE(Общий!B518,".",""),"-",""),8))),"0"),IFERROR(VALUE(MID(TRIM(SUBSTITUTE(SUBSTITUTE(MID(Общий!B518,SEARCH("Karcher",Общий!B518,1),19),".",""),"-","")),SEARCH("Karcher",TRIM(SUBSTITUTE(SUBSTITUTE(MID(Общий!B518,SEARCH("Karcher",Общий!B518,1),19),".",""),"-","")),1)+8,8)),VALUE(LEFT(SUBSTITUTE(SUBSTITUTE(Общий!B518,".",""),"-",""),8))))),0)</f>
        <v>0</v>
      </c>
      <c r="B518" s="25">
        <f>IFERROR(CONCATENATE(VALUE(IF(LEN(IFERROR(VALUE(MID(TRIM(SUBSTITUTE(SUBSTITUTE(MID(Общий!B518,SEARCH("Karcher",Общий!B518,1),19),".",""),"-","")),SEARCH("Karcher",TRIM(SUBSTITUTE(SUBSTITUTE(MID(Общий!B518,SEARCH("Karcher",Общий!B518,1),19),".",""),"-","")),1)+8,8)),VALUE(LEFT(SUBSTITUTE(SUBSTITUTE(Общий!B518,".",""),"-",""),8))))=7,CONCATENATE(IFERROR(VALUE(MID(TRIM(SUBSTITUTE(SUBSTITUTE(MID(Общий!B518,SEARCH("Karcher",Общий!B518,1),19),".",""),"-","")),SEARCH("Karcher",TRIM(SUBSTITUTE(SUBSTITUTE(MID(Общий!B518,SEARCH("Karcher",Общий!B518,1),19),".",""),"-","")),1)+8,8)),VALUE(LEFT(SUBSTITUTE(SUBSTITUTE(Общий!B518,".",""),"-",""),8))),"0"),IFERROR(VALUE(MID(TRIM(SUBSTITUTE(SUBSTITUTE(MID(Общий!B518,SEARCH("Karcher",Общий!B518,1),19),".",""),"-","")),SEARCH("Karcher",TRIM(SUBSTITUTE(SUBSTITUTE(MID(Общий!B518,SEARCH("Karcher",Общий!B518,1),19),".",""),"-","")),1)+8,8)),VALUE(LEFT(SUBSTITUTE(SUBSTITUTE(Общий!B518,".",""),"-",""),8)))))," ",Общий!C518),0)</f>
        <v>0</v>
      </c>
      <c r="C518" s="29" t="str">
        <f>Общий!A518</f>
        <v>510</v>
      </c>
      <c r="D518" s="27">
        <f>Общий!B518</f>
        <v>0</v>
      </c>
      <c r="E518" s="28">
        <f>Общий!C518</f>
        <v>0</v>
      </c>
      <c r="G518" s="44"/>
      <c r="H518" s="44"/>
      <c r="I518" s="44"/>
      <c r="J518" s="35"/>
    </row>
    <row r="519" spans="1:10">
      <c r="A519" s="31">
        <f>IFERROR(VALUE(IF(LEN(IFERROR(VALUE(MID(TRIM(SUBSTITUTE(SUBSTITUTE(MID(Общий!B519,SEARCH("Karcher",Общий!B519,1),19),".",""),"-","")),SEARCH("Karcher",TRIM(SUBSTITUTE(SUBSTITUTE(MID(Общий!B519,SEARCH("Karcher",Общий!B519,1),19),".",""),"-","")),1)+8,8)),VALUE(LEFT(SUBSTITUTE(SUBSTITUTE(Общий!B519,".",""),"-",""),8))))=7,CONCATENATE(IFERROR(VALUE(MID(TRIM(SUBSTITUTE(SUBSTITUTE(MID(Общий!B519,SEARCH("Karcher",Общий!B519,1),19),".",""),"-","")),SEARCH("Karcher",TRIM(SUBSTITUTE(SUBSTITUTE(MID(Общий!B519,SEARCH("Karcher",Общий!B519,1),19),".",""),"-","")),1)+8,8)),VALUE(LEFT(SUBSTITUTE(SUBSTITUTE(Общий!B519,".",""),"-",""),8))),"0"),IFERROR(VALUE(MID(TRIM(SUBSTITUTE(SUBSTITUTE(MID(Общий!B519,SEARCH("Karcher",Общий!B519,1),19),".",""),"-","")),SEARCH("Karcher",TRIM(SUBSTITUTE(SUBSTITUTE(MID(Общий!B519,SEARCH("Karcher",Общий!B519,1),19),".",""),"-","")),1)+8,8)),VALUE(LEFT(SUBSTITUTE(SUBSTITUTE(Общий!B519,".",""),"-",""),8))))),0)</f>
        <v>0</v>
      </c>
      <c r="B519" s="25">
        <f>IFERROR(CONCATENATE(VALUE(IF(LEN(IFERROR(VALUE(MID(TRIM(SUBSTITUTE(SUBSTITUTE(MID(Общий!B519,SEARCH("Karcher",Общий!B519,1),19),".",""),"-","")),SEARCH("Karcher",TRIM(SUBSTITUTE(SUBSTITUTE(MID(Общий!B519,SEARCH("Karcher",Общий!B519,1),19),".",""),"-","")),1)+8,8)),VALUE(LEFT(SUBSTITUTE(SUBSTITUTE(Общий!B519,".",""),"-",""),8))))=7,CONCATENATE(IFERROR(VALUE(MID(TRIM(SUBSTITUTE(SUBSTITUTE(MID(Общий!B519,SEARCH("Karcher",Общий!B519,1),19),".",""),"-","")),SEARCH("Karcher",TRIM(SUBSTITUTE(SUBSTITUTE(MID(Общий!B519,SEARCH("Karcher",Общий!B519,1),19),".",""),"-","")),1)+8,8)),VALUE(LEFT(SUBSTITUTE(SUBSTITUTE(Общий!B519,".",""),"-",""),8))),"0"),IFERROR(VALUE(MID(TRIM(SUBSTITUTE(SUBSTITUTE(MID(Общий!B519,SEARCH("Karcher",Общий!B519,1),19),".",""),"-","")),SEARCH("Karcher",TRIM(SUBSTITUTE(SUBSTITUTE(MID(Общий!B519,SEARCH("Karcher",Общий!B519,1),19),".",""),"-","")),1)+8,8)),VALUE(LEFT(SUBSTITUTE(SUBSTITUTE(Общий!B519,".",""),"-",""),8)))))," ",Общий!C519),0)</f>
        <v>0</v>
      </c>
      <c r="C519" s="29" t="str">
        <f>Общий!A519</f>
        <v>511</v>
      </c>
      <c r="D519" s="27">
        <f>Общий!B519</f>
        <v>0</v>
      </c>
      <c r="E519" s="28">
        <f>Общий!C519</f>
        <v>0</v>
      </c>
      <c r="G519" s="44"/>
      <c r="H519" s="44"/>
      <c r="I519" s="44"/>
      <c r="J519" s="35"/>
    </row>
    <row r="520" spans="1:10">
      <c r="A520" s="31">
        <f>IFERROR(VALUE(IF(LEN(IFERROR(VALUE(MID(TRIM(SUBSTITUTE(SUBSTITUTE(MID(Общий!B520,SEARCH("Karcher",Общий!B520,1),19),".",""),"-","")),SEARCH("Karcher",TRIM(SUBSTITUTE(SUBSTITUTE(MID(Общий!B520,SEARCH("Karcher",Общий!B520,1),19),".",""),"-","")),1)+8,8)),VALUE(LEFT(SUBSTITUTE(SUBSTITUTE(Общий!B520,".",""),"-",""),8))))=7,CONCATENATE(IFERROR(VALUE(MID(TRIM(SUBSTITUTE(SUBSTITUTE(MID(Общий!B520,SEARCH("Karcher",Общий!B520,1),19),".",""),"-","")),SEARCH("Karcher",TRIM(SUBSTITUTE(SUBSTITUTE(MID(Общий!B520,SEARCH("Karcher",Общий!B520,1),19),".",""),"-","")),1)+8,8)),VALUE(LEFT(SUBSTITUTE(SUBSTITUTE(Общий!B520,".",""),"-",""),8))),"0"),IFERROR(VALUE(MID(TRIM(SUBSTITUTE(SUBSTITUTE(MID(Общий!B520,SEARCH("Karcher",Общий!B520,1),19),".",""),"-","")),SEARCH("Karcher",TRIM(SUBSTITUTE(SUBSTITUTE(MID(Общий!B520,SEARCH("Karcher",Общий!B520,1),19),".",""),"-","")),1)+8,8)),VALUE(LEFT(SUBSTITUTE(SUBSTITUTE(Общий!B520,".",""),"-",""),8))))),0)</f>
        <v>0</v>
      </c>
      <c r="B520" s="25">
        <f>IFERROR(CONCATENATE(VALUE(IF(LEN(IFERROR(VALUE(MID(TRIM(SUBSTITUTE(SUBSTITUTE(MID(Общий!B520,SEARCH("Karcher",Общий!B520,1),19),".",""),"-","")),SEARCH("Karcher",TRIM(SUBSTITUTE(SUBSTITUTE(MID(Общий!B520,SEARCH("Karcher",Общий!B520,1),19),".",""),"-","")),1)+8,8)),VALUE(LEFT(SUBSTITUTE(SUBSTITUTE(Общий!B520,".",""),"-",""),8))))=7,CONCATENATE(IFERROR(VALUE(MID(TRIM(SUBSTITUTE(SUBSTITUTE(MID(Общий!B520,SEARCH("Karcher",Общий!B520,1),19),".",""),"-","")),SEARCH("Karcher",TRIM(SUBSTITUTE(SUBSTITUTE(MID(Общий!B520,SEARCH("Karcher",Общий!B520,1),19),".",""),"-","")),1)+8,8)),VALUE(LEFT(SUBSTITUTE(SUBSTITUTE(Общий!B520,".",""),"-",""),8))),"0"),IFERROR(VALUE(MID(TRIM(SUBSTITUTE(SUBSTITUTE(MID(Общий!B520,SEARCH("Karcher",Общий!B520,1),19),".",""),"-","")),SEARCH("Karcher",TRIM(SUBSTITUTE(SUBSTITUTE(MID(Общий!B520,SEARCH("Karcher",Общий!B520,1),19),".",""),"-","")),1)+8,8)),VALUE(LEFT(SUBSTITUTE(SUBSTITUTE(Общий!B520,".",""),"-",""),8)))))," ",Общий!C520),0)</f>
        <v>0</v>
      </c>
      <c r="C520" s="29" t="str">
        <f>Общий!A520</f>
        <v>512</v>
      </c>
      <c r="D520" s="27">
        <f>Общий!B520</f>
        <v>0</v>
      </c>
      <c r="E520" s="28">
        <f>Общий!C520</f>
        <v>0</v>
      </c>
      <c r="G520" s="44"/>
      <c r="H520" s="44"/>
      <c r="I520" s="44"/>
      <c r="J520" s="35"/>
    </row>
    <row r="521" spans="1:10">
      <c r="A521" s="31">
        <f>IFERROR(VALUE(IF(LEN(IFERROR(VALUE(MID(TRIM(SUBSTITUTE(SUBSTITUTE(MID(Общий!B521,SEARCH("Karcher",Общий!B521,1),19),".",""),"-","")),SEARCH("Karcher",TRIM(SUBSTITUTE(SUBSTITUTE(MID(Общий!B521,SEARCH("Karcher",Общий!B521,1),19),".",""),"-","")),1)+8,8)),VALUE(LEFT(SUBSTITUTE(SUBSTITUTE(Общий!B521,".",""),"-",""),8))))=7,CONCATENATE(IFERROR(VALUE(MID(TRIM(SUBSTITUTE(SUBSTITUTE(MID(Общий!B521,SEARCH("Karcher",Общий!B521,1),19),".",""),"-","")),SEARCH("Karcher",TRIM(SUBSTITUTE(SUBSTITUTE(MID(Общий!B521,SEARCH("Karcher",Общий!B521,1),19),".",""),"-","")),1)+8,8)),VALUE(LEFT(SUBSTITUTE(SUBSTITUTE(Общий!B521,".",""),"-",""),8))),"0"),IFERROR(VALUE(MID(TRIM(SUBSTITUTE(SUBSTITUTE(MID(Общий!B521,SEARCH("Karcher",Общий!B521,1),19),".",""),"-","")),SEARCH("Karcher",TRIM(SUBSTITUTE(SUBSTITUTE(MID(Общий!B521,SEARCH("Karcher",Общий!B521,1),19),".",""),"-","")),1)+8,8)),VALUE(LEFT(SUBSTITUTE(SUBSTITUTE(Общий!B521,".",""),"-",""),8))))),0)</f>
        <v>0</v>
      </c>
      <c r="B521" s="25">
        <f>IFERROR(CONCATENATE(VALUE(IF(LEN(IFERROR(VALUE(MID(TRIM(SUBSTITUTE(SUBSTITUTE(MID(Общий!B521,SEARCH("Karcher",Общий!B521,1),19),".",""),"-","")),SEARCH("Karcher",TRIM(SUBSTITUTE(SUBSTITUTE(MID(Общий!B521,SEARCH("Karcher",Общий!B521,1),19),".",""),"-","")),1)+8,8)),VALUE(LEFT(SUBSTITUTE(SUBSTITUTE(Общий!B521,".",""),"-",""),8))))=7,CONCATENATE(IFERROR(VALUE(MID(TRIM(SUBSTITUTE(SUBSTITUTE(MID(Общий!B521,SEARCH("Karcher",Общий!B521,1),19),".",""),"-","")),SEARCH("Karcher",TRIM(SUBSTITUTE(SUBSTITUTE(MID(Общий!B521,SEARCH("Karcher",Общий!B521,1),19),".",""),"-","")),1)+8,8)),VALUE(LEFT(SUBSTITUTE(SUBSTITUTE(Общий!B521,".",""),"-",""),8))),"0"),IFERROR(VALUE(MID(TRIM(SUBSTITUTE(SUBSTITUTE(MID(Общий!B521,SEARCH("Karcher",Общий!B521,1),19),".",""),"-","")),SEARCH("Karcher",TRIM(SUBSTITUTE(SUBSTITUTE(MID(Общий!B521,SEARCH("Karcher",Общий!B521,1),19),".",""),"-","")),1)+8,8)),VALUE(LEFT(SUBSTITUTE(SUBSTITUTE(Общий!B521,".",""),"-",""),8)))))," ",Общий!C521),0)</f>
        <v>0</v>
      </c>
      <c r="C521" s="29" t="str">
        <f>Общий!A521</f>
        <v>513</v>
      </c>
      <c r="D521" s="27">
        <f>Общий!B521</f>
        <v>0</v>
      </c>
      <c r="E521" s="28">
        <f>Общий!C521</f>
        <v>0</v>
      </c>
      <c r="G521" s="44"/>
      <c r="H521" s="44"/>
      <c r="I521" s="44"/>
      <c r="J521" s="35"/>
    </row>
    <row r="522" spans="1:10">
      <c r="A522" s="31">
        <f>IFERROR(VALUE(IF(LEN(IFERROR(VALUE(MID(TRIM(SUBSTITUTE(SUBSTITUTE(MID(Общий!B522,SEARCH("Karcher",Общий!B522,1),19),".",""),"-","")),SEARCH("Karcher",TRIM(SUBSTITUTE(SUBSTITUTE(MID(Общий!B522,SEARCH("Karcher",Общий!B522,1),19),".",""),"-","")),1)+8,8)),VALUE(LEFT(SUBSTITUTE(SUBSTITUTE(Общий!B522,".",""),"-",""),8))))=7,CONCATENATE(IFERROR(VALUE(MID(TRIM(SUBSTITUTE(SUBSTITUTE(MID(Общий!B522,SEARCH("Karcher",Общий!B522,1),19),".",""),"-","")),SEARCH("Karcher",TRIM(SUBSTITUTE(SUBSTITUTE(MID(Общий!B522,SEARCH("Karcher",Общий!B522,1),19),".",""),"-","")),1)+8,8)),VALUE(LEFT(SUBSTITUTE(SUBSTITUTE(Общий!B522,".",""),"-",""),8))),"0"),IFERROR(VALUE(MID(TRIM(SUBSTITUTE(SUBSTITUTE(MID(Общий!B522,SEARCH("Karcher",Общий!B522,1),19),".",""),"-","")),SEARCH("Karcher",TRIM(SUBSTITUTE(SUBSTITUTE(MID(Общий!B522,SEARCH("Karcher",Общий!B522,1),19),".",""),"-","")),1)+8,8)),VALUE(LEFT(SUBSTITUTE(SUBSTITUTE(Общий!B522,".",""),"-",""),8))))),0)</f>
        <v>0</v>
      </c>
      <c r="B522" s="25">
        <f>IFERROR(CONCATENATE(VALUE(IF(LEN(IFERROR(VALUE(MID(TRIM(SUBSTITUTE(SUBSTITUTE(MID(Общий!B522,SEARCH("Karcher",Общий!B522,1),19),".",""),"-","")),SEARCH("Karcher",TRIM(SUBSTITUTE(SUBSTITUTE(MID(Общий!B522,SEARCH("Karcher",Общий!B522,1),19),".",""),"-","")),1)+8,8)),VALUE(LEFT(SUBSTITUTE(SUBSTITUTE(Общий!B522,".",""),"-",""),8))))=7,CONCATENATE(IFERROR(VALUE(MID(TRIM(SUBSTITUTE(SUBSTITUTE(MID(Общий!B522,SEARCH("Karcher",Общий!B522,1),19),".",""),"-","")),SEARCH("Karcher",TRIM(SUBSTITUTE(SUBSTITUTE(MID(Общий!B522,SEARCH("Karcher",Общий!B522,1),19),".",""),"-","")),1)+8,8)),VALUE(LEFT(SUBSTITUTE(SUBSTITUTE(Общий!B522,".",""),"-",""),8))),"0"),IFERROR(VALUE(MID(TRIM(SUBSTITUTE(SUBSTITUTE(MID(Общий!B522,SEARCH("Karcher",Общий!B522,1),19),".",""),"-","")),SEARCH("Karcher",TRIM(SUBSTITUTE(SUBSTITUTE(MID(Общий!B522,SEARCH("Karcher",Общий!B522,1),19),".",""),"-","")),1)+8,8)),VALUE(LEFT(SUBSTITUTE(SUBSTITUTE(Общий!B522,".",""),"-",""),8)))))," ",Общий!C522),0)</f>
        <v>0</v>
      </c>
      <c r="C522" s="29" t="str">
        <f>Общий!A522</f>
        <v>514</v>
      </c>
      <c r="D522" s="27">
        <f>Общий!B522</f>
        <v>0</v>
      </c>
      <c r="E522" s="28">
        <f>Общий!C522</f>
        <v>0</v>
      </c>
      <c r="G522" s="44"/>
      <c r="H522" s="44"/>
      <c r="I522" s="44"/>
      <c r="J522" s="35"/>
    </row>
    <row r="523" spans="1:10">
      <c r="A523" s="31">
        <f>IFERROR(VALUE(IF(LEN(IFERROR(VALUE(MID(TRIM(SUBSTITUTE(SUBSTITUTE(MID(Общий!B523,SEARCH("Karcher",Общий!B523,1),19),".",""),"-","")),SEARCH("Karcher",TRIM(SUBSTITUTE(SUBSTITUTE(MID(Общий!B523,SEARCH("Karcher",Общий!B523,1),19),".",""),"-","")),1)+8,8)),VALUE(LEFT(SUBSTITUTE(SUBSTITUTE(Общий!B523,".",""),"-",""),8))))=7,CONCATENATE(IFERROR(VALUE(MID(TRIM(SUBSTITUTE(SUBSTITUTE(MID(Общий!B523,SEARCH("Karcher",Общий!B523,1),19),".",""),"-","")),SEARCH("Karcher",TRIM(SUBSTITUTE(SUBSTITUTE(MID(Общий!B523,SEARCH("Karcher",Общий!B523,1),19),".",""),"-","")),1)+8,8)),VALUE(LEFT(SUBSTITUTE(SUBSTITUTE(Общий!B523,".",""),"-",""),8))),"0"),IFERROR(VALUE(MID(TRIM(SUBSTITUTE(SUBSTITUTE(MID(Общий!B523,SEARCH("Karcher",Общий!B523,1),19),".",""),"-","")),SEARCH("Karcher",TRIM(SUBSTITUTE(SUBSTITUTE(MID(Общий!B523,SEARCH("Karcher",Общий!B523,1),19),".",""),"-","")),1)+8,8)),VALUE(LEFT(SUBSTITUTE(SUBSTITUTE(Общий!B523,".",""),"-",""),8))))),0)</f>
        <v>0</v>
      </c>
      <c r="B523" s="25">
        <f>IFERROR(CONCATENATE(VALUE(IF(LEN(IFERROR(VALUE(MID(TRIM(SUBSTITUTE(SUBSTITUTE(MID(Общий!B523,SEARCH("Karcher",Общий!B523,1),19),".",""),"-","")),SEARCH("Karcher",TRIM(SUBSTITUTE(SUBSTITUTE(MID(Общий!B523,SEARCH("Karcher",Общий!B523,1),19),".",""),"-","")),1)+8,8)),VALUE(LEFT(SUBSTITUTE(SUBSTITUTE(Общий!B523,".",""),"-",""),8))))=7,CONCATENATE(IFERROR(VALUE(MID(TRIM(SUBSTITUTE(SUBSTITUTE(MID(Общий!B523,SEARCH("Karcher",Общий!B523,1),19),".",""),"-","")),SEARCH("Karcher",TRIM(SUBSTITUTE(SUBSTITUTE(MID(Общий!B523,SEARCH("Karcher",Общий!B523,1),19),".",""),"-","")),1)+8,8)),VALUE(LEFT(SUBSTITUTE(SUBSTITUTE(Общий!B523,".",""),"-",""),8))),"0"),IFERROR(VALUE(MID(TRIM(SUBSTITUTE(SUBSTITUTE(MID(Общий!B523,SEARCH("Karcher",Общий!B523,1),19),".",""),"-","")),SEARCH("Karcher",TRIM(SUBSTITUTE(SUBSTITUTE(MID(Общий!B523,SEARCH("Karcher",Общий!B523,1),19),".",""),"-","")),1)+8,8)),VALUE(LEFT(SUBSTITUTE(SUBSTITUTE(Общий!B523,".",""),"-",""),8)))))," ",Общий!C523),0)</f>
        <v>0</v>
      </c>
      <c r="C523" s="29" t="str">
        <f>Общий!A523</f>
        <v>515</v>
      </c>
      <c r="D523" s="27">
        <f>Общий!B523</f>
        <v>0</v>
      </c>
      <c r="E523" s="28">
        <f>Общий!C523</f>
        <v>0</v>
      </c>
      <c r="G523" s="44"/>
      <c r="H523" s="44"/>
      <c r="I523" s="44"/>
      <c r="J523" s="35"/>
    </row>
    <row r="524" spans="1:10">
      <c r="A524" s="31">
        <f>IFERROR(VALUE(IF(LEN(IFERROR(VALUE(MID(TRIM(SUBSTITUTE(SUBSTITUTE(MID(Общий!B524,SEARCH("Karcher",Общий!B524,1),19),".",""),"-","")),SEARCH("Karcher",TRIM(SUBSTITUTE(SUBSTITUTE(MID(Общий!B524,SEARCH("Karcher",Общий!B524,1),19),".",""),"-","")),1)+8,8)),VALUE(LEFT(SUBSTITUTE(SUBSTITUTE(Общий!B524,".",""),"-",""),8))))=7,CONCATENATE(IFERROR(VALUE(MID(TRIM(SUBSTITUTE(SUBSTITUTE(MID(Общий!B524,SEARCH("Karcher",Общий!B524,1),19),".",""),"-","")),SEARCH("Karcher",TRIM(SUBSTITUTE(SUBSTITUTE(MID(Общий!B524,SEARCH("Karcher",Общий!B524,1),19),".",""),"-","")),1)+8,8)),VALUE(LEFT(SUBSTITUTE(SUBSTITUTE(Общий!B524,".",""),"-",""),8))),"0"),IFERROR(VALUE(MID(TRIM(SUBSTITUTE(SUBSTITUTE(MID(Общий!B524,SEARCH("Karcher",Общий!B524,1),19),".",""),"-","")),SEARCH("Karcher",TRIM(SUBSTITUTE(SUBSTITUTE(MID(Общий!B524,SEARCH("Karcher",Общий!B524,1),19),".",""),"-","")),1)+8,8)),VALUE(LEFT(SUBSTITUTE(SUBSTITUTE(Общий!B524,".",""),"-",""),8))))),0)</f>
        <v>0</v>
      </c>
      <c r="B524" s="25">
        <f>IFERROR(CONCATENATE(VALUE(IF(LEN(IFERROR(VALUE(MID(TRIM(SUBSTITUTE(SUBSTITUTE(MID(Общий!B524,SEARCH("Karcher",Общий!B524,1),19),".",""),"-","")),SEARCH("Karcher",TRIM(SUBSTITUTE(SUBSTITUTE(MID(Общий!B524,SEARCH("Karcher",Общий!B524,1),19),".",""),"-","")),1)+8,8)),VALUE(LEFT(SUBSTITUTE(SUBSTITUTE(Общий!B524,".",""),"-",""),8))))=7,CONCATENATE(IFERROR(VALUE(MID(TRIM(SUBSTITUTE(SUBSTITUTE(MID(Общий!B524,SEARCH("Karcher",Общий!B524,1),19),".",""),"-","")),SEARCH("Karcher",TRIM(SUBSTITUTE(SUBSTITUTE(MID(Общий!B524,SEARCH("Karcher",Общий!B524,1),19),".",""),"-","")),1)+8,8)),VALUE(LEFT(SUBSTITUTE(SUBSTITUTE(Общий!B524,".",""),"-",""),8))),"0"),IFERROR(VALUE(MID(TRIM(SUBSTITUTE(SUBSTITUTE(MID(Общий!B524,SEARCH("Karcher",Общий!B524,1),19),".",""),"-","")),SEARCH("Karcher",TRIM(SUBSTITUTE(SUBSTITUTE(MID(Общий!B524,SEARCH("Karcher",Общий!B524,1),19),".",""),"-","")),1)+8,8)),VALUE(LEFT(SUBSTITUTE(SUBSTITUTE(Общий!B524,".",""),"-",""),8)))))," ",Общий!C524),0)</f>
        <v>0</v>
      </c>
      <c r="C524" s="29" t="str">
        <f>Общий!A524</f>
        <v>516</v>
      </c>
      <c r="D524" s="27">
        <f>Общий!B524</f>
        <v>0</v>
      </c>
      <c r="E524" s="28">
        <f>Общий!C524</f>
        <v>0</v>
      </c>
      <c r="G524" s="44"/>
      <c r="H524" s="44"/>
      <c r="I524" s="44"/>
      <c r="J524" s="35"/>
    </row>
    <row r="525" spans="1:10">
      <c r="A525" s="31">
        <f>IFERROR(VALUE(IF(LEN(IFERROR(VALUE(MID(TRIM(SUBSTITUTE(SUBSTITUTE(MID(Общий!B525,SEARCH("Karcher",Общий!B525,1),19),".",""),"-","")),SEARCH("Karcher",TRIM(SUBSTITUTE(SUBSTITUTE(MID(Общий!B525,SEARCH("Karcher",Общий!B525,1),19),".",""),"-","")),1)+8,8)),VALUE(LEFT(SUBSTITUTE(SUBSTITUTE(Общий!B525,".",""),"-",""),8))))=7,CONCATENATE(IFERROR(VALUE(MID(TRIM(SUBSTITUTE(SUBSTITUTE(MID(Общий!B525,SEARCH("Karcher",Общий!B525,1),19),".",""),"-","")),SEARCH("Karcher",TRIM(SUBSTITUTE(SUBSTITUTE(MID(Общий!B525,SEARCH("Karcher",Общий!B525,1),19),".",""),"-","")),1)+8,8)),VALUE(LEFT(SUBSTITUTE(SUBSTITUTE(Общий!B525,".",""),"-",""),8))),"0"),IFERROR(VALUE(MID(TRIM(SUBSTITUTE(SUBSTITUTE(MID(Общий!B525,SEARCH("Karcher",Общий!B525,1),19),".",""),"-","")),SEARCH("Karcher",TRIM(SUBSTITUTE(SUBSTITUTE(MID(Общий!B525,SEARCH("Karcher",Общий!B525,1),19),".",""),"-","")),1)+8,8)),VALUE(LEFT(SUBSTITUTE(SUBSTITUTE(Общий!B525,".",""),"-",""),8))))),0)</f>
        <v>0</v>
      </c>
      <c r="B525" s="25">
        <f>IFERROR(CONCATENATE(VALUE(IF(LEN(IFERROR(VALUE(MID(TRIM(SUBSTITUTE(SUBSTITUTE(MID(Общий!B525,SEARCH("Karcher",Общий!B525,1),19),".",""),"-","")),SEARCH("Karcher",TRIM(SUBSTITUTE(SUBSTITUTE(MID(Общий!B525,SEARCH("Karcher",Общий!B525,1),19),".",""),"-","")),1)+8,8)),VALUE(LEFT(SUBSTITUTE(SUBSTITUTE(Общий!B525,".",""),"-",""),8))))=7,CONCATENATE(IFERROR(VALUE(MID(TRIM(SUBSTITUTE(SUBSTITUTE(MID(Общий!B525,SEARCH("Karcher",Общий!B525,1),19),".",""),"-","")),SEARCH("Karcher",TRIM(SUBSTITUTE(SUBSTITUTE(MID(Общий!B525,SEARCH("Karcher",Общий!B525,1),19),".",""),"-","")),1)+8,8)),VALUE(LEFT(SUBSTITUTE(SUBSTITUTE(Общий!B525,".",""),"-",""),8))),"0"),IFERROR(VALUE(MID(TRIM(SUBSTITUTE(SUBSTITUTE(MID(Общий!B525,SEARCH("Karcher",Общий!B525,1),19),".",""),"-","")),SEARCH("Karcher",TRIM(SUBSTITUTE(SUBSTITUTE(MID(Общий!B525,SEARCH("Karcher",Общий!B525,1),19),".",""),"-","")),1)+8,8)),VALUE(LEFT(SUBSTITUTE(SUBSTITUTE(Общий!B525,".",""),"-",""),8)))))," ",Общий!C525),0)</f>
        <v>0</v>
      </c>
      <c r="C525" s="29" t="str">
        <f>Общий!A525</f>
        <v>517</v>
      </c>
      <c r="D525" s="27">
        <f>Общий!B525</f>
        <v>0</v>
      </c>
      <c r="E525" s="28">
        <f>Общий!C525</f>
        <v>0</v>
      </c>
      <c r="G525" s="44"/>
      <c r="H525" s="44"/>
      <c r="I525" s="44"/>
      <c r="J525" s="35"/>
    </row>
    <row r="526" spans="1:10">
      <c r="A526" s="31">
        <f>IFERROR(VALUE(IF(LEN(IFERROR(VALUE(MID(TRIM(SUBSTITUTE(SUBSTITUTE(MID(Общий!B526,SEARCH("Karcher",Общий!B526,1),19),".",""),"-","")),SEARCH("Karcher",TRIM(SUBSTITUTE(SUBSTITUTE(MID(Общий!B526,SEARCH("Karcher",Общий!B526,1),19),".",""),"-","")),1)+8,8)),VALUE(LEFT(SUBSTITUTE(SUBSTITUTE(Общий!B526,".",""),"-",""),8))))=7,CONCATENATE(IFERROR(VALUE(MID(TRIM(SUBSTITUTE(SUBSTITUTE(MID(Общий!B526,SEARCH("Karcher",Общий!B526,1),19),".",""),"-","")),SEARCH("Karcher",TRIM(SUBSTITUTE(SUBSTITUTE(MID(Общий!B526,SEARCH("Karcher",Общий!B526,1),19),".",""),"-","")),1)+8,8)),VALUE(LEFT(SUBSTITUTE(SUBSTITUTE(Общий!B526,".",""),"-",""),8))),"0"),IFERROR(VALUE(MID(TRIM(SUBSTITUTE(SUBSTITUTE(MID(Общий!B526,SEARCH("Karcher",Общий!B526,1),19),".",""),"-","")),SEARCH("Karcher",TRIM(SUBSTITUTE(SUBSTITUTE(MID(Общий!B526,SEARCH("Karcher",Общий!B526,1),19),".",""),"-","")),1)+8,8)),VALUE(LEFT(SUBSTITUTE(SUBSTITUTE(Общий!B526,".",""),"-",""),8))))),0)</f>
        <v>0</v>
      </c>
      <c r="B526" s="25">
        <f>IFERROR(CONCATENATE(VALUE(IF(LEN(IFERROR(VALUE(MID(TRIM(SUBSTITUTE(SUBSTITUTE(MID(Общий!B526,SEARCH("Karcher",Общий!B526,1),19),".",""),"-","")),SEARCH("Karcher",TRIM(SUBSTITUTE(SUBSTITUTE(MID(Общий!B526,SEARCH("Karcher",Общий!B526,1),19),".",""),"-","")),1)+8,8)),VALUE(LEFT(SUBSTITUTE(SUBSTITUTE(Общий!B526,".",""),"-",""),8))))=7,CONCATENATE(IFERROR(VALUE(MID(TRIM(SUBSTITUTE(SUBSTITUTE(MID(Общий!B526,SEARCH("Karcher",Общий!B526,1),19),".",""),"-","")),SEARCH("Karcher",TRIM(SUBSTITUTE(SUBSTITUTE(MID(Общий!B526,SEARCH("Karcher",Общий!B526,1),19),".",""),"-","")),1)+8,8)),VALUE(LEFT(SUBSTITUTE(SUBSTITUTE(Общий!B526,".",""),"-",""),8))),"0"),IFERROR(VALUE(MID(TRIM(SUBSTITUTE(SUBSTITUTE(MID(Общий!B526,SEARCH("Karcher",Общий!B526,1),19),".",""),"-","")),SEARCH("Karcher",TRIM(SUBSTITUTE(SUBSTITUTE(MID(Общий!B526,SEARCH("Karcher",Общий!B526,1),19),".",""),"-","")),1)+8,8)),VALUE(LEFT(SUBSTITUTE(SUBSTITUTE(Общий!B526,".",""),"-",""),8)))))," ",Общий!C526),0)</f>
        <v>0</v>
      </c>
      <c r="C526" s="29" t="str">
        <f>Общий!A526</f>
        <v>518</v>
      </c>
      <c r="D526" s="27">
        <f>Общий!B526</f>
        <v>0</v>
      </c>
      <c r="E526" s="28">
        <f>Общий!C526</f>
        <v>0</v>
      </c>
      <c r="G526" s="44"/>
      <c r="H526" s="44"/>
      <c r="I526" s="44"/>
      <c r="J526" s="35"/>
    </row>
    <row r="527" spans="1:10">
      <c r="A527" s="31">
        <f>IFERROR(VALUE(IF(LEN(IFERROR(VALUE(MID(TRIM(SUBSTITUTE(SUBSTITUTE(MID(Общий!B527,SEARCH("Karcher",Общий!B527,1),19),".",""),"-","")),SEARCH("Karcher",TRIM(SUBSTITUTE(SUBSTITUTE(MID(Общий!B527,SEARCH("Karcher",Общий!B527,1),19),".",""),"-","")),1)+8,8)),VALUE(LEFT(SUBSTITUTE(SUBSTITUTE(Общий!B527,".",""),"-",""),8))))=7,CONCATENATE(IFERROR(VALUE(MID(TRIM(SUBSTITUTE(SUBSTITUTE(MID(Общий!B527,SEARCH("Karcher",Общий!B527,1),19),".",""),"-","")),SEARCH("Karcher",TRIM(SUBSTITUTE(SUBSTITUTE(MID(Общий!B527,SEARCH("Karcher",Общий!B527,1),19),".",""),"-","")),1)+8,8)),VALUE(LEFT(SUBSTITUTE(SUBSTITUTE(Общий!B527,".",""),"-",""),8))),"0"),IFERROR(VALUE(MID(TRIM(SUBSTITUTE(SUBSTITUTE(MID(Общий!B527,SEARCH("Karcher",Общий!B527,1),19),".",""),"-","")),SEARCH("Karcher",TRIM(SUBSTITUTE(SUBSTITUTE(MID(Общий!B527,SEARCH("Karcher",Общий!B527,1),19),".",""),"-","")),1)+8,8)),VALUE(LEFT(SUBSTITUTE(SUBSTITUTE(Общий!B527,".",""),"-",""),8))))),0)</f>
        <v>0</v>
      </c>
      <c r="B527" s="25">
        <f>IFERROR(CONCATENATE(VALUE(IF(LEN(IFERROR(VALUE(MID(TRIM(SUBSTITUTE(SUBSTITUTE(MID(Общий!B527,SEARCH("Karcher",Общий!B527,1),19),".",""),"-","")),SEARCH("Karcher",TRIM(SUBSTITUTE(SUBSTITUTE(MID(Общий!B527,SEARCH("Karcher",Общий!B527,1),19),".",""),"-","")),1)+8,8)),VALUE(LEFT(SUBSTITUTE(SUBSTITUTE(Общий!B527,".",""),"-",""),8))))=7,CONCATENATE(IFERROR(VALUE(MID(TRIM(SUBSTITUTE(SUBSTITUTE(MID(Общий!B527,SEARCH("Karcher",Общий!B527,1),19),".",""),"-","")),SEARCH("Karcher",TRIM(SUBSTITUTE(SUBSTITUTE(MID(Общий!B527,SEARCH("Karcher",Общий!B527,1),19),".",""),"-","")),1)+8,8)),VALUE(LEFT(SUBSTITUTE(SUBSTITUTE(Общий!B527,".",""),"-",""),8))),"0"),IFERROR(VALUE(MID(TRIM(SUBSTITUTE(SUBSTITUTE(MID(Общий!B527,SEARCH("Karcher",Общий!B527,1),19),".",""),"-","")),SEARCH("Karcher",TRIM(SUBSTITUTE(SUBSTITUTE(MID(Общий!B527,SEARCH("Karcher",Общий!B527,1),19),".",""),"-","")),1)+8,8)),VALUE(LEFT(SUBSTITUTE(SUBSTITUTE(Общий!B527,".",""),"-",""),8)))))," ",Общий!C527),0)</f>
        <v>0</v>
      </c>
      <c r="C527" s="29" t="str">
        <f>Общий!A527</f>
        <v>519</v>
      </c>
      <c r="D527" s="27">
        <f>Общий!B527</f>
        <v>0</v>
      </c>
      <c r="E527" s="28">
        <f>Общий!C527</f>
        <v>0</v>
      </c>
      <c r="G527" s="44"/>
      <c r="H527" s="44"/>
      <c r="I527" s="44"/>
      <c r="J527" s="35"/>
    </row>
    <row r="528" spans="1:10">
      <c r="A528" s="31">
        <f>IFERROR(VALUE(IF(LEN(IFERROR(VALUE(MID(TRIM(SUBSTITUTE(SUBSTITUTE(MID(Общий!B528,SEARCH("Karcher",Общий!B528,1),19),".",""),"-","")),SEARCH("Karcher",TRIM(SUBSTITUTE(SUBSTITUTE(MID(Общий!B528,SEARCH("Karcher",Общий!B528,1),19),".",""),"-","")),1)+8,8)),VALUE(LEFT(SUBSTITUTE(SUBSTITUTE(Общий!B528,".",""),"-",""),8))))=7,CONCATENATE(IFERROR(VALUE(MID(TRIM(SUBSTITUTE(SUBSTITUTE(MID(Общий!B528,SEARCH("Karcher",Общий!B528,1),19),".",""),"-","")),SEARCH("Karcher",TRIM(SUBSTITUTE(SUBSTITUTE(MID(Общий!B528,SEARCH("Karcher",Общий!B528,1),19),".",""),"-","")),1)+8,8)),VALUE(LEFT(SUBSTITUTE(SUBSTITUTE(Общий!B528,".",""),"-",""),8))),"0"),IFERROR(VALUE(MID(TRIM(SUBSTITUTE(SUBSTITUTE(MID(Общий!B528,SEARCH("Karcher",Общий!B528,1),19),".",""),"-","")),SEARCH("Karcher",TRIM(SUBSTITUTE(SUBSTITUTE(MID(Общий!B528,SEARCH("Karcher",Общий!B528,1),19),".",""),"-","")),1)+8,8)),VALUE(LEFT(SUBSTITUTE(SUBSTITUTE(Общий!B528,".",""),"-",""),8))))),0)</f>
        <v>0</v>
      </c>
      <c r="B528" s="25">
        <f>IFERROR(CONCATENATE(VALUE(IF(LEN(IFERROR(VALUE(MID(TRIM(SUBSTITUTE(SUBSTITUTE(MID(Общий!B528,SEARCH("Karcher",Общий!B528,1),19),".",""),"-","")),SEARCH("Karcher",TRIM(SUBSTITUTE(SUBSTITUTE(MID(Общий!B528,SEARCH("Karcher",Общий!B528,1),19),".",""),"-","")),1)+8,8)),VALUE(LEFT(SUBSTITUTE(SUBSTITUTE(Общий!B528,".",""),"-",""),8))))=7,CONCATENATE(IFERROR(VALUE(MID(TRIM(SUBSTITUTE(SUBSTITUTE(MID(Общий!B528,SEARCH("Karcher",Общий!B528,1),19),".",""),"-","")),SEARCH("Karcher",TRIM(SUBSTITUTE(SUBSTITUTE(MID(Общий!B528,SEARCH("Karcher",Общий!B528,1),19),".",""),"-","")),1)+8,8)),VALUE(LEFT(SUBSTITUTE(SUBSTITUTE(Общий!B528,".",""),"-",""),8))),"0"),IFERROR(VALUE(MID(TRIM(SUBSTITUTE(SUBSTITUTE(MID(Общий!B528,SEARCH("Karcher",Общий!B528,1),19),".",""),"-","")),SEARCH("Karcher",TRIM(SUBSTITUTE(SUBSTITUTE(MID(Общий!B528,SEARCH("Karcher",Общий!B528,1),19),".",""),"-","")),1)+8,8)),VALUE(LEFT(SUBSTITUTE(SUBSTITUTE(Общий!B528,".",""),"-",""),8)))))," ",Общий!C528),0)</f>
        <v>0</v>
      </c>
      <c r="C528" s="29" t="str">
        <f>Общий!A528</f>
        <v>520</v>
      </c>
      <c r="D528" s="27">
        <f>Общий!B528</f>
        <v>0</v>
      </c>
      <c r="E528" s="28">
        <f>Общий!C528</f>
        <v>0</v>
      </c>
      <c r="G528" s="44"/>
      <c r="H528" s="44"/>
      <c r="I528" s="44"/>
      <c r="J528" s="35"/>
    </row>
    <row r="529" spans="1:10">
      <c r="A529" s="31">
        <f>IFERROR(VALUE(IF(LEN(IFERROR(VALUE(MID(TRIM(SUBSTITUTE(SUBSTITUTE(MID(Общий!B529,SEARCH("Karcher",Общий!B529,1),19),".",""),"-","")),SEARCH("Karcher",TRIM(SUBSTITUTE(SUBSTITUTE(MID(Общий!B529,SEARCH("Karcher",Общий!B529,1),19),".",""),"-","")),1)+8,8)),VALUE(LEFT(SUBSTITUTE(SUBSTITUTE(Общий!B529,".",""),"-",""),8))))=7,CONCATENATE(IFERROR(VALUE(MID(TRIM(SUBSTITUTE(SUBSTITUTE(MID(Общий!B529,SEARCH("Karcher",Общий!B529,1),19),".",""),"-","")),SEARCH("Karcher",TRIM(SUBSTITUTE(SUBSTITUTE(MID(Общий!B529,SEARCH("Karcher",Общий!B529,1),19),".",""),"-","")),1)+8,8)),VALUE(LEFT(SUBSTITUTE(SUBSTITUTE(Общий!B529,".",""),"-",""),8))),"0"),IFERROR(VALUE(MID(TRIM(SUBSTITUTE(SUBSTITUTE(MID(Общий!B529,SEARCH("Karcher",Общий!B529,1),19),".",""),"-","")),SEARCH("Karcher",TRIM(SUBSTITUTE(SUBSTITUTE(MID(Общий!B529,SEARCH("Karcher",Общий!B529,1),19),".",""),"-","")),1)+8,8)),VALUE(LEFT(SUBSTITUTE(SUBSTITUTE(Общий!B529,".",""),"-",""),8))))),0)</f>
        <v>0</v>
      </c>
      <c r="B529" s="25">
        <f>IFERROR(CONCATENATE(VALUE(IF(LEN(IFERROR(VALUE(MID(TRIM(SUBSTITUTE(SUBSTITUTE(MID(Общий!B529,SEARCH("Karcher",Общий!B529,1),19),".",""),"-","")),SEARCH("Karcher",TRIM(SUBSTITUTE(SUBSTITUTE(MID(Общий!B529,SEARCH("Karcher",Общий!B529,1),19),".",""),"-","")),1)+8,8)),VALUE(LEFT(SUBSTITUTE(SUBSTITUTE(Общий!B529,".",""),"-",""),8))))=7,CONCATENATE(IFERROR(VALUE(MID(TRIM(SUBSTITUTE(SUBSTITUTE(MID(Общий!B529,SEARCH("Karcher",Общий!B529,1),19),".",""),"-","")),SEARCH("Karcher",TRIM(SUBSTITUTE(SUBSTITUTE(MID(Общий!B529,SEARCH("Karcher",Общий!B529,1),19),".",""),"-","")),1)+8,8)),VALUE(LEFT(SUBSTITUTE(SUBSTITUTE(Общий!B529,".",""),"-",""),8))),"0"),IFERROR(VALUE(MID(TRIM(SUBSTITUTE(SUBSTITUTE(MID(Общий!B529,SEARCH("Karcher",Общий!B529,1),19),".",""),"-","")),SEARCH("Karcher",TRIM(SUBSTITUTE(SUBSTITUTE(MID(Общий!B529,SEARCH("Karcher",Общий!B529,1),19),".",""),"-","")),1)+8,8)),VALUE(LEFT(SUBSTITUTE(SUBSTITUTE(Общий!B529,".",""),"-",""),8)))))," ",Общий!C529),0)</f>
        <v>0</v>
      </c>
      <c r="C529" s="29" t="str">
        <f>Общий!A529</f>
        <v>521</v>
      </c>
      <c r="D529" s="27">
        <f>Общий!B529</f>
        <v>0</v>
      </c>
      <c r="E529" s="28">
        <f>Общий!C529</f>
        <v>0</v>
      </c>
      <c r="G529" s="44"/>
      <c r="H529" s="44"/>
      <c r="I529" s="44"/>
      <c r="J529" s="35"/>
    </row>
    <row r="530" spans="1:10">
      <c r="A530" s="31">
        <f>IFERROR(VALUE(IF(LEN(IFERROR(VALUE(MID(TRIM(SUBSTITUTE(SUBSTITUTE(MID(Общий!B530,SEARCH("Karcher",Общий!B530,1),19),".",""),"-","")),SEARCH("Karcher",TRIM(SUBSTITUTE(SUBSTITUTE(MID(Общий!B530,SEARCH("Karcher",Общий!B530,1),19),".",""),"-","")),1)+8,8)),VALUE(LEFT(SUBSTITUTE(SUBSTITUTE(Общий!B530,".",""),"-",""),8))))=7,CONCATENATE(IFERROR(VALUE(MID(TRIM(SUBSTITUTE(SUBSTITUTE(MID(Общий!B530,SEARCH("Karcher",Общий!B530,1),19),".",""),"-","")),SEARCH("Karcher",TRIM(SUBSTITUTE(SUBSTITUTE(MID(Общий!B530,SEARCH("Karcher",Общий!B530,1),19),".",""),"-","")),1)+8,8)),VALUE(LEFT(SUBSTITUTE(SUBSTITUTE(Общий!B530,".",""),"-",""),8))),"0"),IFERROR(VALUE(MID(TRIM(SUBSTITUTE(SUBSTITUTE(MID(Общий!B530,SEARCH("Karcher",Общий!B530,1),19),".",""),"-","")),SEARCH("Karcher",TRIM(SUBSTITUTE(SUBSTITUTE(MID(Общий!B530,SEARCH("Karcher",Общий!B530,1),19),".",""),"-","")),1)+8,8)),VALUE(LEFT(SUBSTITUTE(SUBSTITUTE(Общий!B530,".",""),"-",""),8))))),0)</f>
        <v>0</v>
      </c>
      <c r="B530" s="25">
        <f>IFERROR(CONCATENATE(VALUE(IF(LEN(IFERROR(VALUE(MID(TRIM(SUBSTITUTE(SUBSTITUTE(MID(Общий!B530,SEARCH("Karcher",Общий!B530,1),19),".",""),"-","")),SEARCH("Karcher",TRIM(SUBSTITUTE(SUBSTITUTE(MID(Общий!B530,SEARCH("Karcher",Общий!B530,1),19),".",""),"-","")),1)+8,8)),VALUE(LEFT(SUBSTITUTE(SUBSTITUTE(Общий!B530,".",""),"-",""),8))))=7,CONCATENATE(IFERROR(VALUE(MID(TRIM(SUBSTITUTE(SUBSTITUTE(MID(Общий!B530,SEARCH("Karcher",Общий!B530,1),19),".",""),"-","")),SEARCH("Karcher",TRIM(SUBSTITUTE(SUBSTITUTE(MID(Общий!B530,SEARCH("Karcher",Общий!B530,1),19),".",""),"-","")),1)+8,8)),VALUE(LEFT(SUBSTITUTE(SUBSTITUTE(Общий!B530,".",""),"-",""),8))),"0"),IFERROR(VALUE(MID(TRIM(SUBSTITUTE(SUBSTITUTE(MID(Общий!B530,SEARCH("Karcher",Общий!B530,1),19),".",""),"-","")),SEARCH("Karcher",TRIM(SUBSTITUTE(SUBSTITUTE(MID(Общий!B530,SEARCH("Karcher",Общий!B530,1),19),".",""),"-","")),1)+8,8)),VALUE(LEFT(SUBSTITUTE(SUBSTITUTE(Общий!B530,".",""),"-",""),8)))))," ",Общий!C530),0)</f>
        <v>0</v>
      </c>
      <c r="C530" s="29" t="str">
        <f>Общий!A530</f>
        <v>522</v>
      </c>
      <c r="D530" s="27">
        <f>Общий!B530</f>
        <v>0</v>
      </c>
      <c r="E530" s="28">
        <f>Общий!C530</f>
        <v>0</v>
      </c>
      <c r="G530" s="44"/>
      <c r="H530" s="44"/>
      <c r="I530" s="44"/>
      <c r="J530" s="35"/>
    </row>
    <row r="531" spans="1:10">
      <c r="A531" s="31">
        <f>IFERROR(VALUE(IF(LEN(IFERROR(VALUE(MID(TRIM(SUBSTITUTE(SUBSTITUTE(MID(Общий!B531,SEARCH("Karcher",Общий!B531,1),19),".",""),"-","")),SEARCH("Karcher",TRIM(SUBSTITUTE(SUBSTITUTE(MID(Общий!B531,SEARCH("Karcher",Общий!B531,1),19),".",""),"-","")),1)+8,8)),VALUE(LEFT(SUBSTITUTE(SUBSTITUTE(Общий!B531,".",""),"-",""),8))))=7,CONCATENATE(IFERROR(VALUE(MID(TRIM(SUBSTITUTE(SUBSTITUTE(MID(Общий!B531,SEARCH("Karcher",Общий!B531,1),19),".",""),"-","")),SEARCH("Karcher",TRIM(SUBSTITUTE(SUBSTITUTE(MID(Общий!B531,SEARCH("Karcher",Общий!B531,1),19),".",""),"-","")),1)+8,8)),VALUE(LEFT(SUBSTITUTE(SUBSTITUTE(Общий!B531,".",""),"-",""),8))),"0"),IFERROR(VALUE(MID(TRIM(SUBSTITUTE(SUBSTITUTE(MID(Общий!B531,SEARCH("Karcher",Общий!B531,1),19),".",""),"-","")),SEARCH("Karcher",TRIM(SUBSTITUTE(SUBSTITUTE(MID(Общий!B531,SEARCH("Karcher",Общий!B531,1),19),".",""),"-","")),1)+8,8)),VALUE(LEFT(SUBSTITUTE(SUBSTITUTE(Общий!B531,".",""),"-",""),8))))),0)</f>
        <v>0</v>
      </c>
      <c r="B531" s="25">
        <f>IFERROR(CONCATENATE(VALUE(IF(LEN(IFERROR(VALUE(MID(TRIM(SUBSTITUTE(SUBSTITUTE(MID(Общий!B531,SEARCH("Karcher",Общий!B531,1),19),".",""),"-","")),SEARCH("Karcher",TRIM(SUBSTITUTE(SUBSTITUTE(MID(Общий!B531,SEARCH("Karcher",Общий!B531,1),19),".",""),"-","")),1)+8,8)),VALUE(LEFT(SUBSTITUTE(SUBSTITUTE(Общий!B531,".",""),"-",""),8))))=7,CONCATENATE(IFERROR(VALUE(MID(TRIM(SUBSTITUTE(SUBSTITUTE(MID(Общий!B531,SEARCH("Karcher",Общий!B531,1),19),".",""),"-","")),SEARCH("Karcher",TRIM(SUBSTITUTE(SUBSTITUTE(MID(Общий!B531,SEARCH("Karcher",Общий!B531,1),19),".",""),"-","")),1)+8,8)),VALUE(LEFT(SUBSTITUTE(SUBSTITUTE(Общий!B531,".",""),"-",""),8))),"0"),IFERROR(VALUE(MID(TRIM(SUBSTITUTE(SUBSTITUTE(MID(Общий!B531,SEARCH("Karcher",Общий!B531,1),19),".",""),"-","")),SEARCH("Karcher",TRIM(SUBSTITUTE(SUBSTITUTE(MID(Общий!B531,SEARCH("Karcher",Общий!B531,1),19),".",""),"-","")),1)+8,8)),VALUE(LEFT(SUBSTITUTE(SUBSTITUTE(Общий!B531,".",""),"-",""),8)))))," ",Общий!C531),0)</f>
        <v>0</v>
      </c>
      <c r="C531" s="29" t="str">
        <f>Общий!A531</f>
        <v>523</v>
      </c>
      <c r="D531" s="27">
        <f>Общий!B531</f>
        <v>0</v>
      </c>
      <c r="E531" s="28">
        <f>Общий!C531</f>
        <v>0</v>
      </c>
      <c r="G531" s="44"/>
      <c r="H531" s="44"/>
      <c r="I531" s="44"/>
      <c r="J531" s="35"/>
    </row>
    <row r="532" spans="1:10">
      <c r="A532" s="31">
        <f>IFERROR(VALUE(IF(LEN(IFERROR(VALUE(MID(TRIM(SUBSTITUTE(SUBSTITUTE(MID(Общий!B532,SEARCH("Karcher",Общий!B532,1),19),".",""),"-","")),SEARCH("Karcher",TRIM(SUBSTITUTE(SUBSTITUTE(MID(Общий!B532,SEARCH("Karcher",Общий!B532,1),19),".",""),"-","")),1)+8,8)),VALUE(LEFT(SUBSTITUTE(SUBSTITUTE(Общий!B532,".",""),"-",""),8))))=7,CONCATENATE(IFERROR(VALUE(MID(TRIM(SUBSTITUTE(SUBSTITUTE(MID(Общий!B532,SEARCH("Karcher",Общий!B532,1),19),".",""),"-","")),SEARCH("Karcher",TRIM(SUBSTITUTE(SUBSTITUTE(MID(Общий!B532,SEARCH("Karcher",Общий!B532,1),19),".",""),"-","")),1)+8,8)),VALUE(LEFT(SUBSTITUTE(SUBSTITUTE(Общий!B532,".",""),"-",""),8))),"0"),IFERROR(VALUE(MID(TRIM(SUBSTITUTE(SUBSTITUTE(MID(Общий!B532,SEARCH("Karcher",Общий!B532,1),19),".",""),"-","")),SEARCH("Karcher",TRIM(SUBSTITUTE(SUBSTITUTE(MID(Общий!B532,SEARCH("Karcher",Общий!B532,1),19),".",""),"-","")),1)+8,8)),VALUE(LEFT(SUBSTITUTE(SUBSTITUTE(Общий!B532,".",""),"-",""),8))))),0)</f>
        <v>0</v>
      </c>
      <c r="B532" s="25">
        <f>IFERROR(CONCATENATE(VALUE(IF(LEN(IFERROR(VALUE(MID(TRIM(SUBSTITUTE(SUBSTITUTE(MID(Общий!B532,SEARCH("Karcher",Общий!B532,1),19),".",""),"-","")),SEARCH("Karcher",TRIM(SUBSTITUTE(SUBSTITUTE(MID(Общий!B532,SEARCH("Karcher",Общий!B532,1),19),".",""),"-","")),1)+8,8)),VALUE(LEFT(SUBSTITUTE(SUBSTITUTE(Общий!B532,".",""),"-",""),8))))=7,CONCATENATE(IFERROR(VALUE(MID(TRIM(SUBSTITUTE(SUBSTITUTE(MID(Общий!B532,SEARCH("Karcher",Общий!B532,1),19),".",""),"-","")),SEARCH("Karcher",TRIM(SUBSTITUTE(SUBSTITUTE(MID(Общий!B532,SEARCH("Karcher",Общий!B532,1),19),".",""),"-","")),1)+8,8)),VALUE(LEFT(SUBSTITUTE(SUBSTITUTE(Общий!B532,".",""),"-",""),8))),"0"),IFERROR(VALUE(MID(TRIM(SUBSTITUTE(SUBSTITUTE(MID(Общий!B532,SEARCH("Karcher",Общий!B532,1),19),".",""),"-","")),SEARCH("Karcher",TRIM(SUBSTITUTE(SUBSTITUTE(MID(Общий!B532,SEARCH("Karcher",Общий!B532,1),19),".",""),"-","")),1)+8,8)),VALUE(LEFT(SUBSTITUTE(SUBSTITUTE(Общий!B532,".",""),"-",""),8)))))," ",Общий!C532),0)</f>
        <v>0</v>
      </c>
      <c r="C532" s="29" t="str">
        <f>Общий!A532</f>
        <v>524</v>
      </c>
      <c r="D532" s="27">
        <f>Общий!B532</f>
        <v>0</v>
      </c>
      <c r="E532" s="28">
        <f>Общий!C532</f>
        <v>0</v>
      </c>
      <c r="G532" s="44"/>
      <c r="H532" s="44"/>
      <c r="I532" s="44"/>
      <c r="J532" s="35"/>
    </row>
    <row r="533" spans="1:10">
      <c r="A533" s="31">
        <f>IFERROR(VALUE(IF(LEN(IFERROR(VALUE(MID(TRIM(SUBSTITUTE(SUBSTITUTE(MID(Общий!B533,SEARCH("Karcher",Общий!B533,1),19),".",""),"-","")),SEARCH("Karcher",TRIM(SUBSTITUTE(SUBSTITUTE(MID(Общий!B533,SEARCH("Karcher",Общий!B533,1),19),".",""),"-","")),1)+8,8)),VALUE(LEFT(SUBSTITUTE(SUBSTITUTE(Общий!B533,".",""),"-",""),8))))=7,CONCATENATE(IFERROR(VALUE(MID(TRIM(SUBSTITUTE(SUBSTITUTE(MID(Общий!B533,SEARCH("Karcher",Общий!B533,1),19),".",""),"-","")),SEARCH("Karcher",TRIM(SUBSTITUTE(SUBSTITUTE(MID(Общий!B533,SEARCH("Karcher",Общий!B533,1),19),".",""),"-","")),1)+8,8)),VALUE(LEFT(SUBSTITUTE(SUBSTITUTE(Общий!B533,".",""),"-",""),8))),"0"),IFERROR(VALUE(MID(TRIM(SUBSTITUTE(SUBSTITUTE(MID(Общий!B533,SEARCH("Karcher",Общий!B533,1),19),".",""),"-","")),SEARCH("Karcher",TRIM(SUBSTITUTE(SUBSTITUTE(MID(Общий!B533,SEARCH("Karcher",Общий!B533,1),19),".",""),"-","")),1)+8,8)),VALUE(LEFT(SUBSTITUTE(SUBSTITUTE(Общий!B533,".",""),"-",""),8))))),0)</f>
        <v>0</v>
      </c>
      <c r="B533" s="25">
        <f>IFERROR(CONCATENATE(VALUE(IF(LEN(IFERROR(VALUE(MID(TRIM(SUBSTITUTE(SUBSTITUTE(MID(Общий!B533,SEARCH("Karcher",Общий!B533,1),19),".",""),"-","")),SEARCH("Karcher",TRIM(SUBSTITUTE(SUBSTITUTE(MID(Общий!B533,SEARCH("Karcher",Общий!B533,1),19),".",""),"-","")),1)+8,8)),VALUE(LEFT(SUBSTITUTE(SUBSTITUTE(Общий!B533,".",""),"-",""),8))))=7,CONCATENATE(IFERROR(VALUE(MID(TRIM(SUBSTITUTE(SUBSTITUTE(MID(Общий!B533,SEARCH("Karcher",Общий!B533,1),19),".",""),"-","")),SEARCH("Karcher",TRIM(SUBSTITUTE(SUBSTITUTE(MID(Общий!B533,SEARCH("Karcher",Общий!B533,1),19),".",""),"-","")),1)+8,8)),VALUE(LEFT(SUBSTITUTE(SUBSTITUTE(Общий!B533,".",""),"-",""),8))),"0"),IFERROR(VALUE(MID(TRIM(SUBSTITUTE(SUBSTITUTE(MID(Общий!B533,SEARCH("Karcher",Общий!B533,1),19),".",""),"-","")),SEARCH("Karcher",TRIM(SUBSTITUTE(SUBSTITUTE(MID(Общий!B533,SEARCH("Karcher",Общий!B533,1),19),".",""),"-","")),1)+8,8)),VALUE(LEFT(SUBSTITUTE(SUBSTITUTE(Общий!B533,".",""),"-",""),8)))))," ",Общий!C533),0)</f>
        <v>0</v>
      </c>
      <c r="C533" s="29" t="str">
        <f>Общий!A533</f>
        <v>525</v>
      </c>
      <c r="D533" s="27">
        <f>Общий!B533</f>
        <v>0</v>
      </c>
      <c r="E533" s="28">
        <f>Общий!C533</f>
        <v>0</v>
      </c>
      <c r="G533" s="44"/>
      <c r="H533" s="44"/>
      <c r="I533" s="44"/>
      <c r="J533" s="35"/>
    </row>
    <row r="534" spans="1:10">
      <c r="A534" s="31">
        <f>IFERROR(VALUE(IF(LEN(IFERROR(VALUE(MID(TRIM(SUBSTITUTE(SUBSTITUTE(MID(Общий!B534,SEARCH("Karcher",Общий!B534,1),19),".",""),"-","")),SEARCH("Karcher",TRIM(SUBSTITUTE(SUBSTITUTE(MID(Общий!B534,SEARCH("Karcher",Общий!B534,1),19),".",""),"-","")),1)+8,8)),VALUE(LEFT(SUBSTITUTE(SUBSTITUTE(Общий!B534,".",""),"-",""),8))))=7,CONCATENATE(IFERROR(VALUE(MID(TRIM(SUBSTITUTE(SUBSTITUTE(MID(Общий!B534,SEARCH("Karcher",Общий!B534,1),19),".",""),"-","")),SEARCH("Karcher",TRIM(SUBSTITUTE(SUBSTITUTE(MID(Общий!B534,SEARCH("Karcher",Общий!B534,1),19),".",""),"-","")),1)+8,8)),VALUE(LEFT(SUBSTITUTE(SUBSTITUTE(Общий!B534,".",""),"-",""),8))),"0"),IFERROR(VALUE(MID(TRIM(SUBSTITUTE(SUBSTITUTE(MID(Общий!B534,SEARCH("Karcher",Общий!B534,1),19),".",""),"-","")),SEARCH("Karcher",TRIM(SUBSTITUTE(SUBSTITUTE(MID(Общий!B534,SEARCH("Karcher",Общий!B534,1),19),".",""),"-","")),1)+8,8)),VALUE(LEFT(SUBSTITUTE(SUBSTITUTE(Общий!B534,".",""),"-",""),8))))),0)</f>
        <v>0</v>
      </c>
      <c r="B534" s="25">
        <f>IFERROR(CONCATENATE(VALUE(IF(LEN(IFERROR(VALUE(MID(TRIM(SUBSTITUTE(SUBSTITUTE(MID(Общий!B534,SEARCH("Karcher",Общий!B534,1),19),".",""),"-","")),SEARCH("Karcher",TRIM(SUBSTITUTE(SUBSTITUTE(MID(Общий!B534,SEARCH("Karcher",Общий!B534,1),19),".",""),"-","")),1)+8,8)),VALUE(LEFT(SUBSTITUTE(SUBSTITUTE(Общий!B534,".",""),"-",""),8))))=7,CONCATENATE(IFERROR(VALUE(MID(TRIM(SUBSTITUTE(SUBSTITUTE(MID(Общий!B534,SEARCH("Karcher",Общий!B534,1),19),".",""),"-","")),SEARCH("Karcher",TRIM(SUBSTITUTE(SUBSTITUTE(MID(Общий!B534,SEARCH("Karcher",Общий!B534,1),19),".",""),"-","")),1)+8,8)),VALUE(LEFT(SUBSTITUTE(SUBSTITUTE(Общий!B534,".",""),"-",""),8))),"0"),IFERROR(VALUE(MID(TRIM(SUBSTITUTE(SUBSTITUTE(MID(Общий!B534,SEARCH("Karcher",Общий!B534,1),19),".",""),"-","")),SEARCH("Karcher",TRIM(SUBSTITUTE(SUBSTITUTE(MID(Общий!B534,SEARCH("Karcher",Общий!B534,1),19),".",""),"-","")),1)+8,8)),VALUE(LEFT(SUBSTITUTE(SUBSTITUTE(Общий!B534,".",""),"-",""),8)))))," ",Общий!C534),0)</f>
        <v>0</v>
      </c>
      <c r="C534" s="29" t="str">
        <f>Общий!A534</f>
        <v>526</v>
      </c>
      <c r="D534" s="27">
        <f>Общий!B534</f>
        <v>0</v>
      </c>
      <c r="E534" s="28">
        <f>Общий!C534</f>
        <v>0</v>
      </c>
      <c r="G534" s="44"/>
      <c r="H534" s="44"/>
      <c r="I534" s="44"/>
      <c r="J534" s="35"/>
    </row>
    <row r="535" spans="1:10">
      <c r="A535" s="31">
        <f>IFERROR(VALUE(IF(LEN(IFERROR(VALUE(MID(TRIM(SUBSTITUTE(SUBSTITUTE(MID(Общий!B535,SEARCH("Karcher",Общий!B535,1),19),".",""),"-","")),SEARCH("Karcher",TRIM(SUBSTITUTE(SUBSTITUTE(MID(Общий!B535,SEARCH("Karcher",Общий!B535,1),19),".",""),"-","")),1)+8,8)),VALUE(LEFT(SUBSTITUTE(SUBSTITUTE(Общий!B535,".",""),"-",""),8))))=7,CONCATENATE(IFERROR(VALUE(MID(TRIM(SUBSTITUTE(SUBSTITUTE(MID(Общий!B535,SEARCH("Karcher",Общий!B535,1),19),".",""),"-","")),SEARCH("Karcher",TRIM(SUBSTITUTE(SUBSTITUTE(MID(Общий!B535,SEARCH("Karcher",Общий!B535,1),19),".",""),"-","")),1)+8,8)),VALUE(LEFT(SUBSTITUTE(SUBSTITUTE(Общий!B535,".",""),"-",""),8))),"0"),IFERROR(VALUE(MID(TRIM(SUBSTITUTE(SUBSTITUTE(MID(Общий!B535,SEARCH("Karcher",Общий!B535,1),19),".",""),"-","")),SEARCH("Karcher",TRIM(SUBSTITUTE(SUBSTITUTE(MID(Общий!B535,SEARCH("Karcher",Общий!B535,1),19),".",""),"-","")),1)+8,8)),VALUE(LEFT(SUBSTITUTE(SUBSTITUTE(Общий!B535,".",""),"-",""),8))))),0)</f>
        <v>0</v>
      </c>
      <c r="B535" s="25">
        <f>IFERROR(CONCATENATE(VALUE(IF(LEN(IFERROR(VALUE(MID(TRIM(SUBSTITUTE(SUBSTITUTE(MID(Общий!B535,SEARCH("Karcher",Общий!B535,1),19),".",""),"-","")),SEARCH("Karcher",TRIM(SUBSTITUTE(SUBSTITUTE(MID(Общий!B535,SEARCH("Karcher",Общий!B535,1),19),".",""),"-","")),1)+8,8)),VALUE(LEFT(SUBSTITUTE(SUBSTITUTE(Общий!B535,".",""),"-",""),8))))=7,CONCATENATE(IFERROR(VALUE(MID(TRIM(SUBSTITUTE(SUBSTITUTE(MID(Общий!B535,SEARCH("Karcher",Общий!B535,1),19),".",""),"-","")),SEARCH("Karcher",TRIM(SUBSTITUTE(SUBSTITUTE(MID(Общий!B535,SEARCH("Karcher",Общий!B535,1),19),".",""),"-","")),1)+8,8)),VALUE(LEFT(SUBSTITUTE(SUBSTITUTE(Общий!B535,".",""),"-",""),8))),"0"),IFERROR(VALUE(MID(TRIM(SUBSTITUTE(SUBSTITUTE(MID(Общий!B535,SEARCH("Karcher",Общий!B535,1),19),".",""),"-","")),SEARCH("Karcher",TRIM(SUBSTITUTE(SUBSTITUTE(MID(Общий!B535,SEARCH("Karcher",Общий!B535,1),19),".",""),"-","")),1)+8,8)),VALUE(LEFT(SUBSTITUTE(SUBSTITUTE(Общий!B535,".",""),"-",""),8)))))," ",Общий!C535),0)</f>
        <v>0</v>
      </c>
      <c r="C535" s="29" t="str">
        <f>Общий!A535</f>
        <v>527</v>
      </c>
      <c r="D535" s="27">
        <f>Общий!B535</f>
        <v>0</v>
      </c>
      <c r="E535" s="28">
        <f>Общий!C535</f>
        <v>0</v>
      </c>
      <c r="G535" s="44"/>
      <c r="H535" s="44"/>
      <c r="I535" s="44"/>
      <c r="J535" s="35"/>
    </row>
    <row r="536" spans="1:10">
      <c r="A536" s="31">
        <f>IFERROR(VALUE(IF(LEN(IFERROR(VALUE(MID(TRIM(SUBSTITUTE(SUBSTITUTE(MID(Общий!B536,SEARCH("Karcher",Общий!B536,1),19),".",""),"-","")),SEARCH("Karcher",TRIM(SUBSTITUTE(SUBSTITUTE(MID(Общий!B536,SEARCH("Karcher",Общий!B536,1),19),".",""),"-","")),1)+8,8)),VALUE(LEFT(SUBSTITUTE(SUBSTITUTE(Общий!B536,".",""),"-",""),8))))=7,CONCATENATE(IFERROR(VALUE(MID(TRIM(SUBSTITUTE(SUBSTITUTE(MID(Общий!B536,SEARCH("Karcher",Общий!B536,1),19),".",""),"-","")),SEARCH("Karcher",TRIM(SUBSTITUTE(SUBSTITUTE(MID(Общий!B536,SEARCH("Karcher",Общий!B536,1),19),".",""),"-","")),1)+8,8)),VALUE(LEFT(SUBSTITUTE(SUBSTITUTE(Общий!B536,".",""),"-",""),8))),"0"),IFERROR(VALUE(MID(TRIM(SUBSTITUTE(SUBSTITUTE(MID(Общий!B536,SEARCH("Karcher",Общий!B536,1),19),".",""),"-","")),SEARCH("Karcher",TRIM(SUBSTITUTE(SUBSTITUTE(MID(Общий!B536,SEARCH("Karcher",Общий!B536,1),19),".",""),"-","")),1)+8,8)),VALUE(LEFT(SUBSTITUTE(SUBSTITUTE(Общий!B536,".",""),"-",""),8))))),0)</f>
        <v>0</v>
      </c>
      <c r="B536" s="25">
        <f>IFERROR(CONCATENATE(VALUE(IF(LEN(IFERROR(VALUE(MID(TRIM(SUBSTITUTE(SUBSTITUTE(MID(Общий!B536,SEARCH("Karcher",Общий!B536,1),19),".",""),"-","")),SEARCH("Karcher",TRIM(SUBSTITUTE(SUBSTITUTE(MID(Общий!B536,SEARCH("Karcher",Общий!B536,1),19),".",""),"-","")),1)+8,8)),VALUE(LEFT(SUBSTITUTE(SUBSTITUTE(Общий!B536,".",""),"-",""),8))))=7,CONCATENATE(IFERROR(VALUE(MID(TRIM(SUBSTITUTE(SUBSTITUTE(MID(Общий!B536,SEARCH("Karcher",Общий!B536,1),19),".",""),"-","")),SEARCH("Karcher",TRIM(SUBSTITUTE(SUBSTITUTE(MID(Общий!B536,SEARCH("Karcher",Общий!B536,1),19),".",""),"-","")),1)+8,8)),VALUE(LEFT(SUBSTITUTE(SUBSTITUTE(Общий!B536,".",""),"-",""),8))),"0"),IFERROR(VALUE(MID(TRIM(SUBSTITUTE(SUBSTITUTE(MID(Общий!B536,SEARCH("Karcher",Общий!B536,1),19),".",""),"-","")),SEARCH("Karcher",TRIM(SUBSTITUTE(SUBSTITUTE(MID(Общий!B536,SEARCH("Karcher",Общий!B536,1),19),".",""),"-","")),1)+8,8)),VALUE(LEFT(SUBSTITUTE(SUBSTITUTE(Общий!B536,".",""),"-",""),8)))))," ",Общий!C536),0)</f>
        <v>0</v>
      </c>
      <c r="C536" s="29" t="str">
        <f>Общий!A536</f>
        <v>528</v>
      </c>
      <c r="D536" s="27">
        <f>Общий!B536</f>
        <v>0</v>
      </c>
      <c r="E536" s="28">
        <f>Общий!C536</f>
        <v>0</v>
      </c>
      <c r="G536" s="44"/>
      <c r="H536" s="44"/>
      <c r="I536" s="44"/>
      <c r="J536" s="35"/>
    </row>
    <row r="537" spans="1:10">
      <c r="A537" s="31">
        <f>IFERROR(VALUE(IF(LEN(IFERROR(VALUE(MID(TRIM(SUBSTITUTE(SUBSTITUTE(MID(Общий!B537,SEARCH("Karcher",Общий!B537,1),19),".",""),"-","")),SEARCH("Karcher",TRIM(SUBSTITUTE(SUBSTITUTE(MID(Общий!B537,SEARCH("Karcher",Общий!B537,1),19),".",""),"-","")),1)+8,8)),VALUE(LEFT(SUBSTITUTE(SUBSTITUTE(Общий!B537,".",""),"-",""),8))))=7,CONCATENATE(IFERROR(VALUE(MID(TRIM(SUBSTITUTE(SUBSTITUTE(MID(Общий!B537,SEARCH("Karcher",Общий!B537,1),19),".",""),"-","")),SEARCH("Karcher",TRIM(SUBSTITUTE(SUBSTITUTE(MID(Общий!B537,SEARCH("Karcher",Общий!B537,1),19),".",""),"-","")),1)+8,8)),VALUE(LEFT(SUBSTITUTE(SUBSTITUTE(Общий!B537,".",""),"-",""),8))),"0"),IFERROR(VALUE(MID(TRIM(SUBSTITUTE(SUBSTITUTE(MID(Общий!B537,SEARCH("Karcher",Общий!B537,1),19),".",""),"-","")),SEARCH("Karcher",TRIM(SUBSTITUTE(SUBSTITUTE(MID(Общий!B537,SEARCH("Karcher",Общий!B537,1),19),".",""),"-","")),1)+8,8)),VALUE(LEFT(SUBSTITUTE(SUBSTITUTE(Общий!B537,".",""),"-",""),8))))),0)</f>
        <v>0</v>
      </c>
      <c r="B537" s="25">
        <f>IFERROR(CONCATENATE(VALUE(IF(LEN(IFERROR(VALUE(MID(TRIM(SUBSTITUTE(SUBSTITUTE(MID(Общий!B537,SEARCH("Karcher",Общий!B537,1),19),".",""),"-","")),SEARCH("Karcher",TRIM(SUBSTITUTE(SUBSTITUTE(MID(Общий!B537,SEARCH("Karcher",Общий!B537,1),19),".",""),"-","")),1)+8,8)),VALUE(LEFT(SUBSTITUTE(SUBSTITUTE(Общий!B537,".",""),"-",""),8))))=7,CONCATENATE(IFERROR(VALUE(MID(TRIM(SUBSTITUTE(SUBSTITUTE(MID(Общий!B537,SEARCH("Karcher",Общий!B537,1),19),".",""),"-","")),SEARCH("Karcher",TRIM(SUBSTITUTE(SUBSTITUTE(MID(Общий!B537,SEARCH("Karcher",Общий!B537,1),19),".",""),"-","")),1)+8,8)),VALUE(LEFT(SUBSTITUTE(SUBSTITUTE(Общий!B537,".",""),"-",""),8))),"0"),IFERROR(VALUE(MID(TRIM(SUBSTITUTE(SUBSTITUTE(MID(Общий!B537,SEARCH("Karcher",Общий!B537,1),19),".",""),"-","")),SEARCH("Karcher",TRIM(SUBSTITUTE(SUBSTITUTE(MID(Общий!B537,SEARCH("Karcher",Общий!B537,1),19),".",""),"-","")),1)+8,8)),VALUE(LEFT(SUBSTITUTE(SUBSTITUTE(Общий!B537,".",""),"-",""),8)))))," ",Общий!C537),0)</f>
        <v>0</v>
      </c>
      <c r="C537" s="29" t="str">
        <f>Общий!A537</f>
        <v>529</v>
      </c>
      <c r="D537" s="27">
        <f>Общий!B537</f>
        <v>0</v>
      </c>
      <c r="E537" s="28">
        <f>Общий!C537</f>
        <v>0</v>
      </c>
      <c r="G537" s="44"/>
      <c r="H537" s="44"/>
      <c r="I537" s="44"/>
      <c r="J537" s="35"/>
    </row>
    <row r="538" spans="1:10">
      <c r="A538" s="31">
        <f>IFERROR(VALUE(IF(LEN(IFERROR(VALUE(MID(TRIM(SUBSTITUTE(SUBSTITUTE(MID(Общий!B538,SEARCH("Karcher",Общий!B538,1),19),".",""),"-","")),SEARCH("Karcher",TRIM(SUBSTITUTE(SUBSTITUTE(MID(Общий!B538,SEARCH("Karcher",Общий!B538,1),19),".",""),"-","")),1)+8,8)),VALUE(LEFT(SUBSTITUTE(SUBSTITUTE(Общий!B538,".",""),"-",""),8))))=7,CONCATENATE(IFERROR(VALUE(MID(TRIM(SUBSTITUTE(SUBSTITUTE(MID(Общий!B538,SEARCH("Karcher",Общий!B538,1),19),".",""),"-","")),SEARCH("Karcher",TRIM(SUBSTITUTE(SUBSTITUTE(MID(Общий!B538,SEARCH("Karcher",Общий!B538,1),19),".",""),"-","")),1)+8,8)),VALUE(LEFT(SUBSTITUTE(SUBSTITUTE(Общий!B538,".",""),"-",""),8))),"0"),IFERROR(VALUE(MID(TRIM(SUBSTITUTE(SUBSTITUTE(MID(Общий!B538,SEARCH("Karcher",Общий!B538,1),19),".",""),"-","")),SEARCH("Karcher",TRIM(SUBSTITUTE(SUBSTITUTE(MID(Общий!B538,SEARCH("Karcher",Общий!B538,1),19),".",""),"-","")),1)+8,8)),VALUE(LEFT(SUBSTITUTE(SUBSTITUTE(Общий!B538,".",""),"-",""),8))))),0)</f>
        <v>0</v>
      </c>
      <c r="B538" s="25">
        <f>IFERROR(CONCATENATE(VALUE(IF(LEN(IFERROR(VALUE(MID(TRIM(SUBSTITUTE(SUBSTITUTE(MID(Общий!B538,SEARCH("Karcher",Общий!B538,1),19),".",""),"-","")),SEARCH("Karcher",TRIM(SUBSTITUTE(SUBSTITUTE(MID(Общий!B538,SEARCH("Karcher",Общий!B538,1),19),".",""),"-","")),1)+8,8)),VALUE(LEFT(SUBSTITUTE(SUBSTITUTE(Общий!B538,".",""),"-",""),8))))=7,CONCATENATE(IFERROR(VALUE(MID(TRIM(SUBSTITUTE(SUBSTITUTE(MID(Общий!B538,SEARCH("Karcher",Общий!B538,1),19),".",""),"-","")),SEARCH("Karcher",TRIM(SUBSTITUTE(SUBSTITUTE(MID(Общий!B538,SEARCH("Karcher",Общий!B538,1),19),".",""),"-","")),1)+8,8)),VALUE(LEFT(SUBSTITUTE(SUBSTITUTE(Общий!B538,".",""),"-",""),8))),"0"),IFERROR(VALUE(MID(TRIM(SUBSTITUTE(SUBSTITUTE(MID(Общий!B538,SEARCH("Karcher",Общий!B538,1),19),".",""),"-","")),SEARCH("Karcher",TRIM(SUBSTITUTE(SUBSTITUTE(MID(Общий!B538,SEARCH("Karcher",Общий!B538,1),19),".",""),"-","")),1)+8,8)),VALUE(LEFT(SUBSTITUTE(SUBSTITUTE(Общий!B538,".",""),"-",""),8)))))," ",Общий!C538),0)</f>
        <v>0</v>
      </c>
      <c r="C538" s="29" t="str">
        <f>Общий!A538</f>
        <v>530</v>
      </c>
      <c r="D538" s="27">
        <f>Общий!B538</f>
        <v>0</v>
      </c>
      <c r="E538" s="28">
        <f>Общий!C538</f>
        <v>0</v>
      </c>
      <c r="G538" s="44"/>
      <c r="H538" s="44"/>
      <c r="I538" s="44"/>
      <c r="J538" s="35"/>
    </row>
    <row r="539" spans="1:10">
      <c r="A539" s="31">
        <f>IFERROR(VALUE(IF(LEN(IFERROR(VALUE(MID(TRIM(SUBSTITUTE(SUBSTITUTE(MID(Общий!B539,SEARCH("Karcher",Общий!B539,1),19),".",""),"-","")),SEARCH("Karcher",TRIM(SUBSTITUTE(SUBSTITUTE(MID(Общий!B539,SEARCH("Karcher",Общий!B539,1),19),".",""),"-","")),1)+8,8)),VALUE(LEFT(SUBSTITUTE(SUBSTITUTE(Общий!B539,".",""),"-",""),8))))=7,CONCATENATE(IFERROR(VALUE(MID(TRIM(SUBSTITUTE(SUBSTITUTE(MID(Общий!B539,SEARCH("Karcher",Общий!B539,1),19),".",""),"-","")),SEARCH("Karcher",TRIM(SUBSTITUTE(SUBSTITUTE(MID(Общий!B539,SEARCH("Karcher",Общий!B539,1),19),".",""),"-","")),1)+8,8)),VALUE(LEFT(SUBSTITUTE(SUBSTITUTE(Общий!B539,".",""),"-",""),8))),"0"),IFERROR(VALUE(MID(TRIM(SUBSTITUTE(SUBSTITUTE(MID(Общий!B539,SEARCH("Karcher",Общий!B539,1),19),".",""),"-","")),SEARCH("Karcher",TRIM(SUBSTITUTE(SUBSTITUTE(MID(Общий!B539,SEARCH("Karcher",Общий!B539,1),19),".",""),"-","")),1)+8,8)),VALUE(LEFT(SUBSTITUTE(SUBSTITUTE(Общий!B539,".",""),"-",""),8))))),0)</f>
        <v>0</v>
      </c>
      <c r="B539" s="25">
        <f>IFERROR(CONCATENATE(VALUE(IF(LEN(IFERROR(VALUE(MID(TRIM(SUBSTITUTE(SUBSTITUTE(MID(Общий!B539,SEARCH("Karcher",Общий!B539,1),19),".",""),"-","")),SEARCH("Karcher",TRIM(SUBSTITUTE(SUBSTITUTE(MID(Общий!B539,SEARCH("Karcher",Общий!B539,1),19),".",""),"-","")),1)+8,8)),VALUE(LEFT(SUBSTITUTE(SUBSTITUTE(Общий!B539,".",""),"-",""),8))))=7,CONCATENATE(IFERROR(VALUE(MID(TRIM(SUBSTITUTE(SUBSTITUTE(MID(Общий!B539,SEARCH("Karcher",Общий!B539,1),19),".",""),"-","")),SEARCH("Karcher",TRIM(SUBSTITUTE(SUBSTITUTE(MID(Общий!B539,SEARCH("Karcher",Общий!B539,1),19),".",""),"-","")),1)+8,8)),VALUE(LEFT(SUBSTITUTE(SUBSTITUTE(Общий!B539,".",""),"-",""),8))),"0"),IFERROR(VALUE(MID(TRIM(SUBSTITUTE(SUBSTITUTE(MID(Общий!B539,SEARCH("Karcher",Общий!B539,1),19),".",""),"-","")),SEARCH("Karcher",TRIM(SUBSTITUTE(SUBSTITUTE(MID(Общий!B539,SEARCH("Karcher",Общий!B539,1),19),".",""),"-","")),1)+8,8)),VALUE(LEFT(SUBSTITUTE(SUBSTITUTE(Общий!B539,".",""),"-",""),8)))))," ",Общий!C539),0)</f>
        <v>0</v>
      </c>
      <c r="C539" s="29" t="str">
        <f>Общий!A539</f>
        <v>531</v>
      </c>
      <c r="D539" s="27">
        <f>Общий!B539</f>
        <v>0</v>
      </c>
      <c r="E539" s="28">
        <f>Общий!C539</f>
        <v>0</v>
      </c>
      <c r="G539" s="44"/>
      <c r="H539" s="44"/>
      <c r="I539" s="44"/>
      <c r="J539" s="35"/>
    </row>
    <row r="540" spans="1:10">
      <c r="A540" s="31">
        <f>IFERROR(VALUE(IF(LEN(IFERROR(VALUE(MID(TRIM(SUBSTITUTE(SUBSTITUTE(MID(Общий!B540,SEARCH("Karcher",Общий!B540,1),19),".",""),"-","")),SEARCH("Karcher",TRIM(SUBSTITUTE(SUBSTITUTE(MID(Общий!B540,SEARCH("Karcher",Общий!B540,1),19),".",""),"-","")),1)+8,8)),VALUE(LEFT(SUBSTITUTE(SUBSTITUTE(Общий!B540,".",""),"-",""),8))))=7,CONCATENATE(IFERROR(VALUE(MID(TRIM(SUBSTITUTE(SUBSTITUTE(MID(Общий!B540,SEARCH("Karcher",Общий!B540,1),19),".",""),"-","")),SEARCH("Karcher",TRIM(SUBSTITUTE(SUBSTITUTE(MID(Общий!B540,SEARCH("Karcher",Общий!B540,1),19),".",""),"-","")),1)+8,8)),VALUE(LEFT(SUBSTITUTE(SUBSTITUTE(Общий!B540,".",""),"-",""),8))),"0"),IFERROR(VALUE(MID(TRIM(SUBSTITUTE(SUBSTITUTE(MID(Общий!B540,SEARCH("Karcher",Общий!B540,1),19),".",""),"-","")),SEARCH("Karcher",TRIM(SUBSTITUTE(SUBSTITUTE(MID(Общий!B540,SEARCH("Karcher",Общий!B540,1),19),".",""),"-","")),1)+8,8)),VALUE(LEFT(SUBSTITUTE(SUBSTITUTE(Общий!B540,".",""),"-",""),8))))),0)</f>
        <v>0</v>
      </c>
      <c r="B540" s="25">
        <f>IFERROR(CONCATENATE(VALUE(IF(LEN(IFERROR(VALUE(MID(TRIM(SUBSTITUTE(SUBSTITUTE(MID(Общий!B540,SEARCH("Karcher",Общий!B540,1),19),".",""),"-","")),SEARCH("Karcher",TRIM(SUBSTITUTE(SUBSTITUTE(MID(Общий!B540,SEARCH("Karcher",Общий!B540,1),19),".",""),"-","")),1)+8,8)),VALUE(LEFT(SUBSTITUTE(SUBSTITUTE(Общий!B540,".",""),"-",""),8))))=7,CONCATENATE(IFERROR(VALUE(MID(TRIM(SUBSTITUTE(SUBSTITUTE(MID(Общий!B540,SEARCH("Karcher",Общий!B540,1),19),".",""),"-","")),SEARCH("Karcher",TRIM(SUBSTITUTE(SUBSTITUTE(MID(Общий!B540,SEARCH("Karcher",Общий!B540,1),19),".",""),"-","")),1)+8,8)),VALUE(LEFT(SUBSTITUTE(SUBSTITUTE(Общий!B540,".",""),"-",""),8))),"0"),IFERROR(VALUE(MID(TRIM(SUBSTITUTE(SUBSTITUTE(MID(Общий!B540,SEARCH("Karcher",Общий!B540,1),19),".",""),"-","")),SEARCH("Karcher",TRIM(SUBSTITUTE(SUBSTITUTE(MID(Общий!B540,SEARCH("Karcher",Общий!B540,1),19),".",""),"-","")),1)+8,8)),VALUE(LEFT(SUBSTITUTE(SUBSTITUTE(Общий!B540,".",""),"-",""),8)))))," ",Общий!C540),0)</f>
        <v>0</v>
      </c>
      <c r="C540" s="29" t="str">
        <f>Общий!A540</f>
        <v>532</v>
      </c>
      <c r="D540" s="27">
        <f>Общий!B540</f>
        <v>0</v>
      </c>
      <c r="E540" s="28">
        <f>Общий!C540</f>
        <v>0</v>
      </c>
      <c r="G540" s="44"/>
      <c r="H540" s="44"/>
      <c r="I540" s="44"/>
      <c r="J540" s="35"/>
    </row>
    <row r="541" spans="1:10">
      <c r="A541" s="31">
        <f>IFERROR(VALUE(IF(LEN(IFERROR(VALUE(MID(TRIM(SUBSTITUTE(SUBSTITUTE(MID(Общий!B541,SEARCH("Karcher",Общий!B541,1),19),".",""),"-","")),SEARCH("Karcher",TRIM(SUBSTITUTE(SUBSTITUTE(MID(Общий!B541,SEARCH("Karcher",Общий!B541,1),19),".",""),"-","")),1)+8,8)),VALUE(LEFT(SUBSTITUTE(SUBSTITUTE(Общий!B541,".",""),"-",""),8))))=7,CONCATENATE(IFERROR(VALUE(MID(TRIM(SUBSTITUTE(SUBSTITUTE(MID(Общий!B541,SEARCH("Karcher",Общий!B541,1),19),".",""),"-","")),SEARCH("Karcher",TRIM(SUBSTITUTE(SUBSTITUTE(MID(Общий!B541,SEARCH("Karcher",Общий!B541,1),19),".",""),"-","")),1)+8,8)),VALUE(LEFT(SUBSTITUTE(SUBSTITUTE(Общий!B541,".",""),"-",""),8))),"0"),IFERROR(VALUE(MID(TRIM(SUBSTITUTE(SUBSTITUTE(MID(Общий!B541,SEARCH("Karcher",Общий!B541,1),19),".",""),"-","")),SEARCH("Karcher",TRIM(SUBSTITUTE(SUBSTITUTE(MID(Общий!B541,SEARCH("Karcher",Общий!B541,1),19),".",""),"-","")),1)+8,8)),VALUE(LEFT(SUBSTITUTE(SUBSTITUTE(Общий!B541,".",""),"-",""),8))))),0)</f>
        <v>0</v>
      </c>
      <c r="B541" s="25">
        <f>IFERROR(CONCATENATE(VALUE(IF(LEN(IFERROR(VALUE(MID(TRIM(SUBSTITUTE(SUBSTITUTE(MID(Общий!B541,SEARCH("Karcher",Общий!B541,1),19),".",""),"-","")),SEARCH("Karcher",TRIM(SUBSTITUTE(SUBSTITUTE(MID(Общий!B541,SEARCH("Karcher",Общий!B541,1),19),".",""),"-","")),1)+8,8)),VALUE(LEFT(SUBSTITUTE(SUBSTITUTE(Общий!B541,".",""),"-",""),8))))=7,CONCATENATE(IFERROR(VALUE(MID(TRIM(SUBSTITUTE(SUBSTITUTE(MID(Общий!B541,SEARCH("Karcher",Общий!B541,1),19),".",""),"-","")),SEARCH("Karcher",TRIM(SUBSTITUTE(SUBSTITUTE(MID(Общий!B541,SEARCH("Karcher",Общий!B541,1),19),".",""),"-","")),1)+8,8)),VALUE(LEFT(SUBSTITUTE(SUBSTITUTE(Общий!B541,".",""),"-",""),8))),"0"),IFERROR(VALUE(MID(TRIM(SUBSTITUTE(SUBSTITUTE(MID(Общий!B541,SEARCH("Karcher",Общий!B541,1),19),".",""),"-","")),SEARCH("Karcher",TRIM(SUBSTITUTE(SUBSTITUTE(MID(Общий!B541,SEARCH("Karcher",Общий!B541,1),19),".",""),"-","")),1)+8,8)),VALUE(LEFT(SUBSTITUTE(SUBSTITUTE(Общий!B541,".",""),"-",""),8)))))," ",Общий!C541),0)</f>
        <v>0</v>
      </c>
      <c r="C541" s="29" t="str">
        <f>Общий!A541</f>
        <v>533</v>
      </c>
      <c r="D541" s="27">
        <f>Общий!B541</f>
        <v>0</v>
      </c>
      <c r="E541" s="28">
        <f>Общий!C541</f>
        <v>0</v>
      </c>
      <c r="G541" s="44"/>
      <c r="H541" s="44"/>
      <c r="I541" s="44"/>
      <c r="J541" s="35"/>
    </row>
    <row r="542" spans="1:10">
      <c r="A542" s="31">
        <f>IFERROR(VALUE(IF(LEN(IFERROR(VALUE(MID(TRIM(SUBSTITUTE(SUBSTITUTE(MID(Общий!B542,SEARCH("Karcher",Общий!B542,1),19),".",""),"-","")),SEARCH("Karcher",TRIM(SUBSTITUTE(SUBSTITUTE(MID(Общий!B542,SEARCH("Karcher",Общий!B542,1),19),".",""),"-","")),1)+8,8)),VALUE(LEFT(SUBSTITUTE(SUBSTITUTE(Общий!B542,".",""),"-",""),8))))=7,CONCATENATE(IFERROR(VALUE(MID(TRIM(SUBSTITUTE(SUBSTITUTE(MID(Общий!B542,SEARCH("Karcher",Общий!B542,1),19),".",""),"-","")),SEARCH("Karcher",TRIM(SUBSTITUTE(SUBSTITUTE(MID(Общий!B542,SEARCH("Karcher",Общий!B542,1),19),".",""),"-","")),1)+8,8)),VALUE(LEFT(SUBSTITUTE(SUBSTITUTE(Общий!B542,".",""),"-",""),8))),"0"),IFERROR(VALUE(MID(TRIM(SUBSTITUTE(SUBSTITUTE(MID(Общий!B542,SEARCH("Karcher",Общий!B542,1),19),".",""),"-","")),SEARCH("Karcher",TRIM(SUBSTITUTE(SUBSTITUTE(MID(Общий!B542,SEARCH("Karcher",Общий!B542,1),19),".",""),"-","")),1)+8,8)),VALUE(LEFT(SUBSTITUTE(SUBSTITUTE(Общий!B542,".",""),"-",""),8))))),0)</f>
        <v>0</v>
      </c>
      <c r="B542" s="25">
        <f>IFERROR(CONCATENATE(VALUE(IF(LEN(IFERROR(VALUE(MID(TRIM(SUBSTITUTE(SUBSTITUTE(MID(Общий!B542,SEARCH("Karcher",Общий!B542,1),19),".",""),"-","")),SEARCH("Karcher",TRIM(SUBSTITUTE(SUBSTITUTE(MID(Общий!B542,SEARCH("Karcher",Общий!B542,1),19),".",""),"-","")),1)+8,8)),VALUE(LEFT(SUBSTITUTE(SUBSTITUTE(Общий!B542,".",""),"-",""),8))))=7,CONCATENATE(IFERROR(VALUE(MID(TRIM(SUBSTITUTE(SUBSTITUTE(MID(Общий!B542,SEARCH("Karcher",Общий!B542,1),19),".",""),"-","")),SEARCH("Karcher",TRIM(SUBSTITUTE(SUBSTITUTE(MID(Общий!B542,SEARCH("Karcher",Общий!B542,1),19),".",""),"-","")),1)+8,8)),VALUE(LEFT(SUBSTITUTE(SUBSTITUTE(Общий!B542,".",""),"-",""),8))),"0"),IFERROR(VALUE(MID(TRIM(SUBSTITUTE(SUBSTITUTE(MID(Общий!B542,SEARCH("Karcher",Общий!B542,1),19),".",""),"-","")),SEARCH("Karcher",TRIM(SUBSTITUTE(SUBSTITUTE(MID(Общий!B542,SEARCH("Karcher",Общий!B542,1),19),".",""),"-","")),1)+8,8)),VALUE(LEFT(SUBSTITUTE(SUBSTITUTE(Общий!B542,".",""),"-",""),8)))))," ",Общий!C542),0)</f>
        <v>0</v>
      </c>
      <c r="C542" s="29" t="str">
        <f>Общий!A542</f>
        <v>534</v>
      </c>
      <c r="D542" s="27">
        <f>Общий!B542</f>
        <v>0</v>
      </c>
      <c r="E542" s="28">
        <f>Общий!C542</f>
        <v>0</v>
      </c>
      <c r="G542" s="44"/>
      <c r="H542" s="44"/>
      <c r="I542" s="44"/>
      <c r="J542" s="35"/>
    </row>
    <row r="543" spans="1:10">
      <c r="A543" s="31">
        <f>IFERROR(VALUE(IF(LEN(IFERROR(VALUE(MID(TRIM(SUBSTITUTE(SUBSTITUTE(MID(Общий!B543,SEARCH("Karcher",Общий!B543,1),19),".",""),"-","")),SEARCH("Karcher",TRIM(SUBSTITUTE(SUBSTITUTE(MID(Общий!B543,SEARCH("Karcher",Общий!B543,1),19),".",""),"-","")),1)+8,8)),VALUE(LEFT(SUBSTITUTE(SUBSTITUTE(Общий!B543,".",""),"-",""),8))))=7,CONCATENATE(IFERROR(VALUE(MID(TRIM(SUBSTITUTE(SUBSTITUTE(MID(Общий!B543,SEARCH("Karcher",Общий!B543,1),19),".",""),"-","")),SEARCH("Karcher",TRIM(SUBSTITUTE(SUBSTITUTE(MID(Общий!B543,SEARCH("Karcher",Общий!B543,1),19),".",""),"-","")),1)+8,8)),VALUE(LEFT(SUBSTITUTE(SUBSTITUTE(Общий!B543,".",""),"-",""),8))),"0"),IFERROR(VALUE(MID(TRIM(SUBSTITUTE(SUBSTITUTE(MID(Общий!B543,SEARCH("Karcher",Общий!B543,1),19),".",""),"-","")),SEARCH("Karcher",TRIM(SUBSTITUTE(SUBSTITUTE(MID(Общий!B543,SEARCH("Karcher",Общий!B543,1),19),".",""),"-","")),1)+8,8)),VALUE(LEFT(SUBSTITUTE(SUBSTITUTE(Общий!B543,".",""),"-",""),8))))),0)</f>
        <v>0</v>
      </c>
      <c r="B543" s="25">
        <f>IFERROR(CONCATENATE(VALUE(IF(LEN(IFERROR(VALUE(MID(TRIM(SUBSTITUTE(SUBSTITUTE(MID(Общий!B543,SEARCH("Karcher",Общий!B543,1),19),".",""),"-","")),SEARCH("Karcher",TRIM(SUBSTITUTE(SUBSTITUTE(MID(Общий!B543,SEARCH("Karcher",Общий!B543,1),19),".",""),"-","")),1)+8,8)),VALUE(LEFT(SUBSTITUTE(SUBSTITUTE(Общий!B543,".",""),"-",""),8))))=7,CONCATENATE(IFERROR(VALUE(MID(TRIM(SUBSTITUTE(SUBSTITUTE(MID(Общий!B543,SEARCH("Karcher",Общий!B543,1),19),".",""),"-","")),SEARCH("Karcher",TRIM(SUBSTITUTE(SUBSTITUTE(MID(Общий!B543,SEARCH("Karcher",Общий!B543,1),19),".",""),"-","")),1)+8,8)),VALUE(LEFT(SUBSTITUTE(SUBSTITUTE(Общий!B543,".",""),"-",""),8))),"0"),IFERROR(VALUE(MID(TRIM(SUBSTITUTE(SUBSTITUTE(MID(Общий!B543,SEARCH("Karcher",Общий!B543,1),19),".",""),"-","")),SEARCH("Karcher",TRIM(SUBSTITUTE(SUBSTITUTE(MID(Общий!B543,SEARCH("Karcher",Общий!B543,1),19),".",""),"-","")),1)+8,8)),VALUE(LEFT(SUBSTITUTE(SUBSTITUTE(Общий!B543,".",""),"-",""),8)))))," ",Общий!C543),0)</f>
        <v>0</v>
      </c>
      <c r="C543" s="29" t="str">
        <f>Общий!A543</f>
        <v>535</v>
      </c>
      <c r="D543" s="27">
        <f>Общий!B543</f>
        <v>0</v>
      </c>
      <c r="E543" s="28">
        <f>Общий!C543</f>
        <v>0</v>
      </c>
      <c r="G543" s="44"/>
      <c r="H543" s="44"/>
      <c r="I543" s="44"/>
      <c r="J543" s="35"/>
    </row>
    <row r="544" spans="1:10">
      <c r="A544" s="31">
        <f>IFERROR(VALUE(IF(LEN(IFERROR(VALUE(MID(TRIM(SUBSTITUTE(SUBSTITUTE(MID(Общий!B544,SEARCH("Karcher",Общий!B544,1),19),".",""),"-","")),SEARCH("Karcher",TRIM(SUBSTITUTE(SUBSTITUTE(MID(Общий!B544,SEARCH("Karcher",Общий!B544,1),19),".",""),"-","")),1)+8,8)),VALUE(LEFT(SUBSTITUTE(SUBSTITUTE(Общий!B544,".",""),"-",""),8))))=7,CONCATENATE(IFERROR(VALUE(MID(TRIM(SUBSTITUTE(SUBSTITUTE(MID(Общий!B544,SEARCH("Karcher",Общий!B544,1),19),".",""),"-","")),SEARCH("Karcher",TRIM(SUBSTITUTE(SUBSTITUTE(MID(Общий!B544,SEARCH("Karcher",Общий!B544,1),19),".",""),"-","")),1)+8,8)),VALUE(LEFT(SUBSTITUTE(SUBSTITUTE(Общий!B544,".",""),"-",""),8))),"0"),IFERROR(VALUE(MID(TRIM(SUBSTITUTE(SUBSTITUTE(MID(Общий!B544,SEARCH("Karcher",Общий!B544,1),19),".",""),"-","")),SEARCH("Karcher",TRIM(SUBSTITUTE(SUBSTITUTE(MID(Общий!B544,SEARCH("Karcher",Общий!B544,1),19),".",""),"-","")),1)+8,8)),VALUE(LEFT(SUBSTITUTE(SUBSTITUTE(Общий!B544,".",""),"-",""),8))))),0)</f>
        <v>0</v>
      </c>
      <c r="B544" s="25">
        <f>IFERROR(CONCATENATE(VALUE(IF(LEN(IFERROR(VALUE(MID(TRIM(SUBSTITUTE(SUBSTITUTE(MID(Общий!B544,SEARCH("Karcher",Общий!B544,1),19),".",""),"-","")),SEARCH("Karcher",TRIM(SUBSTITUTE(SUBSTITUTE(MID(Общий!B544,SEARCH("Karcher",Общий!B544,1),19),".",""),"-","")),1)+8,8)),VALUE(LEFT(SUBSTITUTE(SUBSTITUTE(Общий!B544,".",""),"-",""),8))))=7,CONCATENATE(IFERROR(VALUE(MID(TRIM(SUBSTITUTE(SUBSTITUTE(MID(Общий!B544,SEARCH("Karcher",Общий!B544,1),19),".",""),"-","")),SEARCH("Karcher",TRIM(SUBSTITUTE(SUBSTITUTE(MID(Общий!B544,SEARCH("Karcher",Общий!B544,1),19),".",""),"-","")),1)+8,8)),VALUE(LEFT(SUBSTITUTE(SUBSTITUTE(Общий!B544,".",""),"-",""),8))),"0"),IFERROR(VALUE(MID(TRIM(SUBSTITUTE(SUBSTITUTE(MID(Общий!B544,SEARCH("Karcher",Общий!B544,1),19),".",""),"-","")),SEARCH("Karcher",TRIM(SUBSTITUTE(SUBSTITUTE(MID(Общий!B544,SEARCH("Karcher",Общий!B544,1),19),".",""),"-","")),1)+8,8)),VALUE(LEFT(SUBSTITUTE(SUBSTITUTE(Общий!B544,".",""),"-",""),8)))))," ",Общий!C544),0)</f>
        <v>0</v>
      </c>
      <c r="C544" s="29" t="str">
        <f>Общий!A544</f>
        <v>536</v>
      </c>
      <c r="D544" s="27">
        <f>Общий!B544</f>
        <v>0</v>
      </c>
      <c r="E544" s="28">
        <f>Общий!C544</f>
        <v>0</v>
      </c>
      <c r="G544" s="44"/>
      <c r="H544" s="44"/>
      <c r="I544" s="44"/>
      <c r="J544" s="35"/>
    </row>
    <row r="545" spans="1:10">
      <c r="A545" s="31">
        <f>IFERROR(VALUE(IF(LEN(IFERROR(VALUE(MID(TRIM(SUBSTITUTE(SUBSTITUTE(MID(Общий!B545,SEARCH("Karcher",Общий!B545,1),19),".",""),"-","")),SEARCH("Karcher",TRIM(SUBSTITUTE(SUBSTITUTE(MID(Общий!B545,SEARCH("Karcher",Общий!B545,1),19),".",""),"-","")),1)+8,8)),VALUE(LEFT(SUBSTITUTE(SUBSTITUTE(Общий!B545,".",""),"-",""),8))))=7,CONCATENATE(IFERROR(VALUE(MID(TRIM(SUBSTITUTE(SUBSTITUTE(MID(Общий!B545,SEARCH("Karcher",Общий!B545,1),19),".",""),"-","")),SEARCH("Karcher",TRIM(SUBSTITUTE(SUBSTITUTE(MID(Общий!B545,SEARCH("Karcher",Общий!B545,1),19),".",""),"-","")),1)+8,8)),VALUE(LEFT(SUBSTITUTE(SUBSTITUTE(Общий!B545,".",""),"-",""),8))),"0"),IFERROR(VALUE(MID(TRIM(SUBSTITUTE(SUBSTITUTE(MID(Общий!B545,SEARCH("Karcher",Общий!B545,1),19),".",""),"-","")),SEARCH("Karcher",TRIM(SUBSTITUTE(SUBSTITUTE(MID(Общий!B545,SEARCH("Karcher",Общий!B545,1),19),".",""),"-","")),1)+8,8)),VALUE(LEFT(SUBSTITUTE(SUBSTITUTE(Общий!B545,".",""),"-",""),8))))),0)</f>
        <v>0</v>
      </c>
      <c r="B545" s="25">
        <f>IFERROR(CONCATENATE(VALUE(IF(LEN(IFERROR(VALUE(MID(TRIM(SUBSTITUTE(SUBSTITUTE(MID(Общий!B545,SEARCH("Karcher",Общий!B545,1),19),".",""),"-","")),SEARCH("Karcher",TRIM(SUBSTITUTE(SUBSTITUTE(MID(Общий!B545,SEARCH("Karcher",Общий!B545,1),19),".",""),"-","")),1)+8,8)),VALUE(LEFT(SUBSTITUTE(SUBSTITUTE(Общий!B545,".",""),"-",""),8))))=7,CONCATENATE(IFERROR(VALUE(MID(TRIM(SUBSTITUTE(SUBSTITUTE(MID(Общий!B545,SEARCH("Karcher",Общий!B545,1),19),".",""),"-","")),SEARCH("Karcher",TRIM(SUBSTITUTE(SUBSTITUTE(MID(Общий!B545,SEARCH("Karcher",Общий!B545,1),19),".",""),"-","")),1)+8,8)),VALUE(LEFT(SUBSTITUTE(SUBSTITUTE(Общий!B545,".",""),"-",""),8))),"0"),IFERROR(VALUE(MID(TRIM(SUBSTITUTE(SUBSTITUTE(MID(Общий!B545,SEARCH("Karcher",Общий!B545,1),19),".",""),"-","")),SEARCH("Karcher",TRIM(SUBSTITUTE(SUBSTITUTE(MID(Общий!B545,SEARCH("Karcher",Общий!B545,1),19),".",""),"-","")),1)+8,8)),VALUE(LEFT(SUBSTITUTE(SUBSTITUTE(Общий!B545,".",""),"-",""),8)))))," ",Общий!C545),0)</f>
        <v>0</v>
      </c>
      <c r="C545" s="29" t="str">
        <f>Общий!A545</f>
        <v>537</v>
      </c>
      <c r="D545" s="27">
        <f>Общий!B545</f>
        <v>0</v>
      </c>
      <c r="E545" s="28">
        <f>Общий!C545</f>
        <v>0</v>
      </c>
      <c r="G545" s="44"/>
      <c r="H545" s="44"/>
      <c r="I545" s="44"/>
      <c r="J545" s="35"/>
    </row>
    <row r="546" spans="1:10">
      <c r="A546" s="31">
        <f>IFERROR(VALUE(IF(LEN(IFERROR(VALUE(MID(TRIM(SUBSTITUTE(SUBSTITUTE(MID(Общий!B546,SEARCH("Karcher",Общий!B546,1),19),".",""),"-","")),SEARCH("Karcher",TRIM(SUBSTITUTE(SUBSTITUTE(MID(Общий!B546,SEARCH("Karcher",Общий!B546,1),19),".",""),"-","")),1)+8,8)),VALUE(LEFT(SUBSTITUTE(SUBSTITUTE(Общий!B546,".",""),"-",""),8))))=7,CONCATENATE(IFERROR(VALUE(MID(TRIM(SUBSTITUTE(SUBSTITUTE(MID(Общий!B546,SEARCH("Karcher",Общий!B546,1),19),".",""),"-","")),SEARCH("Karcher",TRIM(SUBSTITUTE(SUBSTITUTE(MID(Общий!B546,SEARCH("Karcher",Общий!B546,1),19),".",""),"-","")),1)+8,8)),VALUE(LEFT(SUBSTITUTE(SUBSTITUTE(Общий!B546,".",""),"-",""),8))),"0"),IFERROR(VALUE(MID(TRIM(SUBSTITUTE(SUBSTITUTE(MID(Общий!B546,SEARCH("Karcher",Общий!B546,1),19),".",""),"-","")),SEARCH("Karcher",TRIM(SUBSTITUTE(SUBSTITUTE(MID(Общий!B546,SEARCH("Karcher",Общий!B546,1),19),".",""),"-","")),1)+8,8)),VALUE(LEFT(SUBSTITUTE(SUBSTITUTE(Общий!B546,".",""),"-",""),8))))),0)</f>
        <v>0</v>
      </c>
      <c r="B546" s="25">
        <f>IFERROR(CONCATENATE(VALUE(IF(LEN(IFERROR(VALUE(MID(TRIM(SUBSTITUTE(SUBSTITUTE(MID(Общий!B546,SEARCH("Karcher",Общий!B546,1),19),".",""),"-","")),SEARCH("Karcher",TRIM(SUBSTITUTE(SUBSTITUTE(MID(Общий!B546,SEARCH("Karcher",Общий!B546,1),19),".",""),"-","")),1)+8,8)),VALUE(LEFT(SUBSTITUTE(SUBSTITUTE(Общий!B546,".",""),"-",""),8))))=7,CONCATENATE(IFERROR(VALUE(MID(TRIM(SUBSTITUTE(SUBSTITUTE(MID(Общий!B546,SEARCH("Karcher",Общий!B546,1),19),".",""),"-","")),SEARCH("Karcher",TRIM(SUBSTITUTE(SUBSTITUTE(MID(Общий!B546,SEARCH("Karcher",Общий!B546,1),19),".",""),"-","")),1)+8,8)),VALUE(LEFT(SUBSTITUTE(SUBSTITUTE(Общий!B546,".",""),"-",""),8))),"0"),IFERROR(VALUE(MID(TRIM(SUBSTITUTE(SUBSTITUTE(MID(Общий!B546,SEARCH("Karcher",Общий!B546,1),19),".",""),"-","")),SEARCH("Karcher",TRIM(SUBSTITUTE(SUBSTITUTE(MID(Общий!B546,SEARCH("Karcher",Общий!B546,1),19),".",""),"-","")),1)+8,8)),VALUE(LEFT(SUBSTITUTE(SUBSTITUTE(Общий!B546,".",""),"-",""),8)))))," ",Общий!C546),0)</f>
        <v>0</v>
      </c>
      <c r="C546" s="29" t="str">
        <f>Общий!A546</f>
        <v>538</v>
      </c>
      <c r="D546" s="27">
        <f>Общий!B546</f>
        <v>0</v>
      </c>
      <c r="E546" s="28">
        <f>Общий!C546</f>
        <v>0</v>
      </c>
      <c r="G546" s="44"/>
      <c r="H546" s="44"/>
      <c r="I546" s="44"/>
      <c r="J546" s="35"/>
    </row>
    <row r="547" spans="1:10">
      <c r="A547" s="31">
        <f>IFERROR(VALUE(IF(LEN(IFERROR(VALUE(MID(TRIM(SUBSTITUTE(SUBSTITUTE(MID(Общий!B547,SEARCH("Karcher",Общий!B547,1),19),".",""),"-","")),SEARCH("Karcher",TRIM(SUBSTITUTE(SUBSTITUTE(MID(Общий!B547,SEARCH("Karcher",Общий!B547,1),19),".",""),"-","")),1)+8,8)),VALUE(LEFT(SUBSTITUTE(SUBSTITUTE(Общий!B547,".",""),"-",""),8))))=7,CONCATENATE(IFERROR(VALUE(MID(TRIM(SUBSTITUTE(SUBSTITUTE(MID(Общий!B547,SEARCH("Karcher",Общий!B547,1),19),".",""),"-","")),SEARCH("Karcher",TRIM(SUBSTITUTE(SUBSTITUTE(MID(Общий!B547,SEARCH("Karcher",Общий!B547,1),19),".",""),"-","")),1)+8,8)),VALUE(LEFT(SUBSTITUTE(SUBSTITUTE(Общий!B547,".",""),"-",""),8))),"0"),IFERROR(VALUE(MID(TRIM(SUBSTITUTE(SUBSTITUTE(MID(Общий!B547,SEARCH("Karcher",Общий!B547,1),19),".",""),"-","")),SEARCH("Karcher",TRIM(SUBSTITUTE(SUBSTITUTE(MID(Общий!B547,SEARCH("Karcher",Общий!B547,1),19),".",""),"-","")),1)+8,8)),VALUE(LEFT(SUBSTITUTE(SUBSTITUTE(Общий!B547,".",""),"-",""),8))))),0)</f>
        <v>0</v>
      </c>
      <c r="B547" s="25">
        <f>IFERROR(CONCATENATE(VALUE(IF(LEN(IFERROR(VALUE(MID(TRIM(SUBSTITUTE(SUBSTITUTE(MID(Общий!B547,SEARCH("Karcher",Общий!B547,1),19),".",""),"-","")),SEARCH("Karcher",TRIM(SUBSTITUTE(SUBSTITUTE(MID(Общий!B547,SEARCH("Karcher",Общий!B547,1),19),".",""),"-","")),1)+8,8)),VALUE(LEFT(SUBSTITUTE(SUBSTITUTE(Общий!B547,".",""),"-",""),8))))=7,CONCATENATE(IFERROR(VALUE(MID(TRIM(SUBSTITUTE(SUBSTITUTE(MID(Общий!B547,SEARCH("Karcher",Общий!B547,1),19),".",""),"-","")),SEARCH("Karcher",TRIM(SUBSTITUTE(SUBSTITUTE(MID(Общий!B547,SEARCH("Karcher",Общий!B547,1),19),".",""),"-","")),1)+8,8)),VALUE(LEFT(SUBSTITUTE(SUBSTITUTE(Общий!B547,".",""),"-",""),8))),"0"),IFERROR(VALUE(MID(TRIM(SUBSTITUTE(SUBSTITUTE(MID(Общий!B547,SEARCH("Karcher",Общий!B547,1),19),".",""),"-","")),SEARCH("Karcher",TRIM(SUBSTITUTE(SUBSTITUTE(MID(Общий!B547,SEARCH("Karcher",Общий!B547,1),19),".",""),"-","")),1)+8,8)),VALUE(LEFT(SUBSTITUTE(SUBSTITUTE(Общий!B547,".",""),"-",""),8)))))," ",Общий!C547),0)</f>
        <v>0</v>
      </c>
      <c r="C547" s="29" t="str">
        <f>Общий!A547</f>
        <v>539</v>
      </c>
      <c r="D547" s="27">
        <f>Общий!B547</f>
        <v>0</v>
      </c>
      <c r="E547" s="28">
        <f>Общий!C547</f>
        <v>0</v>
      </c>
      <c r="G547" s="44"/>
      <c r="H547" s="44"/>
      <c r="I547" s="44"/>
      <c r="J547" s="35"/>
    </row>
    <row r="548" spans="1:10">
      <c r="A548" s="31">
        <f>IFERROR(VALUE(IF(LEN(IFERROR(VALUE(MID(TRIM(SUBSTITUTE(SUBSTITUTE(MID(Общий!B548,SEARCH("Karcher",Общий!B548,1),19),".",""),"-","")),SEARCH("Karcher",TRIM(SUBSTITUTE(SUBSTITUTE(MID(Общий!B548,SEARCH("Karcher",Общий!B548,1),19),".",""),"-","")),1)+8,8)),VALUE(LEFT(SUBSTITUTE(SUBSTITUTE(Общий!B548,".",""),"-",""),8))))=7,CONCATENATE(IFERROR(VALUE(MID(TRIM(SUBSTITUTE(SUBSTITUTE(MID(Общий!B548,SEARCH("Karcher",Общий!B548,1),19),".",""),"-","")),SEARCH("Karcher",TRIM(SUBSTITUTE(SUBSTITUTE(MID(Общий!B548,SEARCH("Karcher",Общий!B548,1),19),".",""),"-","")),1)+8,8)),VALUE(LEFT(SUBSTITUTE(SUBSTITUTE(Общий!B548,".",""),"-",""),8))),"0"),IFERROR(VALUE(MID(TRIM(SUBSTITUTE(SUBSTITUTE(MID(Общий!B548,SEARCH("Karcher",Общий!B548,1),19),".",""),"-","")),SEARCH("Karcher",TRIM(SUBSTITUTE(SUBSTITUTE(MID(Общий!B548,SEARCH("Karcher",Общий!B548,1),19),".",""),"-","")),1)+8,8)),VALUE(LEFT(SUBSTITUTE(SUBSTITUTE(Общий!B548,".",""),"-",""),8))))),0)</f>
        <v>0</v>
      </c>
      <c r="B548" s="25">
        <f>IFERROR(CONCATENATE(VALUE(IF(LEN(IFERROR(VALUE(MID(TRIM(SUBSTITUTE(SUBSTITUTE(MID(Общий!B548,SEARCH("Karcher",Общий!B548,1),19),".",""),"-","")),SEARCH("Karcher",TRIM(SUBSTITUTE(SUBSTITUTE(MID(Общий!B548,SEARCH("Karcher",Общий!B548,1),19),".",""),"-","")),1)+8,8)),VALUE(LEFT(SUBSTITUTE(SUBSTITUTE(Общий!B548,".",""),"-",""),8))))=7,CONCATENATE(IFERROR(VALUE(MID(TRIM(SUBSTITUTE(SUBSTITUTE(MID(Общий!B548,SEARCH("Karcher",Общий!B548,1),19),".",""),"-","")),SEARCH("Karcher",TRIM(SUBSTITUTE(SUBSTITUTE(MID(Общий!B548,SEARCH("Karcher",Общий!B548,1),19),".",""),"-","")),1)+8,8)),VALUE(LEFT(SUBSTITUTE(SUBSTITUTE(Общий!B548,".",""),"-",""),8))),"0"),IFERROR(VALUE(MID(TRIM(SUBSTITUTE(SUBSTITUTE(MID(Общий!B548,SEARCH("Karcher",Общий!B548,1),19),".",""),"-","")),SEARCH("Karcher",TRIM(SUBSTITUTE(SUBSTITUTE(MID(Общий!B548,SEARCH("Karcher",Общий!B548,1),19),".",""),"-","")),1)+8,8)),VALUE(LEFT(SUBSTITUTE(SUBSTITUTE(Общий!B548,".",""),"-",""),8)))))," ",Общий!C548),0)</f>
        <v>0</v>
      </c>
      <c r="C548" s="29" t="str">
        <f>Общий!A548</f>
        <v>540</v>
      </c>
      <c r="D548" s="27">
        <f>Общий!B548</f>
        <v>0</v>
      </c>
      <c r="E548" s="28">
        <f>Общий!C548</f>
        <v>0</v>
      </c>
      <c r="G548" s="44"/>
      <c r="H548" s="44"/>
      <c r="I548" s="44"/>
      <c r="J548" s="35"/>
    </row>
    <row r="549" spans="1:10">
      <c r="A549" s="31">
        <f>IFERROR(VALUE(IF(LEN(IFERROR(VALUE(MID(TRIM(SUBSTITUTE(SUBSTITUTE(MID(Общий!B549,SEARCH("Karcher",Общий!B549,1),19),".",""),"-","")),SEARCH("Karcher",TRIM(SUBSTITUTE(SUBSTITUTE(MID(Общий!B549,SEARCH("Karcher",Общий!B549,1),19),".",""),"-","")),1)+8,8)),VALUE(LEFT(SUBSTITUTE(SUBSTITUTE(Общий!B549,".",""),"-",""),8))))=7,CONCATENATE(IFERROR(VALUE(MID(TRIM(SUBSTITUTE(SUBSTITUTE(MID(Общий!B549,SEARCH("Karcher",Общий!B549,1),19),".",""),"-","")),SEARCH("Karcher",TRIM(SUBSTITUTE(SUBSTITUTE(MID(Общий!B549,SEARCH("Karcher",Общий!B549,1),19),".",""),"-","")),1)+8,8)),VALUE(LEFT(SUBSTITUTE(SUBSTITUTE(Общий!B549,".",""),"-",""),8))),"0"),IFERROR(VALUE(MID(TRIM(SUBSTITUTE(SUBSTITUTE(MID(Общий!B549,SEARCH("Karcher",Общий!B549,1),19),".",""),"-","")),SEARCH("Karcher",TRIM(SUBSTITUTE(SUBSTITUTE(MID(Общий!B549,SEARCH("Karcher",Общий!B549,1),19),".",""),"-","")),1)+8,8)),VALUE(LEFT(SUBSTITUTE(SUBSTITUTE(Общий!B549,".",""),"-",""),8))))),0)</f>
        <v>0</v>
      </c>
      <c r="B549" s="25">
        <f>IFERROR(CONCATENATE(VALUE(IF(LEN(IFERROR(VALUE(MID(TRIM(SUBSTITUTE(SUBSTITUTE(MID(Общий!B549,SEARCH("Karcher",Общий!B549,1),19),".",""),"-","")),SEARCH("Karcher",TRIM(SUBSTITUTE(SUBSTITUTE(MID(Общий!B549,SEARCH("Karcher",Общий!B549,1),19),".",""),"-","")),1)+8,8)),VALUE(LEFT(SUBSTITUTE(SUBSTITUTE(Общий!B549,".",""),"-",""),8))))=7,CONCATENATE(IFERROR(VALUE(MID(TRIM(SUBSTITUTE(SUBSTITUTE(MID(Общий!B549,SEARCH("Karcher",Общий!B549,1),19),".",""),"-","")),SEARCH("Karcher",TRIM(SUBSTITUTE(SUBSTITUTE(MID(Общий!B549,SEARCH("Karcher",Общий!B549,1),19),".",""),"-","")),1)+8,8)),VALUE(LEFT(SUBSTITUTE(SUBSTITUTE(Общий!B549,".",""),"-",""),8))),"0"),IFERROR(VALUE(MID(TRIM(SUBSTITUTE(SUBSTITUTE(MID(Общий!B549,SEARCH("Karcher",Общий!B549,1),19),".",""),"-","")),SEARCH("Karcher",TRIM(SUBSTITUTE(SUBSTITUTE(MID(Общий!B549,SEARCH("Karcher",Общий!B549,1),19),".",""),"-","")),1)+8,8)),VALUE(LEFT(SUBSTITUTE(SUBSTITUTE(Общий!B549,".",""),"-",""),8)))))," ",Общий!C549),0)</f>
        <v>0</v>
      </c>
      <c r="C549" s="29" t="str">
        <f>Общий!A549</f>
        <v>541</v>
      </c>
      <c r="D549" s="27">
        <f>Общий!B549</f>
        <v>0</v>
      </c>
      <c r="E549" s="28">
        <f>Общий!C549</f>
        <v>0</v>
      </c>
      <c r="G549" s="44"/>
      <c r="H549" s="44"/>
      <c r="I549" s="44"/>
      <c r="J549" s="35"/>
    </row>
    <row r="550" spans="1:10">
      <c r="A550" s="31">
        <f>IFERROR(VALUE(IF(LEN(IFERROR(VALUE(MID(TRIM(SUBSTITUTE(SUBSTITUTE(MID(Общий!B550,SEARCH("Karcher",Общий!B550,1),19),".",""),"-","")),SEARCH("Karcher",TRIM(SUBSTITUTE(SUBSTITUTE(MID(Общий!B550,SEARCH("Karcher",Общий!B550,1),19),".",""),"-","")),1)+8,8)),VALUE(LEFT(SUBSTITUTE(SUBSTITUTE(Общий!B550,".",""),"-",""),8))))=7,CONCATENATE(IFERROR(VALUE(MID(TRIM(SUBSTITUTE(SUBSTITUTE(MID(Общий!B550,SEARCH("Karcher",Общий!B550,1),19),".",""),"-","")),SEARCH("Karcher",TRIM(SUBSTITUTE(SUBSTITUTE(MID(Общий!B550,SEARCH("Karcher",Общий!B550,1),19),".",""),"-","")),1)+8,8)),VALUE(LEFT(SUBSTITUTE(SUBSTITUTE(Общий!B550,".",""),"-",""),8))),"0"),IFERROR(VALUE(MID(TRIM(SUBSTITUTE(SUBSTITUTE(MID(Общий!B550,SEARCH("Karcher",Общий!B550,1),19),".",""),"-","")),SEARCH("Karcher",TRIM(SUBSTITUTE(SUBSTITUTE(MID(Общий!B550,SEARCH("Karcher",Общий!B550,1),19),".",""),"-","")),1)+8,8)),VALUE(LEFT(SUBSTITUTE(SUBSTITUTE(Общий!B550,".",""),"-",""),8))))),0)</f>
        <v>0</v>
      </c>
      <c r="B550" s="25">
        <f>IFERROR(CONCATENATE(VALUE(IF(LEN(IFERROR(VALUE(MID(TRIM(SUBSTITUTE(SUBSTITUTE(MID(Общий!B550,SEARCH("Karcher",Общий!B550,1),19),".",""),"-","")),SEARCH("Karcher",TRIM(SUBSTITUTE(SUBSTITUTE(MID(Общий!B550,SEARCH("Karcher",Общий!B550,1),19),".",""),"-","")),1)+8,8)),VALUE(LEFT(SUBSTITUTE(SUBSTITUTE(Общий!B550,".",""),"-",""),8))))=7,CONCATENATE(IFERROR(VALUE(MID(TRIM(SUBSTITUTE(SUBSTITUTE(MID(Общий!B550,SEARCH("Karcher",Общий!B550,1),19),".",""),"-","")),SEARCH("Karcher",TRIM(SUBSTITUTE(SUBSTITUTE(MID(Общий!B550,SEARCH("Karcher",Общий!B550,1),19),".",""),"-","")),1)+8,8)),VALUE(LEFT(SUBSTITUTE(SUBSTITUTE(Общий!B550,".",""),"-",""),8))),"0"),IFERROR(VALUE(MID(TRIM(SUBSTITUTE(SUBSTITUTE(MID(Общий!B550,SEARCH("Karcher",Общий!B550,1),19),".",""),"-","")),SEARCH("Karcher",TRIM(SUBSTITUTE(SUBSTITUTE(MID(Общий!B550,SEARCH("Karcher",Общий!B550,1),19),".",""),"-","")),1)+8,8)),VALUE(LEFT(SUBSTITUTE(SUBSTITUTE(Общий!B550,".",""),"-",""),8)))))," ",Общий!C550),0)</f>
        <v>0</v>
      </c>
      <c r="C550" s="29" t="str">
        <f>Общий!A550</f>
        <v>542</v>
      </c>
      <c r="D550" s="27">
        <f>Общий!B550</f>
        <v>0</v>
      </c>
      <c r="E550" s="28">
        <f>Общий!C550</f>
        <v>0</v>
      </c>
      <c r="G550" s="44"/>
      <c r="H550" s="44"/>
      <c r="I550" s="44"/>
      <c r="J550" s="35"/>
    </row>
  </sheetData>
  <sheetProtection sheet="1" objects="1" scenarios="1"/>
  <mergeCells count="546">
    <mergeCell ref="G549:I549"/>
    <mergeCell ref="G550:I550"/>
    <mergeCell ref="A8:E8"/>
    <mergeCell ref="G543:I543"/>
    <mergeCell ref="G544:I544"/>
    <mergeCell ref="G545:I545"/>
    <mergeCell ref="G546:I546"/>
    <mergeCell ref="G547:I547"/>
    <mergeCell ref="G548:I548"/>
    <mergeCell ref="G537:I537"/>
    <mergeCell ref="G538:I538"/>
    <mergeCell ref="G539:I539"/>
    <mergeCell ref="G540:I540"/>
    <mergeCell ref="G541:I541"/>
    <mergeCell ref="G542:I542"/>
    <mergeCell ref="G531:I531"/>
    <mergeCell ref="G532:I532"/>
    <mergeCell ref="G533:I533"/>
    <mergeCell ref="G534:I534"/>
    <mergeCell ref="G535:I535"/>
    <mergeCell ref="G536:I536"/>
    <mergeCell ref="G525:I525"/>
    <mergeCell ref="G526:I526"/>
    <mergeCell ref="G527:I527"/>
    <mergeCell ref="G528:I528"/>
    <mergeCell ref="G529:I529"/>
    <mergeCell ref="G530:I530"/>
    <mergeCell ref="G519:I519"/>
    <mergeCell ref="G520:I520"/>
    <mergeCell ref="G521:I521"/>
    <mergeCell ref="G522:I522"/>
    <mergeCell ref="G523:I523"/>
    <mergeCell ref="G524:I524"/>
    <mergeCell ref="G513:I513"/>
    <mergeCell ref="G514:I514"/>
    <mergeCell ref="G515:I515"/>
    <mergeCell ref="G516:I516"/>
    <mergeCell ref="G517:I517"/>
    <mergeCell ref="G518:I518"/>
    <mergeCell ref="G507:I507"/>
    <mergeCell ref="G508:I508"/>
    <mergeCell ref="G509:I509"/>
    <mergeCell ref="G510:I510"/>
    <mergeCell ref="G511:I511"/>
    <mergeCell ref="G512:I512"/>
    <mergeCell ref="G501:I501"/>
    <mergeCell ref="G502:I502"/>
    <mergeCell ref="G503:I503"/>
    <mergeCell ref="G504:I504"/>
    <mergeCell ref="G505:I505"/>
    <mergeCell ref="G506:I506"/>
    <mergeCell ref="G495:I495"/>
    <mergeCell ref="G496:I496"/>
    <mergeCell ref="G497:I497"/>
    <mergeCell ref="G498:I498"/>
    <mergeCell ref="G499:I499"/>
    <mergeCell ref="G500:I500"/>
    <mergeCell ref="G489:I489"/>
    <mergeCell ref="G490:I490"/>
    <mergeCell ref="G491:I491"/>
    <mergeCell ref="G492:I492"/>
    <mergeCell ref="G493:I493"/>
    <mergeCell ref="G494:I494"/>
    <mergeCell ref="G483:I483"/>
    <mergeCell ref="G484:I484"/>
    <mergeCell ref="G485:I485"/>
    <mergeCell ref="G486:I486"/>
    <mergeCell ref="G487:I487"/>
    <mergeCell ref="G488:I488"/>
    <mergeCell ref="G477:I477"/>
    <mergeCell ref="G478:I478"/>
    <mergeCell ref="G479:I479"/>
    <mergeCell ref="G480:I480"/>
    <mergeCell ref="G481:I481"/>
    <mergeCell ref="G482:I482"/>
    <mergeCell ref="G471:I471"/>
    <mergeCell ref="G472:I472"/>
    <mergeCell ref="G473:I473"/>
    <mergeCell ref="G474:I474"/>
    <mergeCell ref="G475:I475"/>
    <mergeCell ref="G476:I476"/>
    <mergeCell ref="G465:I465"/>
    <mergeCell ref="G466:I466"/>
    <mergeCell ref="G467:I467"/>
    <mergeCell ref="G468:I468"/>
    <mergeCell ref="G469:I469"/>
    <mergeCell ref="G470:I470"/>
    <mergeCell ref="G459:I459"/>
    <mergeCell ref="G460:I460"/>
    <mergeCell ref="G461:I461"/>
    <mergeCell ref="G462:I462"/>
    <mergeCell ref="G463:I463"/>
    <mergeCell ref="G464:I464"/>
    <mergeCell ref="G453:I453"/>
    <mergeCell ref="G454:I454"/>
    <mergeCell ref="G455:I455"/>
    <mergeCell ref="G456:I456"/>
    <mergeCell ref="G457:I457"/>
    <mergeCell ref="G458:I458"/>
    <mergeCell ref="G447:I447"/>
    <mergeCell ref="G448:I448"/>
    <mergeCell ref="G449:I449"/>
    <mergeCell ref="G450:I450"/>
    <mergeCell ref="G451:I451"/>
    <mergeCell ref="G452:I452"/>
    <mergeCell ref="G441:I441"/>
    <mergeCell ref="G442:I442"/>
    <mergeCell ref="G443:I443"/>
    <mergeCell ref="G444:I444"/>
    <mergeCell ref="G445:I445"/>
    <mergeCell ref="G446:I446"/>
    <mergeCell ref="G435:I435"/>
    <mergeCell ref="G436:I436"/>
    <mergeCell ref="G437:I437"/>
    <mergeCell ref="G438:I438"/>
    <mergeCell ref="G439:I439"/>
    <mergeCell ref="G440:I440"/>
    <mergeCell ref="G429:I429"/>
    <mergeCell ref="G430:I430"/>
    <mergeCell ref="G431:I431"/>
    <mergeCell ref="G432:I432"/>
    <mergeCell ref="G433:I433"/>
    <mergeCell ref="G434:I434"/>
    <mergeCell ref="G423:I423"/>
    <mergeCell ref="G424:I424"/>
    <mergeCell ref="G425:I425"/>
    <mergeCell ref="G426:I426"/>
    <mergeCell ref="G427:I427"/>
    <mergeCell ref="G428:I428"/>
    <mergeCell ref="G417:I417"/>
    <mergeCell ref="G418:I418"/>
    <mergeCell ref="G419:I419"/>
    <mergeCell ref="G420:I420"/>
    <mergeCell ref="G421:I421"/>
    <mergeCell ref="G422:I422"/>
    <mergeCell ref="G411:I411"/>
    <mergeCell ref="G412:I412"/>
    <mergeCell ref="G413:I413"/>
    <mergeCell ref="G414:I414"/>
    <mergeCell ref="G415:I415"/>
    <mergeCell ref="G416:I416"/>
    <mergeCell ref="G405:I405"/>
    <mergeCell ref="G406:I406"/>
    <mergeCell ref="G407:I407"/>
    <mergeCell ref="G408:I408"/>
    <mergeCell ref="G409:I409"/>
    <mergeCell ref="G410:I410"/>
    <mergeCell ref="G399:I399"/>
    <mergeCell ref="G400:I400"/>
    <mergeCell ref="G401:I401"/>
    <mergeCell ref="G402:I402"/>
    <mergeCell ref="G403:I403"/>
    <mergeCell ref="G404:I404"/>
    <mergeCell ref="G393:I393"/>
    <mergeCell ref="G394:I394"/>
    <mergeCell ref="G395:I395"/>
    <mergeCell ref="G396:I396"/>
    <mergeCell ref="G397:I397"/>
    <mergeCell ref="G398:I398"/>
    <mergeCell ref="G387:I387"/>
    <mergeCell ref="G388:I388"/>
    <mergeCell ref="G389:I389"/>
    <mergeCell ref="G390:I390"/>
    <mergeCell ref="G391:I391"/>
    <mergeCell ref="G392:I392"/>
    <mergeCell ref="G381:I381"/>
    <mergeCell ref="G382:I382"/>
    <mergeCell ref="G383:I383"/>
    <mergeCell ref="G384:I384"/>
    <mergeCell ref="G385:I385"/>
    <mergeCell ref="G386:I386"/>
    <mergeCell ref="G375:I375"/>
    <mergeCell ref="G376:I376"/>
    <mergeCell ref="G377:I377"/>
    <mergeCell ref="G378:I378"/>
    <mergeCell ref="G379:I379"/>
    <mergeCell ref="G380:I380"/>
    <mergeCell ref="G369:I369"/>
    <mergeCell ref="G370:I370"/>
    <mergeCell ref="G371:I371"/>
    <mergeCell ref="G372:I372"/>
    <mergeCell ref="G373:I373"/>
    <mergeCell ref="G374:I374"/>
    <mergeCell ref="G363:I363"/>
    <mergeCell ref="G364:I364"/>
    <mergeCell ref="G365:I365"/>
    <mergeCell ref="G366:I366"/>
    <mergeCell ref="G367:I367"/>
    <mergeCell ref="G368:I368"/>
    <mergeCell ref="G357:I357"/>
    <mergeCell ref="G358:I358"/>
    <mergeCell ref="G359:I359"/>
    <mergeCell ref="G360:I360"/>
    <mergeCell ref="G361:I361"/>
    <mergeCell ref="G362:I362"/>
    <mergeCell ref="G351:I351"/>
    <mergeCell ref="G352:I352"/>
    <mergeCell ref="G353:I353"/>
    <mergeCell ref="G354:I354"/>
    <mergeCell ref="G355:I355"/>
    <mergeCell ref="G356:I356"/>
    <mergeCell ref="G345:I345"/>
    <mergeCell ref="G346:I346"/>
    <mergeCell ref="G347:I347"/>
    <mergeCell ref="G348:I348"/>
    <mergeCell ref="G349:I349"/>
    <mergeCell ref="G350:I350"/>
    <mergeCell ref="G339:I339"/>
    <mergeCell ref="G340:I340"/>
    <mergeCell ref="G341:I341"/>
    <mergeCell ref="G342:I342"/>
    <mergeCell ref="G343:I343"/>
    <mergeCell ref="G344:I344"/>
    <mergeCell ref="G333:I333"/>
    <mergeCell ref="G334:I334"/>
    <mergeCell ref="G335:I335"/>
    <mergeCell ref="G336:I336"/>
    <mergeCell ref="G337:I337"/>
    <mergeCell ref="G338:I338"/>
    <mergeCell ref="G327:I327"/>
    <mergeCell ref="G328:I328"/>
    <mergeCell ref="G329:I329"/>
    <mergeCell ref="G330:I330"/>
    <mergeCell ref="G331:I331"/>
    <mergeCell ref="G332:I332"/>
    <mergeCell ref="G321:I321"/>
    <mergeCell ref="G322:I322"/>
    <mergeCell ref="G323:I323"/>
    <mergeCell ref="G324:I324"/>
    <mergeCell ref="G325:I325"/>
    <mergeCell ref="G326:I326"/>
    <mergeCell ref="G315:I315"/>
    <mergeCell ref="G316:I316"/>
    <mergeCell ref="G317:I317"/>
    <mergeCell ref="G318:I318"/>
    <mergeCell ref="G319:I319"/>
    <mergeCell ref="G320:I320"/>
    <mergeCell ref="G309:I309"/>
    <mergeCell ref="G310:I310"/>
    <mergeCell ref="G311:I311"/>
    <mergeCell ref="G312:I312"/>
    <mergeCell ref="G313:I313"/>
    <mergeCell ref="G314:I314"/>
    <mergeCell ref="G303:I303"/>
    <mergeCell ref="G304:I304"/>
    <mergeCell ref="G305:I305"/>
    <mergeCell ref="G306:I306"/>
    <mergeCell ref="G307:I307"/>
    <mergeCell ref="G308:I308"/>
    <mergeCell ref="G297:I297"/>
    <mergeCell ref="G298:I298"/>
    <mergeCell ref="G299:I299"/>
    <mergeCell ref="G300:I300"/>
    <mergeCell ref="G301:I301"/>
    <mergeCell ref="G302:I302"/>
    <mergeCell ref="G291:I291"/>
    <mergeCell ref="G292:I292"/>
    <mergeCell ref="G293:I293"/>
    <mergeCell ref="G294:I294"/>
    <mergeCell ref="G295:I295"/>
    <mergeCell ref="G296:I296"/>
    <mergeCell ref="G285:I285"/>
    <mergeCell ref="G286:I286"/>
    <mergeCell ref="G287:I287"/>
    <mergeCell ref="G288:I288"/>
    <mergeCell ref="G289:I289"/>
    <mergeCell ref="G290:I290"/>
    <mergeCell ref="G279:I279"/>
    <mergeCell ref="G280:I280"/>
    <mergeCell ref="G281:I281"/>
    <mergeCell ref="G282:I282"/>
    <mergeCell ref="G283:I283"/>
    <mergeCell ref="G284:I284"/>
    <mergeCell ref="G273:I273"/>
    <mergeCell ref="G274:I274"/>
    <mergeCell ref="G275:I275"/>
    <mergeCell ref="G276:I276"/>
    <mergeCell ref="G277:I277"/>
    <mergeCell ref="G278:I278"/>
    <mergeCell ref="G267:I267"/>
    <mergeCell ref="G268:I268"/>
    <mergeCell ref="G269:I269"/>
    <mergeCell ref="G270:I270"/>
    <mergeCell ref="G271:I271"/>
    <mergeCell ref="G272:I272"/>
    <mergeCell ref="G261:I261"/>
    <mergeCell ref="G262:I262"/>
    <mergeCell ref="G263:I263"/>
    <mergeCell ref="G264:I264"/>
    <mergeCell ref="G265:I265"/>
    <mergeCell ref="G266:I266"/>
    <mergeCell ref="G255:I255"/>
    <mergeCell ref="G256:I256"/>
    <mergeCell ref="G257:I257"/>
    <mergeCell ref="G258:I258"/>
    <mergeCell ref="G259:I259"/>
    <mergeCell ref="G260:I260"/>
    <mergeCell ref="G249:I249"/>
    <mergeCell ref="G250:I250"/>
    <mergeCell ref="G251:I251"/>
    <mergeCell ref="G252:I252"/>
    <mergeCell ref="G253:I253"/>
    <mergeCell ref="G254:I254"/>
    <mergeCell ref="G243:I243"/>
    <mergeCell ref="G244:I244"/>
    <mergeCell ref="G245:I245"/>
    <mergeCell ref="G246:I246"/>
    <mergeCell ref="G247:I247"/>
    <mergeCell ref="G248:I248"/>
    <mergeCell ref="G237:I237"/>
    <mergeCell ref="G238:I238"/>
    <mergeCell ref="G239:I239"/>
    <mergeCell ref="G240:I240"/>
    <mergeCell ref="G241:I241"/>
    <mergeCell ref="G242:I242"/>
    <mergeCell ref="G231:I231"/>
    <mergeCell ref="G232:I232"/>
    <mergeCell ref="G233:I233"/>
    <mergeCell ref="G234:I234"/>
    <mergeCell ref="G235:I235"/>
    <mergeCell ref="G236:I236"/>
    <mergeCell ref="G225:I225"/>
    <mergeCell ref="G226:I226"/>
    <mergeCell ref="G227:I227"/>
    <mergeCell ref="G228:I228"/>
    <mergeCell ref="G229:I229"/>
    <mergeCell ref="G230:I230"/>
    <mergeCell ref="G219:I219"/>
    <mergeCell ref="G220:I220"/>
    <mergeCell ref="G221:I221"/>
    <mergeCell ref="G222:I222"/>
    <mergeCell ref="G223:I223"/>
    <mergeCell ref="G224:I224"/>
    <mergeCell ref="G213:I213"/>
    <mergeCell ref="G214:I214"/>
    <mergeCell ref="G215:I215"/>
    <mergeCell ref="G216:I216"/>
    <mergeCell ref="G217:I217"/>
    <mergeCell ref="G218:I218"/>
    <mergeCell ref="G207:I207"/>
    <mergeCell ref="G208:I208"/>
    <mergeCell ref="G209:I209"/>
    <mergeCell ref="G210:I210"/>
    <mergeCell ref="G211:I211"/>
    <mergeCell ref="G212:I212"/>
    <mergeCell ref="G201:I201"/>
    <mergeCell ref="G202:I202"/>
    <mergeCell ref="G203:I203"/>
    <mergeCell ref="G204:I204"/>
    <mergeCell ref="G205:I205"/>
    <mergeCell ref="G206:I206"/>
    <mergeCell ref="G195:I195"/>
    <mergeCell ref="G196:I196"/>
    <mergeCell ref="G197:I197"/>
    <mergeCell ref="G198:I198"/>
    <mergeCell ref="G199:I199"/>
    <mergeCell ref="G200:I200"/>
    <mergeCell ref="G189:I189"/>
    <mergeCell ref="G190:I190"/>
    <mergeCell ref="G191:I191"/>
    <mergeCell ref="G192:I192"/>
    <mergeCell ref="G193:I193"/>
    <mergeCell ref="G194:I194"/>
    <mergeCell ref="G183:I183"/>
    <mergeCell ref="G184:I184"/>
    <mergeCell ref="G185:I185"/>
    <mergeCell ref="G186:I186"/>
    <mergeCell ref="G187:I187"/>
    <mergeCell ref="G188:I188"/>
    <mergeCell ref="G177:I177"/>
    <mergeCell ref="G178:I178"/>
    <mergeCell ref="G179:I179"/>
    <mergeCell ref="G180:I180"/>
    <mergeCell ref="G181:I181"/>
    <mergeCell ref="G182:I182"/>
    <mergeCell ref="G171:I171"/>
    <mergeCell ref="G172:I172"/>
    <mergeCell ref="G173:I173"/>
    <mergeCell ref="G174:I174"/>
    <mergeCell ref="G175:I175"/>
    <mergeCell ref="G176:I176"/>
    <mergeCell ref="G165:I165"/>
    <mergeCell ref="G166:I166"/>
    <mergeCell ref="G167:I167"/>
    <mergeCell ref="G168:I168"/>
    <mergeCell ref="G169:I169"/>
    <mergeCell ref="G170:I170"/>
    <mergeCell ref="G159:I159"/>
    <mergeCell ref="G160:I160"/>
    <mergeCell ref="G161:I161"/>
    <mergeCell ref="G162:I162"/>
    <mergeCell ref="G163:I163"/>
    <mergeCell ref="G164:I164"/>
    <mergeCell ref="G153:I153"/>
    <mergeCell ref="G154:I154"/>
    <mergeCell ref="G155:I155"/>
    <mergeCell ref="G156:I156"/>
    <mergeCell ref="G157:I157"/>
    <mergeCell ref="G158:I158"/>
    <mergeCell ref="G147:I147"/>
    <mergeCell ref="G148:I148"/>
    <mergeCell ref="G149:I149"/>
    <mergeCell ref="G150:I150"/>
    <mergeCell ref="G151:I151"/>
    <mergeCell ref="G152:I152"/>
    <mergeCell ref="G141:I141"/>
    <mergeCell ref="G142:I142"/>
    <mergeCell ref="G143:I143"/>
    <mergeCell ref="G144:I144"/>
    <mergeCell ref="G145:I145"/>
    <mergeCell ref="G146:I146"/>
    <mergeCell ref="G135:I135"/>
    <mergeCell ref="G136:I136"/>
    <mergeCell ref="G137:I137"/>
    <mergeCell ref="G138:I138"/>
    <mergeCell ref="G139:I139"/>
    <mergeCell ref="G140:I140"/>
    <mergeCell ref="G129:I129"/>
    <mergeCell ref="G130:I130"/>
    <mergeCell ref="G131:I131"/>
    <mergeCell ref="G132:I132"/>
    <mergeCell ref="G133:I133"/>
    <mergeCell ref="G134:I134"/>
    <mergeCell ref="G123:I123"/>
    <mergeCell ref="G124:I124"/>
    <mergeCell ref="G125:I125"/>
    <mergeCell ref="G126:I126"/>
    <mergeCell ref="G127:I127"/>
    <mergeCell ref="G128:I128"/>
    <mergeCell ref="G117:I117"/>
    <mergeCell ref="G118:I118"/>
    <mergeCell ref="G119:I119"/>
    <mergeCell ref="G120:I120"/>
    <mergeCell ref="G121:I121"/>
    <mergeCell ref="G122:I122"/>
    <mergeCell ref="G111:I111"/>
    <mergeCell ref="G112:I112"/>
    <mergeCell ref="G113:I113"/>
    <mergeCell ref="G114:I114"/>
    <mergeCell ref="G115:I115"/>
    <mergeCell ref="G116:I116"/>
    <mergeCell ref="G105:I105"/>
    <mergeCell ref="G106:I106"/>
    <mergeCell ref="G107:I107"/>
    <mergeCell ref="G108:I108"/>
    <mergeCell ref="G109:I109"/>
    <mergeCell ref="G110:I110"/>
    <mergeCell ref="G99:I99"/>
    <mergeCell ref="G100:I100"/>
    <mergeCell ref="G101:I101"/>
    <mergeCell ref="G102:I102"/>
    <mergeCell ref="G103:I103"/>
    <mergeCell ref="G104:I104"/>
    <mergeCell ref="G93:I93"/>
    <mergeCell ref="G94:I94"/>
    <mergeCell ref="G95:I95"/>
    <mergeCell ref="G96:I96"/>
    <mergeCell ref="G97:I97"/>
    <mergeCell ref="G98:I98"/>
    <mergeCell ref="G87:I87"/>
    <mergeCell ref="G88:I88"/>
    <mergeCell ref="G89:I89"/>
    <mergeCell ref="G90:I90"/>
    <mergeCell ref="G91:I91"/>
    <mergeCell ref="G92:I92"/>
    <mergeCell ref="G81:I81"/>
    <mergeCell ref="G82:I82"/>
    <mergeCell ref="G83:I83"/>
    <mergeCell ref="G84:I84"/>
    <mergeCell ref="G85:I85"/>
    <mergeCell ref="G86:I86"/>
    <mergeCell ref="G75:I75"/>
    <mergeCell ref="G76:I76"/>
    <mergeCell ref="G77:I77"/>
    <mergeCell ref="G78:I78"/>
    <mergeCell ref="G79:I79"/>
    <mergeCell ref="G80:I80"/>
    <mergeCell ref="G69:I69"/>
    <mergeCell ref="G70:I70"/>
    <mergeCell ref="G71:I71"/>
    <mergeCell ref="G72:I72"/>
    <mergeCell ref="G73:I73"/>
    <mergeCell ref="G74:I74"/>
    <mergeCell ref="G63:I63"/>
    <mergeCell ref="G64:I64"/>
    <mergeCell ref="G65:I65"/>
    <mergeCell ref="G66:I66"/>
    <mergeCell ref="G67:I67"/>
    <mergeCell ref="G68:I68"/>
    <mergeCell ref="G57:I57"/>
    <mergeCell ref="G58:I58"/>
    <mergeCell ref="G59:I59"/>
    <mergeCell ref="G60:I60"/>
    <mergeCell ref="G61:I61"/>
    <mergeCell ref="G62:I62"/>
    <mergeCell ref="G51:I51"/>
    <mergeCell ref="G52:I52"/>
    <mergeCell ref="G53:I53"/>
    <mergeCell ref="G54:I54"/>
    <mergeCell ref="G55:I55"/>
    <mergeCell ref="G56:I56"/>
    <mergeCell ref="G45:I45"/>
    <mergeCell ref="G46:I46"/>
    <mergeCell ref="G47:I47"/>
    <mergeCell ref="G48:I48"/>
    <mergeCell ref="G49:I49"/>
    <mergeCell ref="G50:I50"/>
    <mergeCell ref="G39:I39"/>
    <mergeCell ref="G40:I40"/>
    <mergeCell ref="G41:I41"/>
    <mergeCell ref="G42:I42"/>
    <mergeCell ref="G43:I43"/>
    <mergeCell ref="G44:I44"/>
    <mergeCell ref="G33:I33"/>
    <mergeCell ref="G34:I34"/>
    <mergeCell ref="G35:I35"/>
    <mergeCell ref="G36:I36"/>
    <mergeCell ref="G37:I37"/>
    <mergeCell ref="G38:I38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G9:I9"/>
    <mergeCell ref="G10:I10"/>
    <mergeCell ref="G11:I11"/>
    <mergeCell ref="G12:I12"/>
    <mergeCell ref="G13:I13"/>
    <mergeCell ref="G14:I14"/>
    <mergeCell ref="N9:R15"/>
    <mergeCell ref="G7:J7"/>
    <mergeCell ref="G8:I8"/>
  </mergeCells>
  <pageMargins left="0.75" right="0.75" top="1" bottom="1" header="0.5" footer="0.5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N543"/>
  <sheetViews>
    <sheetView tabSelected="1" workbookViewId="0">
      <selection activeCell="E3" sqref="E3"/>
    </sheetView>
  </sheetViews>
  <sheetFormatPr defaultRowHeight="11.25"/>
  <cols>
    <col min="1" max="1" width="13" customWidth="1"/>
    <col min="2" max="2" width="82.33203125" customWidth="1"/>
    <col min="3" max="3" width="4.5" customWidth="1"/>
    <col min="4" max="4" width="25.6640625" style="12" customWidth="1"/>
    <col min="5" max="5" width="18.5" customWidth="1"/>
    <col min="6" max="6" width="7" customWidth="1"/>
    <col min="7" max="7" width="4" customWidth="1"/>
    <col min="8" max="8" width="4.1640625" customWidth="1"/>
  </cols>
  <sheetData>
    <row r="1" spans="1:14" ht="23.25" customHeight="1">
      <c r="A1" s="48" t="s">
        <v>304</v>
      </c>
      <c r="B1" s="49"/>
      <c r="C1" s="50"/>
      <c r="D1" s="34" t="s">
        <v>310</v>
      </c>
      <c r="E1" s="34" t="s">
        <v>311</v>
      </c>
    </row>
    <row r="2" spans="1:14">
      <c r="A2" s="32" t="str">
        <f>IFERROR(CONCATENATE(VALUE(SUBSTITUTE(SUBSTITUTE(LEFT(Накл!G9,11),".",""),"-",""))," ",Накл!J9),"-")</f>
        <v>66611580 3</v>
      </c>
      <c r="B2" s="26" t="str">
        <f>IFERROR(VLOOKUP(VALUE(LEFT(A2,8)),Накл!$A$9:$D$550,4,0),"-")</f>
        <v>6661158 Конденсатор 40EF HD 5/12 6/13 K720 Karcher *1* (OLD 6.661-298) код : 005225</v>
      </c>
      <c r="C2" s="26">
        <f>Накл!J9</f>
        <v>3</v>
      </c>
      <c r="D2" s="33" t="str">
        <f t="array" ref="D2">CONCATENATE(IFERROR(INDEX(Накл!$C$9:$C$550,SMALL(IF(Накл!$B$9:$B$550=A2,ROW(Накл!$B$9:$B$550)-ROW(Накл!$B$9)+1),ROW(D2)-ROW(A2)+1)),"")," ",IFERROR(INDEX(Накл!$C$9:$C$550,SMALL(IF(Накл!$B$9:$B$550=A2,ROW(Накл!$B$9:$B$550)-ROW(Накл!$B$9)+1),ROW(D3)-ROW(A2)+1)),"")," ",IFERROR(INDEX(Накл!$C$9:$C$550,SMALL(IF(Накл!$B$9:$B$550=A2,ROW(Накл!$B$9:$B$550)-ROW(Накл!$B$9)+1),ROW(D4)-ROW(A2)+1)),"")," ",IFERROR(INDEX(Накл!$C$9:$C$550,SMALL(IF(Накл!$B$9:$B$550=A2,ROW(Накл!$B$9:$B$550)-ROW(Накл!$B$9)+1),ROW(D5)-ROW(A2)+1)),"")," ",IFERROR(INDEX(Накл!$C$9:$C$550,SMALL(IF(Накл!$B$9:$B$550=A2,ROW(Накл!$B$9:$B$550)-ROW(Накл!$B$9)+1),ROW(D6)-ROW(A2)+1)),"")," ",IFERROR(INDEX(Накл!$C$9:$C$550,SMALL(IF(Накл!$B$9:$B$550=A2,ROW(Накл!$B$9:$B$550)-ROW(Накл!$B$9)+1),ROW(D7)-ROW(A2)+1)),"")," ",IFERROR(INDEX(Накл!$C$9:$C$550,SMALL(IF(Накл!$B$9:$B$550=A2,ROW(Накл!$B$9:$B$550)-ROW(Накл!$B$9)+1),ROW(D8)-ROW(A2)+1)),"")," ",IFERROR(INDEX(Накл!$C$9:$C$550,SMALL(IF(Накл!$B$9:$B$550=A2,ROW(Накл!$B$9:$B$550)-ROW(Накл!$B$9)+1),ROW(D9)-ROW(A2)+1)),"")," ",IFERROR(INDEX(Накл!$C$9:$C$550,SMALL(IF(Накл!$B$9:$B$550=A2,ROW(Накл!$B$9:$B$550)-ROW(Накл!$B$9)+1),ROW(D10)-ROW(A2)+1)),"")," ",IFERROR(INDEX(Накл!$C$9:$C$550,SMALL(IF(Накл!$B$9:$B$550=A2,ROW(Накл!$B$9:$B$550)-ROW(Накл!$B$9)+1),ROW(D11)-ROW(A2)+1)),""))</f>
        <v xml:space="preserve">         </v>
      </c>
      <c r="E2" s="26" t="str">
        <f t="array" ref="E2">IF(LEN(D2)&lt;10,CONCATENATE(IFERROR(INDEX(Накл!$C$9:$C$550,SMALL(IF(Накл!$A$9:$A$550=VALUE(LEFT(A2,8)),ROW(Накл!$A$9:$A$550)-ROW(Накл!$A$9)+1),ROW(E2)-ROW(B2)+1)),"")," ",IFERROR(INDEX(Накл!$C$9:$C$550,SMALL(IF(Накл!$A$9:$A$550=VALUE(LEFT(A2,8)),ROW(Накл!$A$9:$A$550)-ROW(Накл!$A$9)+1),ROW(E3)-ROW(B2)+1)),"")," ",IFERROR(INDEX(Накл!$C$9:$C$550,SMALL(IF(Накл!$A$9:$A$550=VALUE(LEFT(A2,8)),ROW(Накл!$A$9:$A$550)-ROW(Накл!$A$9)+1),ROW(E4)-ROW(B2)+1)),"")," ",IFERROR(INDEX(Накл!$C$9:$C$550,SMALL(IF(Накл!$A$9:$A$550=VALUE(LEFT(A2,8)),ROW(Накл!$A$9:$A$550)-ROW(Накл!$A$9)+1),ROW(E5)-ROW(B2)+1)),"")),"")</f>
        <v xml:space="preserve">191 192  </v>
      </c>
      <c r="I2" s="51" t="s">
        <v>306</v>
      </c>
      <c r="J2" s="51"/>
      <c r="K2" s="51"/>
      <c r="L2" s="51"/>
      <c r="M2" s="51"/>
      <c r="N2" s="51"/>
    </row>
    <row r="3" spans="1:14">
      <c r="A3" s="26" t="str">
        <f>IFERROR(CONCATENATE(VALUE(SUBSTITUTE(SUBSTITUTE(LEFT(Накл!G10,11),".",""),"-",""))," ",Накл!J10),"-")</f>
        <v>62961930 6</v>
      </c>
      <c r="B3" s="26" t="str">
        <f>IFERROR(VLOOKUP(VALUE(LEFT(A3,8)),Накл!$A$9:$D$550,4,0),"-")</f>
        <v>-</v>
      </c>
      <c r="C3" s="26">
        <f>Накл!J10</f>
        <v>6</v>
      </c>
      <c r="D3" s="33" t="str">
        <f t="array" ref="D3">CONCATENATE(IFERROR(INDEX(Накл!$C$9:$C$550,SMALL(IF(Накл!$B$9:$B$550=A3,ROW(Накл!$B$9:$B$550)-ROW(Накл!$B$9)+1),ROW(D3)-ROW(A3)+1)),"")," ",IFERROR(INDEX(Накл!$C$9:$C$550,SMALL(IF(Накл!$B$9:$B$550=A3,ROW(Накл!$B$9:$B$550)-ROW(Накл!$B$9)+1),ROW(D4)-ROW(A3)+1)),"")," ",IFERROR(INDEX(Накл!$C$9:$C$550,SMALL(IF(Накл!$B$9:$B$550=A3,ROW(Накл!$B$9:$B$550)-ROW(Накл!$B$9)+1),ROW(D5)-ROW(A3)+1)),"")," ",IFERROR(INDEX(Накл!$C$9:$C$550,SMALL(IF(Накл!$B$9:$B$550=A3,ROW(Накл!$B$9:$B$550)-ROW(Накл!$B$9)+1),ROW(D6)-ROW(A3)+1)),"")," ",IFERROR(INDEX(Накл!$C$9:$C$550,SMALL(IF(Накл!$B$9:$B$550=A3,ROW(Накл!$B$9:$B$550)-ROW(Накл!$B$9)+1),ROW(D7)-ROW(A3)+1)),"")," ",IFERROR(INDEX(Накл!$C$9:$C$550,SMALL(IF(Накл!$B$9:$B$550=A3,ROW(Накл!$B$9:$B$550)-ROW(Накл!$B$9)+1),ROW(D8)-ROW(A3)+1)),"")," ",IFERROR(INDEX(Накл!$C$9:$C$550,SMALL(IF(Накл!$B$9:$B$550=A3,ROW(Накл!$B$9:$B$550)-ROW(Накл!$B$9)+1),ROW(D9)-ROW(A3)+1)),"")," ",IFERROR(INDEX(Накл!$C$9:$C$550,SMALL(IF(Накл!$B$9:$B$550=A3,ROW(Накл!$B$9:$B$550)-ROW(Накл!$B$9)+1),ROW(D10)-ROW(A3)+1)),"")," ",IFERROR(INDEX(Накл!$C$9:$C$550,SMALL(IF(Накл!$B$9:$B$550=A3,ROW(Накл!$B$9:$B$550)-ROW(Накл!$B$9)+1),ROW(D11)-ROW(A3)+1)),"")," ",IFERROR(INDEX(Накл!$C$9:$C$550,SMALL(IF(Накл!$B$9:$B$550=A3,ROW(Накл!$B$9:$B$550)-ROW(Накл!$B$9)+1),ROW(D12)-ROW(A3)+1)),""))</f>
        <v xml:space="preserve">         </v>
      </c>
      <c r="E3" s="26" t="str">
        <f t="array" ref="E3">IF(LEN(D3)&lt;10,CONCATENATE(IFERROR(INDEX(Накл!$C$9:$C$550,SMALL(IF(Накл!$A$9:$A$550=VALUE(LEFT(A3,8)),ROW(Накл!$A$9:$A$550)-ROW(Накл!$A$9)+1),ROW(E3)-ROW(B3)+1)),"")," ",IFERROR(INDEX(Накл!$C$9:$C$550,SMALL(IF(Накл!$A$9:$A$550=VALUE(LEFT(A3,8)),ROW(Накл!$A$9:$A$550)-ROW(Накл!$A$9)+1),ROW(E4)-ROW(B3)+1)),"")," ",IFERROR(INDEX(Накл!$C$9:$C$550,SMALL(IF(Накл!$A$9:$A$550=VALUE(LEFT(A3,8)),ROW(Накл!$A$9:$A$550)-ROW(Накл!$A$9)+1),ROW(E5)-ROW(B3)+1)),"")," ",IFERROR(INDEX(Накл!$C$9:$C$550,SMALL(IF(Накл!$A$9:$A$550=VALUE(LEFT(A3,8)),ROW(Накл!$A$9:$A$550)-ROW(Накл!$A$9)+1),ROW(E6)-ROW(B3)+1)),"")),"")</f>
        <v xml:space="preserve">   </v>
      </c>
      <c r="I3" s="51"/>
      <c r="J3" s="51"/>
      <c r="K3" s="51"/>
      <c r="L3" s="51"/>
      <c r="M3" s="51"/>
      <c r="N3" s="51"/>
    </row>
    <row r="4" spans="1:14">
      <c r="A4" s="26" t="str">
        <f>IFERROR(CONCATENATE(VALUE(SUBSTITUTE(SUBSTITUTE(LEFT(Накл!G11,11),".",""),"-",""))," ",Накл!J11),"-")</f>
        <v>90122780 1</v>
      </c>
      <c r="B4" s="26" t="str">
        <f>IFERROR(VLOOKUP(VALUE(LEFT(A4,8)),Накл!$A$9:$D$550,4,0),"-")</f>
        <v>Насадка Karcher 9.012-278 код : 030194</v>
      </c>
      <c r="C4" s="26">
        <f>Накл!J11</f>
        <v>1</v>
      </c>
      <c r="D4" s="33" t="str">
        <f t="array" ref="D4">CONCATENATE(IFERROR(INDEX(Накл!$C$9:$C$550,SMALL(IF(Накл!$B$9:$B$550=A4,ROW(Накл!$B$9:$B$550)-ROW(Накл!$B$9)+1),ROW(D4)-ROW(A4)+1)),"")," ",IFERROR(INDEX(Накл!$C$9:$C$550,SMALL(IF(Накл!$B$9:$B$550=A4,ROW(Накл!$B$9:$B$550)-ROW(Накл!$B$9)+1),ROW(D5)-ROW(A4)+1)),"")," ",IFERROR(INDEX(Накл!$C$9:$C$550,SMALL(IF(Накл!$B$9:$B$550=A4,ROW(Накл!$B$9:$B$550)-ROW(Накл!$B$9)+1),ROW(D6)-ROW(A4)+1)),"")," ",IFERROR(INDEX(Накл!$C$9:$C$550,SMALL(IF(Накл!$B$9:$B$550=A4,ROW(Накл!$B$9:$B$550)-ROW(Накл!$B$9)+1),ROW(D7)-ROW(A4)+1)),"")," ",IFERROR(INDEX(Накл!$C$9:$C$550,SMALL(IF(Накл!$B$9:$B$550=A4,ROW(Накл!$B$9:$B$550)-ROW(Накл!$B$9)+1),ROW(D8)-ROW(A4)+1)),"")," ",IFERROR(INDEX(Накл!$C$9:$C$550,SMALL(IF(Накл!$B$9:$B$550=A4,ROW(Накл!$B$9:$B$550)-ROW(Накл!$B$9)+1),ROW(D9)-ROW(A4)+1)),"")," ",IFERROR(INDEX(Накл!$C$9:$C$550,SMALL(IF(Накл!$B$9:$B$550=A4,ROW(Накл!$B$9:$B$550)-ROW(Накл!$B$9)+1),ROW(D10)-ROW(A4)+1)),"")," ",IFERROR(INDEX(Накл!$C$9:$C$550,SMALL(IF(Накл!$B$9:$B$550=A4,ROW(Накл!$B$9:$B$550)-ROW(Накл!$B$9)+1),ROW(D11)-ROW(A4)+1)),"")," ",IFERROR(INDEX(Накл!$C$9:$C$550,SMALL(IF(Накл!$B$9:$B$550=A4,ROW(Накл!$B$9:$B$550)-ROW(Накл!$B$9)+1),ROW(D12)-ROW(A4)+1)),"")," ",IFERROR(INDEX(Накл!$C$9:$C$550,SMALL(IF(Накл!$B$9:$B$550=A4,ROW(Накл!$B$9:$B$550)-ROW(Накл!$B$9)+1),ROW(D13)-ROW(A4)+1)),""))</f>
        <v xml:space="preserve">204         </v>
      </c>
      <c r="E4" s="26" t="str">
        <f t="array" ref="E4">IF(LEN(D4)&lt;10,CONCATENATE(IFERROR(INDEX(Накл!$C$9:$C$550,SMALL(IF(Накл!$A$9:$A$550=VALUE(LEFT(A4,8)),ROW(Накл!$A$9:$A$550)-ROW(Накл!$A$9)+1),ROW(E4)-ROW(B4)+1)),"")," ",IFERROR(INDEX(Накл!$C$9:$C$550,SMALL(IF(Накл!$A$9:$A$550=VALUE(LEFT(A4,8)),ROW(Накл!$A$9:$A$550)-ROW(Накл!$A$9)+1),ROW(E5)-ROW(B4)+1)),"")," ",IFERROR(INDEX(Накл!$C$9:$C$550,SMALL(IF(Накл!$A$9:$A$550=VALUE(LEFT(A4,8)),ROW(Накл!$A$9:$A$550)-ROW(Накл!$A$9)+1),ROW(E6)-ROW(B4)+1)),"")," ",IFERROR(INDEX(Накл!$C$9:$C$550,SMALL(IF(Накл!$A$9:$A$550=VALUE(LEFT(A4,8)),ROW(Накл!$A$9:$A$550)-ROW(Накл!$A$9)+1),ROW(E7)-ROW(B4)+1)),"")),"")</f>
        <v/>
      </c>
      <c r="I4" s="51"/>
      <c r="J4" s="51"/>
      <c r="K4" s="51"/>
      <c r="L4" s="51"/>
      <c r="M4" s="51"/>
      <c r="N4" s="51"/>
    </row>
    <row r="5" spans="1:14">
      <c r="A5" s="26" t="str">
        <f>IFERROR(CONCATENATE(VALUE(SUBSTITUTE(SUBSTITUTE(LEFT(Накл!G12,11),".",""),"-",""))," ",Накл!J12),"-")</f>
        <v>51155210 3</v>
      </c>
      <c r="B5" s="26" t="str">
        <f>IFERROR(VLOOKUP(VALUE(LEFT(A5,8)),Накл!$A$9:$D$550,4,0),"-")</f>
        <v>5115521 Шайба Karcher * * код : 030823</v>
      </c>
      <c r="C5" s="26">
        <f>Накл!J12</f>
        <v>3</v>
      </c>
      <c r="D5" s="33" t="str">
        <f t="array" ref="D5">CONCATENATE(IFERROR(INDEX(Накл!$C$9:$C$550,SMALL(IF(Накл!$B$9:$B$550=A5,ROW(Накл!$B$9:$B$550)-ROW(Накл!$B$9)+1),ROW(D5)-ROW(A5)+1)),"")," ",IFERROR(INDEX(Накл!$C$9:$C$550,SMALL(IF(Накл!$B$9:$B$550=A5,ROW(Накл!$B$9:$B$550)-ROW(Накл!$B$9)+1),ROW(D6)-ROW(A5)+1)),"")," ",IFERROR(INDEX(Накл!$C$9:$C$550,SMALL(IF(Накл!$B$9:$B$550=A5,ROW(Накл!$B$9:$B$550)-ROW(Накл!$B$9)+1),ROW(D7)-ROW(A5)+1)),"")," ",IFERROR(INDEX(Накл!$C$9:$C$550,SMALL(IF(Накл!$B$9:$B$550=A5,ROW(Накл!$B$9:$B$550)-ROW(Накл!$B$9)+1),ROW(D8)-ROW(A5)+1)),"")," ",IFERROR(INDEX(Накл!$C$9:$C$550,SMALL(IF(Накл!$B$9:$B$550=A5,ROW(Накл!$B$9:$B$550)-ROW(Накл!$B$9)+1),ROW(D9)-ROW(A5)+1)),"")," ",IFERROR(INDEX(Накл!$C$9:$C$550,SMALL(IF(Накл!$B$9:$B$550=A5,ROW(Накл!$B$9:$B$550)-ROW(Накл!$B$9)+1),ROW(D10)-ROW(A5)+1)),"")," ",IFERROR(INDEX(Накл!$C$9:$C$550,SMALL(IF(Накл!$B$9:$B$550=A5,ROW(Накл!$B$9:$B$550)-ROW(Накл!$B$9)+1),ROW(D11)-ROW(A5)+1)),"")," ",IFERROR(INDEX(Накл!$C$9:$C$550,SMALL(IF(Накл!$B$9:$B$550=A5,ROW(Накл!$B$9:$B$550)-ROW(Накл!$B$9)+1),ROW(D12)-ROW(A5)+1)),"")," ",IFERROR(INDEX(Накл!$C$9:$C$550,SMALL(IF(Накл!$B$9:$B$550=A5,ROW(Накл!$B$9:$B$550)-ROW(Накл!$B$9)+1),ROW(D13)-ROW(A5)+1)),"")," ",IFERROR(INDEX(Накл!$C$9:$C$550,SMALL(IF(Накл!$B$9:$B$550=A5,ROW(Накл!$B$9:$B$550)-ROW(Накл!$B$9)+1),ROW(D14)-ROW(A5)+1)),""))</f>
        <v xml:space="preserve">25         </v>
      </c>
      <c r="E5" s="26" t="str">
        <f t="array" ref="E5">IF(LEN(D5)&lt;10,CONCATENATE(IFERROR(INDEX(Накл!$C$9:$C$550,SMALL(IF(Накл!$A$9:$A$550=VALUE(LEFT(A5,8)),ROW(Накл!$A$9:$A$550)-ROW(Накл!$A$9)+1),ROW(E5)-ROW(B5)+1)),"")," ",IFERROR(INDEX(Накл!$C$9:$C$550,SMALL(IF(Накл!$A$9:$A$550=VALUE(LEFT(A5,8)),ROW(Накл!$A$9:$A$550)-ROW(Накл!$A$9)+1),ROW(E6)-ROW(B5)+1)),"")," ",IFERROR(INDEX(Накл!$C$9:$C$550,SMALL(IF(Накл!$A$9:$A$550=VALUE(LEFT(A5,8)),ROW(Накл!$A$9:$A$550)-ROW(Накл!$A$9)+1),ROW(E7)-ROW(B5)+1)),"")," ",IFERROR(INDEX(Накл!$C$9:$C$550,SMALL(IF(Накл!$A$9:$A$550=VALUE(LEFT(A5,8)),ROW(Накл!$A$9:$A$550)-ROW(Накл!$A$9)+1),ROW(E8)-ROW(B5)+1)),"")),"")</f>
        <v/>
      </c>
      <c r="I5" s="51"/>
      <c r="J5" s="51"/>
      <c r="K5" s="51"/>
      <c r="L5" s="51"/>
      <c r="M5" s="51"/>
      <c r="N5" s="51"/>
    </row>
    <row r="6" spans="1:14">
      <c r="A6" s="26" t="str">
        <f>IFERROR(CONCATENATE(VALUE(SUBSTITUTE(SUBSTITUTE(LEFT(Накл!G13,11),".",""),"-",""))," ",Накл!J13),"-")</f>
        <v>26450660 10</v>
      </c>
      <c r="B6" s="26" t="str">
        <f>IFERROR(VLOOKUP(VALUE(LEFT(A6,8)),Накл!$A$9:$D$550,4,0),"-")</f>
        <v>Штуцер резьбовой G1 с переходной муфтой G3/4 без упаковки Karcher 2.645-066 код : 020021</v>
      </c>
      <c r="C6" s="26">
        <f>Накл!J13</f>
        <v>10</v>
      </c>
      <c r="D6" s="33" t="str">
        <f t="array" ref="D6">CONCATENATE(IFERROR(INDEX(Накл!$C$9:$C$550,SMALL(IF(Накл!$B$9:$B$550=A6,ROW(Накл!$B$9:$B$550)-ROW(Накл!$B$9)+1),ROW(D6)-ROW(A6)+1)),"")," ",IFERROR(INDEX(Накл!$C$9:$C$550,SMALL(IF(Накл!$B$9:$B$550=A6,ROW(Накл!$B$9:$B$550)-ROW(Накл!$B$9)+1),ROW(D7)-ROW(A6)+1)),"")," ",IFERROR(INDEX(Накл!$C$9:$C$550,SMALL(IF(Накл!$B$9:$B$550=A6,ROW(Накл!$B$9:$B$550)-ROW(Накл!$B$9)+1),ROW(D8)-ROW(A6)+1)),"")," ",IFERROR(INDEX(Накл!$C$9:$C$550,SMALL(IF(Накл!$B$9:$B$550=A6,ROW(Накл!$B$9:$B$550)-ROW(Накл!$B$9)+1),ROW(D9)-ROW(A6)+1)),"")," ",IFERROR(INDEX(Накл!$C$9:$C$550,SMALL(IF(Накл!$B$9:$B$550=A6,ROW(Накл!$B$9:$B$550)-ROW(Накл!$B$9)+1),ROW(D10)-ROW(A6)+1)),"")," ",IFERROR(INDEX(Накл!$C$9:$C$550,SMALL(IF(Накл!$B$9:$B$550=A6,ROW(Накл!$B$9:$B$550)-ROW(Накл!$B$9)+1),ROW(D11)-ROW(A6)+1)),"")," ",IFERROR(INDEX(Накл!$C$9:$C$550,SMALL(IF(Накл!$B$9:$B$550=A6,ROW(Накл!$B$9:$B$550)-ROW(Накл!$B$9)+1),ROW(D12)-ROW(A6)+1)),"")," ",IFERROR(INDEX(Накл!$C$9:$C$550,SMALL(IF(Накл!$B$9:$B$550=A6,ROW(Накл!$B$9:$B$550)-ROW(Накл!$B$9)+1),ROW(D13)-ROW(A6)+1)),"")," ",IFERROR(INDEX(Накл!$C$9:$C$550,SMALL(IF(Накл!$B$9:$B$550=A6,ROW(Накл!$B$9:$B$550)-ROW(Накл!$B$9)+1),ROW(D14)-ROW(A6)+1)),"")," ",IFERROR(INDEX(Накл!$C$9:$C$550,SMALL(IF(Накл!$B$9:$B$550=A6,ROW(Накл!$B$9:$B$550)-ROW(Накл!$B$9)+1),ROW(D15)-ROW(A6)+1)),""))</f>
        <v xml:space="preserve">101         </v>
      </c>
      <c r="E6" s="26" t="str">
        <f t="array" ref="E6">IF(LEN(D6)&lt;10,CONCATENATE(IFERROR(INDEX(Накл!$C$9:$C$550,SMALL(IF(Накл!$A$9:$A$550=VALUE(LEFT(A6,8)),ROW(Накл!$A$9:$A$550)-ROW(Накл!$A$9)+1),ROW(E6)-ROW(B6)+1)),"")," ",IFERROR(INDEX(Накл!$C$9:$C$550,SMALL(IF(Накл!$A$9:$A$550=VALUE(LEFT(A6,8)),ROW(Накл!$A$9:$A$550)-ROW(Накл!$A$9)+1),ROW(E7)-ROW(B6)+1)),"")," ",IFERROR(INDEX(Накл!$C$9:$C$550,SMALL(IF(Накл!$A$9:$A$550=VALUE(LEFT(A6,8)),ROW(Накл!$A$9:$A$550)-ROW(Накл!$A$9)+1),ROW(E8)-ROW(B6)+1)),"")," ",IFERROR(INDEX(Накл!$C$9:$C$550,SMALL(IF(Накл!$A$9:$A$550=VALUE(LEFT(A6,8)),ROW(Накл!$A$9:$A$550)-ROW(Накл!$A$9)+1),ROW(E9)-ROW(B6)+1)),"")),"")</f>
        <v/>
      </c>
      <c r="I6" s="51"/>
      <c r="J6" s="51"/>
      <c r="K6" s="51"/>
      <c r="L6" s="51"/>
      <c r="M6" s="51"/>
      <c r="N6" s="51"/>
    </row>
    <row r="7" spans="1:14">
      <c r="A7" s="26" t="str">
        <f>IFERROR(CONCATENATE(VALUE(SUBSTITUTE(SUBSTITUTE(LEFT(Накл!G14,11),".",""),"-",""))," ",Накл!J14),"-")</f>
        <v>28892170 5</v>
      </c>
      <c r="B7" s="26" t="str">
        <f>IFERROR(VLOOKUP(VALUE(LEFT(A7,8)),Накл!$A$9:$D$550,4,0),"-")</f>
        <v>Фильтр-мешки флисовые для NT22 (5шт) Karcher 2.889-217 код : 000681</v>
      </c>
      <c r="C7" s="26">
        <f>Накл!J14</f>
        <v>5</v>
      </c>
      <c r="D7" s="33" t="str">
        <f t="array" ref="D7">CONCATENATE(IFERROR(INDEX(Накл!$C$9:$C$550,SMALL(IF(Накл!$B$9:$B$550=A7,ROW(Накл!$B$9:$B$550)-ROW(Накл!$B$9)+1),ROW(D7)-ROW(A7)+1)),"")," ",IFERROR(INDEX(Накл!$C$9:$C$550,SMALL(IF(Накл!$B$9:$B$550=A7,ROW(Накл!$B$9:$B$550)-ROW(Накл!$B$9)+1),ROW(D8)-ROW(A7)+1)),"")," ",IFERROR(INDEX(Накл!$C$9:$C$550,SMALL(IF(Накл!$B$9:$B$550=A7,ROW(Накл!$B$9:$B$550)-ROW(Накл!$B$9)+1),ROW(D9)-ROW(A7)+1)),"")," ",IFERROR(INDEX(Накл!$C$9:$C$550,SMALL(IF(Накл!$B$9:$B$550=A7,ROW(Накл!$B$9:$B$550)-ROW(Накл!$B$9)+1),ROW(D10)-ROW(A7)+1)),"")," ",IFERROR(INDEX(Накл!$C$9:$C$550,SMALL(IF(Накл!$B$9:$B$550=A7,ROW(Накл!$B$9:$B$550)-ROW(Накл!$B$9)+1),ROW(D11)-ROW(A7)+1)),"")," ",IFERROR(INDEX(Накл!$C$9:$C$550,SMALL(IF(Накл!$B$9:$B$550=A7,ROW(Накл!$B$9:$B$550)-ROW(Накл!$B$9)+1),ROW(D12)-ROW(A7)+1)),"")," ",IFERROR(INDEX(Накл!$C$9:$C$550,SMALL(IF(Накл!$B$9:$B$550=A7,ROW(Накл!$B$9:$B$550)-ROW(Накл!$B$9)+1),ROW(D13)-ROW(A7)+1)),"")," ",IFERROR(INDEX(Накл!$C$9:$C$550,SMALL(IF(Накл!$B$9:$B$550=A7,ROW(Накл!$B$9:$B$550)-ROW(Накл!$B$9)+1),ROW(D14)-ROW(A7)+1)),"")," ",IFERROR(INDEX(Накл!$C$9:$C$550,SMALL(IF(Накл!$B$9:$B$550=A7,ROW(Накл!$B$9:$B$550)-ROW(Накл!$B$9)+1),ROW(D15)-ROW(A7)+1)),"")," ",IFERROR(INDEX(Накл!$C$9:$C$550,SMALL(IF(Накл!$B$9:$B$550=A7,ROW(Накл!$B$9:$B$550)-ROW(Накл!$B$9)+1),ROW(D16)-ROW(A7)+1)),""))</f>
        <v xml:space="preserve">148         </v>
      </c>
      <c r="E7" s="26" t="str">
        <f t="array" ref="E7">IF(LEN(D7)&lt;10,CONCATENATE(IFERROR(INDEX(Накл!$C$9:$C$550,SMALL(IF(Накл!$A$9:$A$550=VALUE(LEFT(A7,8)),ROW(Накл!$A$9:$A$550)-ROW(Накл!$A$9)+1),ROW(E7)-ROW(B7)+1)),"")," ",IFERROR(INDEX(Накл!$C$9:$C$550,SMALL(IF(Накл!$A$9:$A$550=VALUE(LEFT(A7,8)),ROW(Накл!$A$9:$A$550)-ROW(Накл!$A$9)+1),ROW(E8)-ROW(B7)+1)),"")," ",IFERROR(INDEX(Накл!$C$9:$C$550,SMALL(IF(Накл!$A$9:$A$550=VALUE(LEFT(A7,8)),ROW(Накл!$A$9:$A$550)-ROW(Накл!$A$9)+1),ROW(E9)-ROW(B7)+1)),"")," ",IFERROR(INDEX(Накл!$C$9:$C$550,SMALL(IF(Накл!$A$9:$A$550=VALUE(LEFT(A7,8)),ROW(Накл!$A$9:$A$550)-ROW(Накл!$A$9)+1),ROW(E10)-ROW(B7)+1)),"")),"")</f>
        <v/>
      </c>
      <c r="I7" s="51"/>
      <c r="J7" s="51"/>
      <c r="K7" s="51"/>
      <c r="L7" s="51"/>
      <c r="M7" s="51"/>
      <c r="N7" s="51"/>
    </row>
    <row r="8" spans="1:14">
      <c r="A8" s="26" t="str">
        <f>IFERROR(CONCATENATE(VALUE(SUBSTITUTE(SUBSTITUTE(LEFT(Накл!G15,11),".",""),"-",""))," ",Накл!J15),"-")</f>
        <v>64156600 2</v>
      </c>
      <c r="B8" s="26" t="str">
        <f>IFERROR(VLOOKUP(VALUE(LEFT(A8,8)),Накл!$A$9:$D$550,4,0),"-")</f>
        <v>6415660 Форсунка 1,25GPH 60гр S-S Karcher код : 005180</v>
      </c>
      <c r="C8" s="26">
        <f>Накл!J15</f>
        <v>2</v>
      </c>
      <c r="D8" s="33" t="str">
        <f t="array" ref="D8">CONCATENATE(IFERROR(INDEX(Накл!$C$9:$C$550,SMALL(IF(Накл!$B$9:$B$550=A8,ROW(Накл!$B$9:$B$550)-ROW(Накл!$B$9)+1),ROW(D8)-ROW(A8)+1)),"")," ",IFERROR(INDEX(Накл!$C$9:$C$550,SMALL(IF(Накл!$B$9:$B$550=A8,ROW(Накл!$B$9:$B$550)-ROW(Накл!$B$9)+1),ROW(D9)-ROW(A8)+1)),"")," ",IFERROR(INDEX(Накл!$C$9:$C$550,SMALL(IF(Накл!$B$9:$B$550=A8,ROW(Накл!$B$9:$B$550)-ROW(Накл!$B$9)+1),ROW(D10)-ROW(A8)+1)),"")," ",IFERROR(INDEX(Накл!$C$9:$C$550,SMALL(IF(Накл!$B$9:$B$550=A8,ROW(Накл!$B$9:$B$550)-ROW(Накл!$B$9)+1),ROW(D11)-ROW(A8)+1)),"")," ",IFERROR(INDEX(Накл!$C$9:$C$550,SMALL(IF(Накл!$B$9:$B$550=A8,ROW(Накл!$B$9:$B$550)-ROW(Накл!$B$9)+1),ROW(D12)-ROW(A8)+1)),"")," ",IFERROR(INDEX(Накл!$C$9:$C$550,SMALL(IF(Накл!$B$9:$B$550=A8,ROW(Накл!$B$9:$B$550)-ROW(Накл!$B$9)+1),ROW(D13)-ROW(A8)+1)),"")," ",IFERROR(INDEX(Накл!$C$9:$C$550,SMALL(IF(Накл!$B$9:$B$550=A8,ROW(Накл!$B$9:$B$550)-ROW(Накл!$B$9)+1),ROW(D14)-ROW(A8)+1)),"")," ",IFERROR(INDEX(Накл!$C$9:$C$550,SMALL(IF(Накл!$B$9:$B$550=A8,ROW(Накл!$B$9:$B$550)-ROW(Накл!$B$9)+1),ROW(D15)-ROW(A8)+1)),"")," ",IFERROR(INDEX(Накл!$C$9:$C$550,SMALL(IF(Накл!$B$9:$B$550=A8,ROW(Накл!$B$9:$B$550)-ROW(Накл!$B$9)+1),ROW(D16)-ROW(A8)+1)),"")," ",IFERROR(INDEX(Накл!$C$9:$C$550,SMALL(IF(Накл!$B$9:$B$550=A8,ROW(Накл!$B$9:$B$550)-ROW(Накл!$B$9)+1),ROW(D17)-ROW(A8)+1)),""))</f>
        <v xml:space="preserve">187         </v>
      </c>
      <c r="E8" s="26" t="str">
        <f t="array" ref="E8">IF(LEN(D8)&lt;10,CONCATENATE(IFERROR(INDEX(Накл!$C$9:$C$550,SMALL(IF(Накл!$A$9:$A$550=VALUE(LEFT(A8,8)),ROW(Накл!$A$9:$A$550)-ROW(Накл!$A$9)+1),ROW(E8)-ROW(B8)+1)),"")," ",IFERROR(INDEX(Накл!$C$9:$C$550,SMALL(IF(Накл!$A$9:$A$550=VALUE(LEFT(A8,8)),ROW(Накл!$A$9:$A$550)-ROW(Накл!$A$9)+1),ROW(E9)-ROW(B8)+1)),"")," ",IFERROR(INDEX(Накл!$C$9:$C$550,SMALL(IF(Накл!$A$9:$A$550=VALUE(LEFT(A8,8)),ROW(Накл!$A$9:$A$550)-ROW(Накл!$A$9)+1),ROW(E10)-ROW(B8)+1)),"")," ",IFERROR(INDEX(Накл!$C$9:$C$550,SMALL(IF(Накл!$A$9:$A$550=VALUE(LEFT(A8,8)),ROW(Накл!$A$9:$A$550)-ROW(Накл!$A$9)+1),ROW(E11)-ROW(B8)+1)),"")),"")</f>
        <v/>
      </c>
      <c r="I8" s="11"/>
    </row>
    <row r="9" spans="1:14">
      <c r="A9" s="26" t="str">
        <f>IFERROR(CONCATENATE(VALUE(SUBSTITUTE(SUBSTITUTE(LEFT(Накл!G16,11),".",""),"-",""))," ",Накл!J16),"-")</f>
        <v>26450230 2</v>
      </c>
      <c r="B9" s="26" t="str">
        <f>IFERROR(VLOOKUP(VALUE(LEFT(A9,8)),Накл!$A$9:$D$550,4,0),"-")</f>
        <v>Импульсный разбрызгиватель (30-360) PS 300 Karcher 2.645-023 код : 020075</v>
      </c>
      <c r="C9" s="26">
        <f>Накл!J16</f>
        <v>2</v>
      </c>
      <c r="D9" s="33" t="str">
        <f t="array" ref="D9">CONCATENATE(IFERROR(INDEX(Накл!$C$9:$C$550,SMALL(IF(Накл!$B$9:$B$550=A9,ROW(Накл!$B$9:$B$550)-ROW(Накл!$B$9)+1),ROW(D9)-ROW(A9)+1)),"")," ",IFERROR(INDEX(Накл!$C$9:$C$550,SMALL(IF(Накл!$B$9:$B$550=A9,ROW(Накл!$B$9:$B$550)-ROW(Накл!$B$9)+1),ROW(D10)-ROW(A9)+1)),"")," ",IFERROR(INDEX(Накл!$C$9:$C$550,SMALL(IF(Накл!$B$9:$B$550=A9,ROW(Накл!$B$9:$B$550)-ROW(Накл!$B$9)+1),ROW(D11)-ROW(A9)+1)),"")," ",IFERROR(INDEX(Накл!$C$9:$C$550,SMALL(IF(Накл!$B$9:$B$550=A9,ROW(Накл!$B$9:$B$550)-ROW(Накл!$B$9)+1),ROW(D12)-ROW(A9)+1)),"")," ",IFERROR(INDEX(Накл!$C$9:$C$550,SMALL(IF(Накл!$B$9:$B$550=A9,ROW(Накл!$B$9:$B$550)-ROW(Накл!$B$9)+1),ROW(D13)-ROW(A9)+1)),"")," ",IFERROR(INDEX(Накл!$C$9:$C$550,SMALL(IF(Накл!$B$9:$B$550=A9,ROW(Накл!$B$9:$B$550)-ROW(Накл!$B$9)+1),ROW(D14)-ROW(A9)+1)),"")," ",IFERROR(INDEX(Накл!$C$9:$C$550,SMALL(IF(Накл!$B$9:$B$550=A9,ROW(Накл!$B$9:$B$550)-ROW(Накл!$B$9)+1),ROW(D15)-ROW(A9)+1)),"")," ",IFERROR(INDEX(Накл!$C$9:$C$550,SMALL(IF(Накл!$B$9:$B$550=A9,ROW(Накл!$B$9:$B$550)-ROW(Накл!$B$9)+1),ROW(D16)-ROW(A9)+1)),"")," ",IFERROR(INDEX(Накл!$C$9:$C$550,SMALL(IF(Накл!$B$9:$B$550=A9,ROW(Накл!$B$9:$B$550)-ROW(Накл!$B$9)+1),ROW(D17)-ROW(A9)+1)),"")," ",IFERROR(INDEX(Накл!$C$9:$C$550,SMALL(IF(Накл!$B$9:$B$550=A9,ROW(Накл!$B$9:$B$550)-ROW(Накл!$B$9)+1),ROW(D18)-ROW(A9)+1)),""))</f>
        <v xml:space="preserve">79         </v>
      </c>
      <c r="E9" s="26" t="str">
        <f t="array" ref="E9">IF(LEN(D9)&lt;10,CONCATENATE(IFERROR(INDEX(Накл!$C$9:$C$550,SMALL(IF(Накл!$A$9:$A$550=VALUE(LEFT(A9,8)),ROW(Накл!$A$9:$A$550)-ROW(Накл!$A$9)+1),ROW(E9)-ROW(B9)+1)),"")," ",IFERROR(INDEX(Накл!$C$9:$C$550,SMALL(IF(Накл!$A$9:$A$550=VALUE(LEFT(A9,8)),ROW(Накл!$A$9:$A$550)-ROW(Накл!$A$9)+1),ROW(E10)-ROW(B9)+1)),"")," ",IFERROR(INDEX(Накл!$C$9:$C$550,SMALL(IF(Накл!$A$9:$A$550=VALUE(LEFT(A9,8)),ROW(Накл!$A$9:$A$550)-ROW(Накл!$A$9)+1),ROW(E11)-ROW(B9)+1)),"")," ",IFERROR(INDEX(Накл!$C$9:$C$550,SMALL(IF(Накл!$A$9:$A$550=VALUE(LEFT(A9,8)),ROW(Накл!$A$9:$A$550)-ROW(Накл!$A$9)+1),ROW(E12)-ROW(B9)+1)),"")),"")</f>
        <v/>
      </c>
      <c r="I9" s="11"/>
    </row>
    <row r="10" spans="1:14">
      <c r="A10" s="26" t="str">
        <f>IFERROR(CONCATENATE(VALUE(SUBSTITUTE(SUBSTITUTE(LEFT(Накл!G17,11),".",""),"-",""))," ",Накл!J17),"-")</f>
        <v>64155300 3</v>
      </c>
      <c r="B10" s="26" t="str">
        <f>IFERROR(VLOOKUP(VALUE(LEFT(A10,8)),Накл!$A$9:$D$550,4,0),"-")</f>
        <v>6415530 Сопло 60 гр Н Karcher код : 005227</v>
      </c>
      <c r="C10" s="26">
        <f>Накл!J17</f>
        <v>3</v>
      </c>
      <c r="D10" s="33" t="str">
        <f t="array" ref="D10">CONCATENATE(IFERROR(INDEX(Накл!$C$9:$C$550,SMALL(IF(Накл!$B$9:$B$550=A10,ROW(Накл!$B$9:$B$550)-ROW(Накл!$B$9)+1),ROW(D10)-ROW(A10)+1)),"")," ",IFERROR(INDEX(Накл!$C$9:$C$550,SMALL(IF(Накл!$B$9:$B$550=A10,ROW(Накл!$B$9:$B$550)-ROW(Накл!$B$9)+1),ROW(D11)-ROW(A10)+1)),"")," ",IFERROR(INDEX(Накл!$C$9:$C$550,SMALL(IF(Накл!$B$9:$B$550=A10,ROW(Накл!$B$9:$B$550)-ROW(Накл!$B$9)+1),ROW(D12)-ROW(A10)+1)),"")," ",IFERROR(INDEX(Накл!$C$9:$C$550,SMALL(IF(Накл!$B$9:$B$550=A10,ROW(Накл!$B$9:$B$550)-ROW(Накл!$B$9)+1),ROW(D13)-ROW(A10)+1)),"")," ",IFERROR(INDEX(Накл!$C$9:$C$550,SMALL(IF(Накл!$B$9:$B$550=A10,ROW(Накл!$B$9:$B$550)-ROW(Накл!$B$9)+1),ROW(D14)-ROW(A10)+1)),"")," ",IFERROR(INDEX(Накл!$C$9:$C$550,SMALL(IF(Накл!$B$9:$B$550=A10,ROW(Накл!$B$9:$B$550)-ROW(Накл!$B$9)+1),ROW(D15)-ROW(A10)+1)),"")," ",IFERROR(INDEX(Накл!$C$9:$C$550,SMALL(IF(Накл!$B$9:$B$550=A10,ROW(Накл!$B$9:$B$550)-ROW(Накл!$B$9)+1),ROW(D16)-ROW(A10)+1)),"")," ",IFERROR(INDEX(Накл!$C$9:$C$550,SMALL(IF(Накл!$B$9:$B$550=A10,ROW(Накл!$B$9:$B$550)-ROW(Накл!$B$9)+1),ROW(D17)-ROW(A10)+1)),"")," ",IFERROR(INDEX(Накл!$C$9:$C$550,SMALL(IF(Накл!$B$9:$B$550=A10,ROW(Накл!$B$9:$B$550)-ROW(Накл!$B$9)+1),ROW(D18)-ROW(A10)+1)),"")," ",IFERROR(INDEX(Накл!$C$9:$C$550,SMALL(IF(Накл!$B$9:$B$550=A10,ROW(Накл!$B$9:$B$550)-ROW(Накл!$B$9)+1),ROW(D19)-ROW(A10)+1)),""))</f>
        <v xml:space="preserve">186         </v>
      </c>
      <c r="E10" s="26" t="str">
        <f t="array" ref="E10">IF(LEN(D10)&lt;10,CONCATENATE(IFERROR(INDEX(Накл!$C$9:$C$550,SMALL(IF(Накл!$A$9:$A$550=VALUE(LEFT(A10,8)),ROW(Накл!$A$9:$A$550)-ROW(Накл!$A$9)+1),ROW(E10)-ROW(B10)+1)),"")," ",IFERROR(INDEX(Накл!$C$9:$C$550,SMALL(IF(Накл!$A$9:$A$550=VALUE(LEFT(A10,8)),ROW(Накл!$A$9:$A$550)-ROW(Накл!$A$9)+1),ROW(E11)-ROW(B10)+1)),"")," ",IFERROR(INDEX(Накл!$C$9:$C$550,SMALL(IF(Накл!$A$9:$A$550=VALUE(LEFT(A10,8)),ROW(Накл!$A$9:$A$550)-ROW(Накл!$A$9)+1),ROW(E12)-ROW(B10)+1)),"")," ",IFERROR(INDEX(Накл!$C$9:$C$550,SMALL(IF(Накл!$A$9:$A$550=VALUE(LEFT(A10,8)),ROW(Накл!$A$9:$A$550)-ROW(Накл!$A$9)+1),ROW(E13)-ROW(B10)+1)),"")),"")</f>
        <v/>
      </c>
      <c r="I10" s="11"/>
    </row>
    <row r="11" spans="1:14">
      <c r="A11" s="26" t="str">
        <f>IFERROR(CONCATENATE(VALUE(SUBSTITUTE(SUBSTITUTE(LEFT(Накл!G18,11),".",""),"-",""))," ",Накл!J18),"-")</f>
        <v>26451410 1</v>
      </c>
      <c r="B11" s="26" t="str">
        <f>IFERROR(VLOOKUP(VALUE(LEFT(A11,8)),Накл!$A$9:$D$550,4,0),"-")</f>
        <v>Шланг "PrimoFlex" 5/8" Karcher 2.645-141  1м код : 020110</v>
      </c>
      <c r="C11" s="26">
        <f>Накл!J18</f>
        <v>1</v>
      </c>
      <c r="D11" s="33" t="str">
        <f t="array" ref="D11">CONCATENATE(IFERROR(INDEX(Накл!$C$9:$C$550,SMALL(IF(Накл!$B$9:$B$550=A11,ROW(Накл!$B$9:$B$550)-ROW(Накл!$B$9)+1),ROW(D11)-ROW(A11)+1)),"")," ",IFERROR(INDEX(Накл!$C$9:$C$550,SMALL(IF(Накл!$B$9:$B$550=A11,ROW(Накл!$B$9:$B$550)-ROW(Накл!$B$9)+1),ROW(D12)-ROW(A11)+1)),"")," ",IFERROR(INDEX(Накл!$C$9:$C$550,SMALL(IF(Накл!$B$9:$B$550=A11,ROW(Накл!$B$9:$B$550)-ROW(Накл!$B$9)+1),ROW(D13)-ROW(A11)+1)),"")," ",IFERROR(INDEX(Накл!$C$9:$C$550,SMALL(IF(Накл!$B$9:$B$550=A11,ROW(Накл!$B$9:$B$550)-ROW(Накл!$B$9)+1),ROW(D14)-ROW(A11)+1)),"")," ",IFERROR(INDEX(Накл!$C$9:$C$550,SMALL(IF(Накл!$B$9:$B$550=A11,ROW(Накл!$B$9:$B$550)-ROW(Накл!$B$9)+1),ROW(D15)-ROW(A11)+1)),"")," ",IFERROR(INDEX(Накл!$C$9:$C$550,SMALL(IF(Накл!$B$9:$B$550=A11,ROW(Накл!$B$9:$B$550)-ROW(Накл!$B$9)+1),ROW(D16)-ROW(A11)+1)),"")," ",IFERROR(INDEX(Накл!$C$9:$C$550,SMALL(IF(Накл!$B$9:$B$550=A11,ROW(Накл!$B$9:$B$550)-ROW(Накл!$B$9)+1),ROW(D17)-ROW(A11)+1)),"")," ",IFERROR(INDEX(Накл!$C$9:$C$550,SMALL(IF(Накл!$B$9:$B$550=A11,ROW(Накл!$B$9:$B$550)-ROW(Накл!$B$9)+1),ROW(D18)-ROW(A11)+1)),"")," ",IFERROR(INDEX(Накл!$C$9:$C$550,SMALL(IF(Накл!$B$9:$B$550=A11,ROW(Накл!$B$9:$B$550)-ROW(Накл!$B$9)+1),ROW(D19)-ROW(A11)+1)),"")," ",IFERROR(INDEX(Накл!$C$9:$C$550,SMALL(IF(Накл!$B$9:$B$550=A11,ROW(Накл!$B$9:$B$550)-ROW(Накл!$B$9)+1),ROW(D20)-ROW(A11)+1)),""))</f>
        <v xml:space="preserve">         </v>
      </c>
      <c r="E11" s="26" t="str">
        <f t="array" ref="E11">IF(LEN(D11)&lt;10,CONCATENATE(IFERROR(INDEX(Накл!$C$9:$C$550,SMALL(IF(Накл!$A$9:$A$550=VALUE(LEFT(A11,8)),ROW(Накл!$A$9:$A$550)-ROW(Накл!$A$9)+1),ROW(E11)-ROW(B11)+1)),"")," ",IFERROR(INDEX(Накл!$C$9:$C$550,SMALL(IF(Накл!$A$9:$A$550=VALUE(LEFT(A11,8)),ROW(Накл!$A$9:$A$550)-ROW(Накл!$A$9)+1),ROW(E12)-ROW(B11)+1)),"")," ",IFERROR(INDEX(Накл!$C$9:$C$550,SMALL(IF(Накл!$A$9:$A$550=VALUE(LEFT(A11,8)),ROW(Накл!$A$9:$A$550)-ROW(Накл!$A$9)+1),ROW(E13)-ROW(B11)+1)),"")," ",IFERROR(INDEX(Накл!$C$9:$C$550,SMALL(IF(Накл!$A$9:$A$550=VALUE(LEFT(A11,8)),ROW(Накл!$A$9:$A$550)-ROW(Накл!$A$9)+1),ROW(E14)-ROW(B11)+1)),"")),"")</f>
        <v xml:space="preserve">80   </v>
      </c>
      <c r="I11" s="11"/>
    </row>
    <row r="12" spans="1:14">
      <c r="A12" s="26" t="str">
        <f>IFERROR(CONCATENATE(VALUE(SUBSTITUTE(SUBSTITUTE(LEFT(Накл!G19,11),".",""),"-",""))," ",Накл!J19),"-")</f>
        <v>53321870 3</v>
      </c>
      <c r="B12" s="26" t="str">
        <f>IFERROR(VLOOKUP(VALUE(LEFT(A12,8)),Накл!$A$9:$D$550,4,0),"-")</f>
        <v>Винтовая пружина Karcher 5.332-187 код : 006198</v>
      </c>
      <c r="C12" s="26">
        <f>Накл!J19</f>
        <v>3</v>
      </c>
      <c r="D12" s="33" t="str">
        <f t="array" ref="D12">CONCATENATE(IFERROR(INDEX(Накл!$C$9:$C$550,SMALL(IF(Накл!$B$9:$B$550=A12,ROW(Накл!$B$9:$B$550)-ROW(Накл!$B$9)+1),ROW(D12)-ROW(A12)+1)),"")," ",IFERROR(INDEX(Накл!$C$9:$C$550,SMALL(IF(Накл!$B$9:$B$550=A12,ROW(Накл!$B$9:$B$550)-ROW(Накл!$B$9)+1),ROW(D13)-ROW(A12)+1)),"")," ",IFERROR(INDEX(Накл!$C$9:$C$550,SMALL(IF(Накл!$B$9:$B$550=A12,ROW(Накл!$B$9:$B$550)-ROW(Накл!$B$9)+1),ROW(D14)-ROW(A12)+1)),"")," ",IFERROR(INDEX(Накл!$C$9:$C$550,SMALL(IF(Накл!$B$9:$B$550=A12,ROW(Накл!$B$9:$B$550)-ROW(Накл!$B$9)+1),ROW(D15)-ROW(A12)+1)),"")," ",IFERROR(INDEX(Накл!$C$9:$C$550,SMALL(IF(Накл!$B$9:$B$550=A12,ROW(Накл!$B$9:$B$550)-ROW(Накл!$B$9)+1),ROW(D16)-ROW(A12)+1)),"")," ",IFERROR(INDEX(Накл!$C$9:$C$550,SMALL(IF(Накл!$B$9:$B$550=A12,ROW(Накл!$B$9:$B$550)-ROW(Накл!$B$9)+1),ROW(D17)-ROW(A12)+1)),"")," ",IFERROR(INDEX(Накл!$C$9:$C$550,SMALL(IF(Накл!$B$9:$B$550=A12,ROW(Накл!$B$9:$B$550)-ROW(Накл!$B$9)+1),ROW(D18)-ROW(A12)+1)),"")," ",IFERROR(INDEX(Накл!$C$9:$C$550,SMALL(IF(Накл!$B$9:$B$550=A12,ROW(Накл!$B$9:$B$550)-ROW(Накл!$B$9)+1),ROW(D19)-ROW(A12)+1)),"")," ",IFERROR(INDEX(Накл!$C$9:$C$550,SMALL(IF(Накл!$B$9:$B$550=A12,ROW(Накл!$B$9:$B$550)-ROW(Накл!$B$9)+1),ROW(D20)-ROW(A12)+1)),"")," ",IFERROR(INDEX(Накл!$C$9:$C$550,SMALL(IF(Накл!$B$9:$B$550=A12,ROW(Накл!$B$9:$B$550)-ROW(Накл!$B$9)+1),ROW(D21)-ROW(A12)+1)),""))</f>
        <v xml:space="preserve">110         </v>
      </c>
      <c r="E12" s="26" t="str">
        <f t="array" ref="E12">IF(LEN(D12)&lt;10,CONCATENATE(IFERROR(INDEX(Накл!$C$9:$C$550,SMALL(IF(Накл!$A$9:$A$550=VALUE(LEFT(A12,8)),ROW(Накл!$A$9:$A$550)-ROW(Накл!$A$9)+1),ROW(E12)-ROW(B12)+1)),"")," ",IFERROR(INDEX(Накл!$C$9:$C$550,SMALL(IF(Накл!$A$9:$A$550=VALUE(LEFT(A12,8)),ROW(Накл!$A$9:$A$550)-ROW(Накл!$A$9)+1),ROW(E13)-ROW(B12)+1)),"")," ",IFERROR(INDEX(Накл!$C$9:$C$550,SMALL(IF(Накл!$A$9:$A$550=VALUE(LEFT(A12,8)),ROW(Накл!$A$9:$A$550)-ROW(Накл!$A$9)+1),ROW(E14)-ROW(B12)+1)),"")," ",IFERROR(INDEX(Накл!$C$9:$C$550,SMALL(IF(Накл!$A$9:$A$550=VALUE(LEFT(A12,8)),ROW(Накл!$A$9:$A$550)-ROW(Накл!$A$9)+1),ROW(E15)-ROW(B12)+1)),"")),"")</f>
        <v/>
      </c>
      <c r="I12" s="11"/>
    </row>
    <row r="13" spans="1:14">
      <c r="A13" s="26" t="str">
        <f>IFERROR(CONCATENATE(VALUE(SUBSTITUTE(SUBSTITUTE(LEFT(Накл!G20,11),".",""),"-",""))," ",Накл!J20),"-")</f>
        <v>47442420 1</v>
      </c>
      <c r="B13" s="26" t="str">
        <f>IFERROR(VLOOKUP(VALUE(LEFT(A13,8)),Накл!$A$9:$D$550,4,0),"-")</f>
        <v>4744242 Выключатель Karcher *3* код : 005187</v>
      </c>
      <c r="C13" s="26">
        <f>Накл!J20</f>
        <v>1</v>
      </c>
      <c r="D13" s="33" t="str">
        <f t="array" ref="D13">CONCATENATE(IFERROR(INDEX(Накл!$C$9:$C$550,SMALL(IF(Накл!$B$9:$B$550=A13,ROW(Накл!$B$9:$B$550)-ROW(Накл!$B$9)+1),ROW(D13)-ROW(A13)+1)),"")," ",IFERROR(INDEX(Накл!$C$9:$C$550,SMALL(IF(Накл!$B$9:$B$550=A13,ROW(Накл!$B$9:$B$550)-ROW(Накл!$B$9)+1),ROW(D14)-ROW(A13)+1)),"")," ",IFERROR(INDEX(Накл!$C$9:$C$550,SMALL(IF(Накл!$B$9:$B$550=A13,ROW(Накл!$B$9:$B$550)-ROW(Накл!$B$9)+1),ROW(D15)-ROW(A13)+1)),"")," ",IFERROR(INDEX(Накл!$C$9:$C$550,SMALL(IF(Накл!$B$9:$B$550=A13,ROW(Накл!$B$9:$B$550)-ROW(Накл!$B$9)+1),ROW(D16)-ROW(A13)+1)),"")," ",IFERROR(INDEX(Накл!$C$9:$C$550,SMALL(IF(Накл!$B$9:$B$550=A13,ROW(Накл!$B$9:$B$550)-ROW(Накл!$B$9)+1),ROW(D17)-ROW(A13)+1)),"")," ",IFERROR(INDEX(Накл!$C$9:$C$550,SMALL(IF(Накл!$B$9:$B$550=A13,ROW(Накл!$B$9:$B$550)-ROW(Накл!$B$9)+1),ROW(D18)-ROW(A13)+1)),"")," ",IFERROR(INDEX(Накл!$C$9:$C$550,SMALL(IF(Накл!$B$9:$B$550=A13,ROW(Накл!$B$9:$B$550)-ROW(Накл!$B$9)+1),ROW(D19)-ROW(A13)+1)),"")," ",IFERROR(INDEX(Накл!$C$9:$C$550,SMALL(IF(Накл!$B$9:$B$550=A13,ROW(Накл!$B$9:$B$550)-ROW(Накл!$B$9)+1),ROW(D20)-ROW(A13)+1)),"")," ",IFERROR(INDEX(Накл!$C$9:$C$550,SMALL(IF(Накл!$B$9:$B$550=A13,ROW(Накл!$B$9:$B$550)-ROW(Накл!$B$9)+1),ROW(D21)-ROW(A13)+1)),"")," ",IFERROR(INDEX(Накл!$C$9:$C$550,SMALL(IF(Накл!$B$9:$B$550=A13,ROW(Накл!$B$9:$B$550)-ROW(Накл!$B$9)+1),ROW(D22)-ROW(A13)+1)),""))</f>
        <v xml:space="preserve">159         </v>
      </c>
      <c r="E13" s="26" t="str">
        <f t="array" ref="E13">IF(LEN(D13)&lt;10,CONCATENATE(IFERROR(INDEX(Накл!$C$9:$C$550,SMALL(IF(Накл!$A$9:$A$550=VALUE(LEFT(A13,8)),ROW(Накл!$A$9:$A$550)-ROW(Накл!$A$9)+1),ROW(E13)-ROW(B13)+1)),"")," ",IFERROR(INDEX(Накл!$C$9:$C$550,SMALL(IF(Накл!$A$9:$A$550=VALUE(LEFT(A13,8)),ROW(Накл!$A$9:$A$550)-ROW(Накл!$A$9)+1),ROW(E14)-ROW(B13)+1)),"")," ",IFERROR(INDEX(Накл!$C$9:$C$550,SMALL(IF(Накл!$A$9:$A$550=VALUE(LEFT(A13,8)),ROW(Накл!$A$9:$A$550)-ROW(Накл!$A$9)+1),ROW(E15)-ROW(B13)+1)),"")," ",IFERROR(INDEX(Накл!$C$9:$C$550,SMALL(IF(Накл!$A$9:$A$550=VALUE(LEFT(A13,8)),ROW(Накл!$A$9:$A$550)-ROW(Накл!$A$9)+1),ROW(E16)-ROW(B13)+1)),"")),"")</f>
        <v/>
      </c>
      <c r="I13" s="11"/>
    </row>
    <row r="14" spans="1:14">
      <c r="A14" s="26" t="str">
        <f>IFERROR(CONCATENATE(VALUE(SUBSTITUTE(SUBSTITUTE(LEFT(Накл!G21,11),".",""),"-",""))," ",Накл!J21),"-")</f>
        <v>63624710 3</v>
      </c>
      <c r="B14" s="26" t="str">
        <f>IFERROR(VLOOKUP(VALUE(LEFT(A14,8)),Накл!$A$9:$D$550,4,0),"-")</f>
        <v>6362471 Прокладка код : 005115</v>
      </c>
      <c r="C14" s="26">
        <f>Накл!J21</f>
        <v>3</v>
      </c>
      <c r="D14" s="33" t="str">
        <f t="array" ref="D14">CONCATENATE(IFERROR(INDEX(Накл!$C$9:$C$550,SMALL(IF(Накл!$B$9:$B$550=A14,ROW(Накл!$B$9:$B$550)-ROW(Накл!$B$9)+1),ROW(D14)-ROW(A14)+1)),"")," ",IFERROR(INDEX(Накл!$C$9:$C$550,SMALL(IF(Накл!$B$9:$B$550=A14,ROW(Накл!$B$9:$B$550)-ROW(Накл!$B$9)+1),ROW(D15)-ROW(A14)+1)),"")," ",IFERROR(INDEX(Накл!$C$9:$C$550,SMALL(IF(Накл!$B$9:$B$550=A14,ROW(Накл!$B$9:$B$550)-ROW(Накл!$B$9)+1),ROW(D16)-ROW(A14)+1)),"")," ",IFERROR(INDEX(Накл!$C$9:$C$550,SMALL(IF(Накл!$B$9:$B$550=A14,ROW(Накл!$B$9:$B$550)-ROW(Накл!$B$9)+1),ROW(D17)-ROW(A14)+1)),"")," ",IFERROR(INDEX(Накл!$C$9:$C$550,SMALL(IF(Накл!$B$9:$B$550=A14,ROW(Накл!$B$9:$B$550)-ROW(Накл!$B$9)+1),ROW(D18)-ROW(A14)+1)),"")," ",IFERROR(INDEX(Накл!$C$9:$C$550,SMALL(IF(Накл!$B$9:$B$550=A14,ROW(Накл!$B$9:$B$550)-ROW(Накл!$B$9)+1),ROW(D19)-ROW(A14)+1)),"")," ",IFERROR(INDEX(Накл!$C$9:$C$550,SMALL(IF(Накл!$B$9:$B$550=A14,ROW(Накл!$B$9:$B$550)-ROW(Накл!$B$9)+1),ROW(D20)-ROW(A14)+1)),"")," ",IFERROR(INDEX(Накл!$C$9:$C$550,SMALL(IF(Накл!$B$9:$B$550=A14,ROW(Накл!$B$9:$B$550)-ROW(Накл!$B$9)+1),ROW(D21)-ROW(A14)+1)),"")," ",IFERROR(INDEX(Накл!$C$9:$C$550,SMALL(IF(Накл!$B$9:$B$550=A14,ROW(Накл!$B$9:$B$550)-ROW(Накл!$B$9)+1),ROW(D22)-ROW(A14)+1)),"")," ",IFERROR(INDEX(Накл!$C$9:$C$550,SMALL(IF(Накл!$B$9:$B$550=A14,ROW(Накл!$B$9:$B$550)-ROW(Накл!$B$9)+1),ROW(D23)-ROW(A14)+1)),""))</f>
        <v xml:space="preserve">177         </v>
      </c>
      <c r="E14" s="26" t="str">
        <f t="array" ref="E14">IF(LEN(D14)&lt;10,CONCATENATE(IFERROR(INDEX(Накл!$C$9:$C$550,SMALL(IF(Накл!$A$9:$A$550=VALUE(LEFT(A14,8)),ROW(Накл!$A$9:$A$550)-ROW(Накл!$A$9)+1),ROW(E14)-ROW(B14)+1)),"")," ",IFERROR(INDEX(Накл!$C$9:$C$550,SMALL(IF(Накл!$A$9:$A$550=VALUE(LEFT(A14,8)),ROW(Накл!$A$9:$A$550)-ROW(Накл!$A$9)+1),ROW(E15)-ROW(B14)+1)),"")," ",IFERROR(INDEX(Накл!$C$9:$C$550,SMALL(IF(Накл!$A$9:$A$550=VALUE(LEFT(A14,8)),ROW(Накл!$A$9:$A$550)-ROW(Накл!$A$9)+1),ROW(E16)-ROW(B14)+1)),"")," ",IFERROR(INDEX(Накл!$C$9:$C$550,SMALL(IF(Накл!$A$9:$A$550=VALUE(LEFT(A14,8)),ROW(Накл!$A$9:$A$550)-ROW(Накл!$A$9)+1),ROW(E17)-ROW(B14)+1)),"")),"")</f>
        <v/>
      </c>
      <c r="I14" s="11"/>
    </row>
    <row r="15" spans="1:14">
      <c r="A15" s="26" t="str">
        <f>IFERROR(CONCATENATE(VALUE(SUBSTITUTE(SUBSTITUTE(LEFT(Накл!G22,11),".",""),"-",""))," ",Накл!J22),"-")</f>
        <v>62955530 5</v>
      </c>
      <c r="B15" s="26" t="str">
        <f>IFERROR(VLOOKUP(VALUE(LEFT(A15,8)),Накл!$A$9:$D$550,4,0),"-")</f>
        <v>RM 806 ASF Моющее средство 20л Karcher 6.295-553 код : 000824</v>
      </c>
      <c r="C15" s="26">
        <f>Накл!J22</f>
        <v>5</v>
      </c>
      <c r="D15" s="33" t="str">
        <f t="array" ref="D15">CONCATENATE(IFERROR(INDEX(Накл!$C$9:$C$550,SMALL(IF(Накл!$B$9:$B$550=A15,ROW(Накл!$B$9:$B$550)-ROW(Накл!$B$9)+1),ROW(D15)-ROW(A15)+1)),"")," ",IFERROR(INDEX(Накл!$C$9:$C$550,SMALL(IF(Накл!$B$9:$B$550=A15,ROW(Накл!$B$9:$B$550)-ROW(Накл!$B$9)+1),ROW(D16)-ROW(A15)+1)),"")," ",IFERROR(INDEX(Накл!$C$9:$C$550,SMALL(IF(Накл!$B$9:$B$550=A15,ROW(Накл!$B$9:$B$550)-ROW(Накл!$B$9)+1),ROW(D17)-ROW(A15)+1)),"")," ",IFERROR(INDEX(Накл!$C$9:$C$550,SMALL(IF(Накл!$B$9:$B$550=A15,ROW(Накл!$B$9:$B$550)-ROW(Накл!$B$9)+1),ROW(D18)-ROW(A15)+1)),"")," ",IFERROR(INDEX(Накл!$C$9:$C$550,SMALL(IF(Накл!$B$9:$B$550=A15,ROW(Накл!$B$9:$B$550)-ROW(Накл!$B$9)+1),ROW(D19)-ROW(A15)+1)),"")," ",IFERROR(INDEX(Накл!$C$9:$C$550,SMALL(IF(Накл!$B$9:$B$550=A15,ROW(Накл!$B$9:$B$550)-ROW(Накл!$B$9)+1),ROW(D20)-ROW(A15)+1)),"")," ",IFERROR(INDEX(Накл!$C$9:$C$550,SMALL(IF(Накл!$B$9:$B$550=A15,ROW(Накл!$B$9:$B$550)-ROW(Накл!$B$9)+1),ROW(D21)-ROW(A15)+1)),"")," ",IFERROR(INDEX(Накл!$C$9:$C$550,SMALL(IF(Накл!$B$9:$B$550=A15,ROW(Накл!$B$9:$B$550)-ROW(Накл!$B$9)+1),ROW(D22)-ROW(A15)+1)),"")," ",IFERROR(INDEX(Накл!$C$9:$C$550,SMALL(IF(Накл!$B$9:$B$550=A15,ROW(Накл!$B$9:$B$550)-ROW(Накл!$B$9)+1),ROW(D23)-ROW(A15)+1)),"")," ",IFERROR(INDEX(Накл!$C$9:$C$550,SMALL(IF(Накл!$B$9:$B$550=A15,ROW(Накл!$B$9:$B$550)-ROW(Накл!$B$9)+1),ROW(D24)-ROW(A15)+1)),""))</f>
        <v xml:space="preserve">175         </v>
      </c>
      <c r="E15" s="26" t="str">
        <f t="array" ref="E15">IF(LEN(D15)&lt;10,CONCATENATE(IFERROR(INDEX(Накл!$C$9:$C$550,SMALL(IF(Накл!$A$9:$A$550=VALUE(LEFT(A15,8)),ROW(Накл!$A$9:$A$550)-ROW(Накл!$A$9)+1),ROW(E15)-ROW(B15)+1)),"")," ",IFERROR(INDEX(Накл!$C$9:$C$550,SMALL(IF(Накл!$A$9:$A$550=VALUE(LEFT(A15,8)),ROW(Накл!$A$9:$A$550)-ROW(Накл!$A$9)+1),ROW(E16)-ROW(B15)+1)),"")," ",IFERROR(INDEX(Накл!$C$9:$C$550,SMALL(IF(Накл!$A$9:$A$550=VALUE(LEFT(A15,8)),ROW(Накл!$A$9:$A$550)-ROW(Накл!$A$9)+1),ROW(E17)-ROW(B15)+1)),"")," ",IFERROR(INDEX(Накл!$C$9:$C$550,SMALL(IF(Накл!$A$9:$A$550=VALUE(LEFT(A15,8)),ROW(Накл!$A$9:$A$550)-ROW(Накл!$A$9)+1),ROW(E18)-ROW(B15)+1)),"")),"")</f>
        <v/>
      </c>
      <c r="I15" s="11"/>
    </row>
    <row r="16" spans="1:14">
      <c r="A16" s="26" t="str">
        <f>IFERROR(CONCATENATE(VALUE(SUBSTITUTE(SUBSTITUTE(LEFT(Накл!G23,11),".",""),"-",""))," ",Накл!J23),"-")</f>
        <v>26331300 5</v>
      </c>
      <c r="B16" s="26" t="str">
        <f>IFERROR(VLOOKUP(VALUE(LEFT(A16,8)),Накл!$A$9:$D$550,4,0),"-")</f>
        <v>Обтяжки из микрофибры Indoor Karcher 2.633-130 код : 000699</v>
      </c>
      <c r="C16" s="26">
        <f>Накл!J23</f>
        <v>5</v>
      </c>
      <c r="D16" s="33" t="str">
        <f t="array" ref="D16">CONCATENATE(IFERROR(INDEX(Накл!$C$9:$C$550,SMALL(IF(Накл!$B$9:$B$550=A16,ROW(Накл!$B$9:$B$550)-ROW(Накл!$B$9)+1),ROW(D16)-ROW(A16)+1)),"")," ",IFERROR(INDEX(Накл!$C$9:$C$550,SMALL(IF(Накл!$B$9:$B$550=A16,ROW(Накл!$B$9:$B$550)-ROW(Накл!$B$9)+1),ROW(D17)-ROW(A16)+1)),"")," ",IFERROR(INDEX(Накл!$C$9:$C$550,SMALL(IF(Накл!$B$9:$B$550=A16,ROW(Накл!$B$9:$B$550)-ROW(Накл!$B$9)+1),ROW(D18)-ROW(A16)+1)),"")," ",IFERROR(INDEX(Накл!$C$9:$C$550,SMALL(IF(Накл!$B$9:$B$550=A16,ROW(Накл!$B$9:$B$550)-ROW(Накл!$B$9)+1),ROW(D19)-ROW(A16)+1)),"")," ",IFERROR(INDEX(Накл!$C$9:$C$550,SMALL(IF(Накл!$B$9:$B$550=A16,ROW(Накл!$B$9:$B$550)-ROW(Накл!$B$9)+1),ROW(D20)-ROW(A16)+1)),"")," ",IFERROR(INDEX(Накл!$C$9:$C$550,SMALL(IF(Накл!$B$9:$B$550=A16,ROW(Накл!$B$9:$B$550)-ROW(Накл!$B$9)+1),ROW(D21)-ROW(A16)+1)),"")," ",IFERROR(INDEX(Накл!$C$9:$C$550,SMALL(IF(Накл!$B$9:$B$550=A16,ROW(Накл!$B$9:$B$550)-ROW(Накл!$B$9)+1),ROW(D22)-ROW(A16)+1)),"")," ",IFERROR(INDEX(Накл!$C$9:$C$550,SMALL(IF(Накл!$B$9:$B$550=A16,ROW(Накл!$B$9:$B$550)-ROW(Накл!$B$9)+1),ROW(D23)-ROW(A16)+1)),"")," ",IFERROR(INDEX(Накл!$C$9:$C$550,SMALL(IF(Накл!$B$9:$B$550=A16,ROW(Накл!$B$9:$B$550)-ROW(Накл!$B$9)+1),ROW(D24)-ROW(A16)+1)),"")," ",IFERROR(INDEX(Накл!$C$9:$C$550,SMALL(IF(Накл!$B$9:$B$550=A16,ROW(Накл!$B$9:$B$550)-ROW(Накл!$B$9)+1),ROW(D25)-ROW(A16)+1)),""))</f>
        <v xml:space="preserve">137         </v>
      </c>
      <c r="E16" s="26" t="str">
        <f t="array" ref="E16">IF(LEN(D16)&lt;10,CONCATENATE(IFERROR(INDEX(Накл!$C$9:$C$550,SMALL(IF(Накл!$A$9:$A$550=VALUE(LEFT(A16,8)),ROW(Накл!$A$9:$A$550)-ROW(Накл!$A$9)+1),ROW(E16)-ROW(B16)+1)),"")," ",IFERROR(INDEX(Накл!$C$9:$C$550,SMALL(IF(Накл!$A$9:$A$550=VALUE(LEFT(A16,8)),ROW(Накл!$A$9:$A$550)-ROW(Накл!$A$9)+1),ROW(E17)-ROW(B16)+1)),"")," ",IFERROR(INDEX(Накл!$C$9:$C$550,SMALL(IF(Накл!$A$9:$A$550=VALUE(LEFT(A16,8)),ROW(Накл!$A$9:$A$550)-ROW(Накл!$A$9)+1),ROW(E18)-ROW(B16)+1)),"")," ",IFERROR(INDEX(Накл!$C$9:$C$550,SMALL(IF(Накл!$A$9:$A$550=VALUE(LEFT(A16,8)),ROW(Накл!$A$9:$A$550)-ROW(Накл!$A$9)+1),ROW(E19)-ROW(B16)+1)),"")),"")</f>
        <v/>
      </c>
      <c r="I16" s="11"/>
    </row>
    <row r="17" spans="1:9">
      <c r="A17" s="26" t="str">
        <f>IFERROR(CONCATENATE(VALUE(SUBSTITUTE(SUBSTITUTE(LEFT(Накл!G24,11),".",""),"-",""))," ",Накл!J24),"-")</f>
        <v>53636130 1</v>
      </c>
      <c r="B17" s="26" t="str">
        <f>IFERROR(VLOOKUP(VALUE(LEFT(A17,8)),Накл!$A$9:$D$550,4,0),"-")</f>
        <v>Прокладка Karcher 5.363-613 код : 030195</v>
      </c>
      <c r="C17" s="26">
        <f>Накл!J24</f>
        <v>1</v>
      </c>
      <c r="D17" s="33" t="str">
        <f t="array" ref="D17">CONCATENATE(IFERROR(INDEX(Накл!$C$9:$C$550,SMALL(IF(Накл!$B$9:$B$550=A17,ROW(Накл!$B$9:$B$550)-ROW(Накл!$B$9)+1),ROW(D17)-ROW(A17)+1)),"")," ",IFERROR(INDEX(Накл!$C$9:$C$550,SMALL(IF(Накл!$B$9:$B$550=A17,ROW(Накл!$B$9:$B$550)-ROW(Накл!$B$9)+1),ROW(D18)-ROW(A17)+1)),"")," ",IFERROR(INDEX(Накл!$C$9:$C$550,SMALL(IF(Накл!$B$9:$B$550=A17,ROW(Накл!$B$9:$B$550)-ROW(Накл!$B$9)+1),ROW(D19)-ROW(A17)+1)),"")," ",IFERROR(INDEX(Накл!$C$9:$C$550,SMALL(IF(Накл!$B$9:$B$550=A17,ROW(Накл!$B$9:$B$550)-ROW(Накл!$B$9)+1),ROW(D20)-ROW(A17)+1)),"")," ",IFERROR(INDEX(Накл!$C$9:$C$550,SMALL(IF(Накл!$B$9:$B$550=A17,ROW(Накл!$B$9:$B$550)-ROW(Накл!$B$9)+1),ROW(D21)-ROW(A17)+1)),"")," ",IFERROR(INDEX(Накл!$C$9:$C$550,SMALL(IF(Накл!$B$9:$B$550=A17,ROW(Накл!$B$9:$B$550)-ROW(Накл!$B$9)+1),ROW(D22)-ROW(A17)+1)),"")," ",IFERROR(INDEX(Накл!$C$9:$C$550,SMALL(IF(Накл!$B$9:$B$550=A17,ROW(Накл!$B$9:$B$550)-ROW(Накл!$B$9)+1),ROW(D23)-ROW(A17)+1)),"")," ",IFERROR(INDEX(Накл!$C$9:$C$550,SMALL(IF(Накл!$B$9:$B$550=A17,ROW(Накл!$B$9:$B$550)-ROW(Накл!$B$9)+1),ROW(D24)-ROW(A17)+1)),"")," ",IFERROR(INDEX(Накл!$C$9:$C$550,SMALL(IF(Накл!$B$9:$B$550=A17,ROW(Накл!$B$9:$B$550)-ROW(Накл!$B$9)+1),ROW(D25)-ROW(A17)+1)),"")," ",IFERROR(INDEX(Накл!$C$9:$C$550,SMALL(IF(Накл!$B$9:$B$550=A17,ROW(Накл!$B$9:$B$550)-ROW(Накл!$B$9)+1),ROW(D26)-ROW(A17)+1)),""))</f>
        <v xml:space="preserve">3         </v>
      </c>
      <c r="E17" s="26" t="str">
        <f t="array" ref="E17">IF(LEN(D17)&lt;10,CONCATENATE(IFERROR(INDEX(Накл!$C$9:$C$550,SMALL(IF(Накл!$A$9:$A$550=VALUE(LEFT(A17,8)),ROW(Накл!$A$9:$A$550)-ROW(Накл!$A$9)+1),ROW(E17)-ROW(B17)+1)),"")," ",IFERROR(INDEX(Накл!$C$9:$C$550,SMALL(IF(Накл!$A$9:$A$550=VALUE(LEFT(A17,8)),ROW(Накл!$A$9:$A$550)-ROW(Накл!$A$9)+1),ROW(E18)-ROW(B17)+1)),"")," ",IFERROR(INDEX(Накл!$C$9:$C$550,SMALL(IF(Накл!$A$9:$A$550=VALUE(LEFT(A17,8)),ROW(Накл!$A$9:$A$550)-ROW(Накл!$A$9)+1),ROW(E19)-ROW(B17)+1)),"")," ",IFERROR(INDEX(Накл!$C$9:$C$550,SMALL(IF(Накл!$A$9:$A$550=VALUE(LEFT(A17,8)),ROW(Накл!$A$9:$A$550)-ROW(Накл!$A$9)+1),ROW(E20)-ROW(B17)+1)),"")),"")</f>
        <v/>
      </c>
      <c r="I17" s="11"/>
    </row>
    <row r="18" spans="1:9">
      <c r="A18" s="26" t="str">
        <f>IFERROR(CONCATENATE(VALUE(SUBSTITUTE(SUBSTITUTE(LEFT(Накл!G25,11),".",""),"-",""))," ",Накл!J25),"-")</f>
        <v>63654953 9</v>
      </c>
      <c r="B18" s="26" t="str">
        <f>IFERROR(VLOOKUP(VALUE(LEFT(A18,8)),Накл!$A$9:$D$550,4,0),"-")</f>
        <v>63654953 *Сальник НД Karcher код : 005317</v>
      </c>
      <c r="C18" s="26">
        <f>Накл!J25</f>
        <v>9</v>
      </c>
      <c r="D18" s="33" t="str">
        <f t="array" ref="D18">CONCATENATE(IFERROR(INDEX(Накл!$C$9:$C$550,SMALL(IF(Накл!$B$9:$B$550=A18,ROW(Накл!$B$9:$B$550)-ROW(Накл!$B$9)+1),ROW(D18)-ROW(A18)+1)),"")," ",IFERROR(INDEX(Накл!$C$9:$C$550,SMALL(IF(Накл!$B$9:$B$550=A18,ROW(Накл!$B$9:$B$550)-ROW(Накл!$B$9)+1),ROW(D19)-ROW(A18)+1)),"")," ",IFERROR(INDEX(Накл!$C$9:$C$550,SMALL(IF(Накл!$B$9:$B$550=A18,ROW(Накл!$B$9:$B$550)-ROW(Накл!$B$9)+1),ROW(D20)-ROW(A18)+1)),"")," ",IFERROR(INDEX(Накл!$C$9:$C$550,SMALL(IF(Накл!$B$9:$B$550=A18,ROW(Накл!$B$9:$B$550)-ROW(Накл!$B$9)+1),ROW(D21)-ROW(A18)+1)),"")," ",IFERROR(INDEX(Накл!$C$9:$C$550,SMALL(IF(Накл!$B$9:$B$550=A18,ROW(Накл!$B$9:$B$550)-ROW(Накл!$B$9)+1),ROW(D22)-ROW(A18)+1)),"")," ",IFERROR(INDEX(Накл!$C$9:$C$550,SMALL(IF(Накл!$B$9:$B$550=A18,ROW(Накл!$B$9:$B$550)-ROW(Накл!$B$9)+1),ROW(D23)-ROW(A18)+1)),"")," ",IFERROR(INDEX(Накл!$C$9:$C$550,SMALL(IF(Накл!$B$9:$B$550=A18,ROW(Накл!$B$9:$B$550)-ROW(Накл!$B$9)+1),ROW(D24)-ROW(A18)+1)),"")," ",IFERROR(INDEX(Накл!$C$9:$C$550,SMALL(IF(Накл!$B$9:$B$550=A18,ROW(Накл!$B$9:$B$550)-ROW(Накл!$B$9)+1),ROW(D25)-ROW(A18)+1)),"")," ",IFERROR(INDEX(Накл!$C$9:$C$550,SMALL(IF(Накл!$B$9:$B$550=A18,ROW(Накл!$B$9:$B$550)-ROW(Накл!$B$9)+1),ROW(D26)-ROW(A18)+1)),"")," ",IFERROR(INDEX(Накл!$C$9:$C$550,SMALL(IF(Накл!$B$9:$B$550=A18,ROW(Накл!$B$9:$B$550)-ROW(Накл!$B$9)+1),ROW(D27)-ROW(A18)+1)),""))</f>
        <v xml:space="preserve">182         </v>
      </c>
      <c r="E18" s="26" t="str">
        <f t="array" ref="E18">IF(LEN(D18)&lt;10,CONCATENATE(IFERROR(INDEX(Накл!$C$9:$C$550,SMALL(IF(Накл!$A$9:$A$550=VALUE(LEFT(A18,8)),ROW(Накл!$A$9:$A$550)-ROW(Накл!$A$9)+1),ROW(E18)-ROW(B18)+1)),"")," ",IFERROR(INDEX(Накл!$C$9:$C$550,SMALL(IF(Накл!$A$9:$A$550=VALUE(LEFT(A18,8)),ROW(Накл!$A$9:$A$550)-ROW(Накл!$A$9)+1),ROW(E19)-ROW(B18)+1)),"")," ",IFERROR(INDEX(Накл!$C$9:$C$550,SMALL(IF(Накл!$A$9:$A$550=VALUE(LEFT(A18,8)),ROW(Накл!$A$9:$A$550)-ROW(Накл!$A$9)+1),ROW(E20)-ROW(B18)+1)),"")," ",IFERROR(INDEX(Накл!$C$9:$C$550,SMALL(IF(Накл!$A$9:$A$550=VALUE(LEFT(A18,8)),ROW(Накл!$A$9:$A$550)-ROW(Накл!$A$9)+1),ROW(E21)-ROW(B18)+1)),"")),"")</f>
        <v/>
      </c>
      <c r="I18" s="11"/>
    </row>
    <row r="19" spans="1:9">
      <c r="A19" s="26" t="str">
        <f>IFERROR(CONCATENATE(VALUE(SUBSTITUTE(SUBSTITUTE(LEFT(Накл!G26,11),".",""),"-",""))," ",Накл!J26),"-")</f>
        <v>73030860 2</v>
      </c>
      <c r="B19" s="26" t="str">
        <f>IFERROR(VLOOKUP(VALUE(LEFT(A19,8)),Накл!$A$9:$D$550,4,0),"-")</f>
        <v>Винт 5 х 30 Karcher 7.303-086 код : 030196</v>
      </c>
      <c r="C19" s="26">
        <f>Накл!J26</f>
        <v>2</v>
      </c>
      <c r="D19" s="33" t="str">
        <f t="array" ref="D19">CONCATENATE(IFERROR(INDEX(Накл!$C$9:$C$550,SMALL(IF(Накл!$B$9:$B$550=A19,ROW(Накл!$B$9:$B$550)-ROW(Накл!$B$9)+1),ROW(D19)-ROW(A19)+1)),"")," ",IFERROR(INDEX(Накл!$C$9:$C$550,SMALL(IF(Накл!$B$9:$B$550=A19,ROW(Накл!$B$9:$B$550)-ROW(Накл!$B$9)+1),ROW(D20)-ROW(A19)+1)),"")," ",IFERROR(INDEX(Накл!$C$9:$C$550,SMALL(IF(Накл!$B$9:$B$550=A19,ROW(Накл!$B$9:$B$550)-ROW(Накл!$B$9)+1),ROW(D21)-ROW(A19)+1)),"")," ",IFERROR(INDEX(Накл!$C$9:$C$550,SMALL(IF(Накл!$B$9:$B$550=A19,ROW(Накл!$B$9:$B$550)-ROW(Накл!$B$9)+1),ROW(D22)-ROW(A19)+1)),"")," ",IFERROR(INDEX(Накл!$C$9:$C$550,SMALL(IF(Накл!$B$9:$B$550=A19,ROW(Накл!$B$9:$B$550)-ROW(Накл!$B$9)+1),ROW(D23)-ROW(A19)+1)),"")," ",IFERROR(INDEX(Накл!$C$9:$C$550,SMALL(IF(Накл!$B$9:$B$550=A19,ROW(Накл!$B$9:$B$550)-ROW(Накл!$B$9)+1),ROW(D24)-ROW(A19)+1)),"")," ",IFERROR(INDEX(Накл!$C$9:$C$550,SMALL(IF(Накл!$B$9:$B$550=A19,ROW(Накл!$B$9:$B$550)-ROW(Накл!$B$9)+1),ROW(D25)-ROW(A19)+1)),"")," ",IFERROR(INDEX(Накл!$C$9:$C$550,SMALL(IF(Накл!$B$9:$B$550=A19,ROW(Накл!$B$9:$B$550)-ROW(Накл!$B$9)+1),ROW(D26)-ROW(A19)+1)),"")," ",IFERROR(INDEX(Накл!$C$9:$C$550,SMALL(IF(Накл!$B$9:$B$550=A19,ROW(Накл!$B$9:$B$550)-ROW(Накл!$B$9)+1),ROW(D27)-ROW(A19)+1)),"")," ",IFERROR(INDEX(Накл!$C$9:$C$550,SMALL(IF(Накл!$B$9:$B$550=A19,ROW(Накл!$B$9:$B$550)-ROW(Накл!$B$9)+1),ROW(D28)-ROW(A19)+1)),""))</f>
        <v xml:space="preserve">197         </v>
      </c>
      <c r="E19" s="26" t="str">
        <f t="array" ref="E19">IF(LEN(D19)&lt;10,CONCATENATE(IFERROR(INDEX(Накл!$C$9:$C$550,SMALL(IF(Накл!$A$9:$A$550=VALUE(LEFT(A19,8)),ROW(Накл!$A$9:$A$550)-ROW(Накл!$A$9)+1),ROW(E19)-ROW(B19)+1)),"")," ",IFERROR(INDEX(Накл!$C$9:$C$550,SMALL(IF(Накл!$A$9:$A$550=VALUE(LEFT(A19,8)),ROW(Накл!$A$9:$A$550)-ROW(Накл!$A$9)+1),ROW(E20)-ROW(B19)+1)),"")," ",IFERROR(INDEX(Накл!$C$9:$C$550,SMALL(IF(Накл!$A$9:$A$550=VALUE(LEFT(A19,8)),ROW(Накл!$A$9:$A$550)-ROW(Накл!$A$9)+1),ROW(E21)-ROW(B19)+1)),"")," ",IFERROR(INDEX(Накл!$C$9:$C$550,SMALL(IF(Накл!$A$9:$A$550=VALUE(LEFT(A19,8)),ROW(Накл!$A$9:$A$550)-ROW(Накл!$A$9)+1),ROW(E22)-ROW(B19)+1)),"")),"")</f>
        <v/>
      </c>
      <c r="I19" s="11"/>
    </row>
    <row r="20" spans="1:9">
      <c r="A20" s="26" t="str">
        <f>IFERROR(CONCATENATE(VALUE(SUBSTITUTE(SUBSTITUTE(LEFT(Накл!G27,11),".",""),"-",""))," ",Накл!J27),"-")</f>
        <v>50371400 3</v>
      </c>
      <c r="B20" s="26" t="str">
        <f>IFERROR(VLOOKUP(VALUE(LEFT(A20,8)),Накл!$A$9:$D$550,4,0),"-")</f>
        <v>5037140 Фиксатор быт. шланг/пистолет  *2* код : 005105</v>
      </c>
      <c r="C20" s="26">
        <f>Накл!J27</f>
        <v>3</v>
      </c>
      <c r="D20" s="33" t="str">
        <f t="array" ref="D20">CONCATENATE(IFERROR(INDEX(Накл!$C$9:$C$550,SMALL(IF(Накл!$B$9:$B$550=A20,ROW(Накл!$B$9:$B$550)-ROW(Накл!$B$9)+1),ROW(D20)-ROW(A20)+1)),"")," ",IFERROR(INDEX(Накл!$C$9:$C$550,SMALL(IF(Накл!$B$9:$B$550=A20,ROW(Накл!$B$9:$B$550)-ROW(Накл!$B$9)+1),ROW(D21)-ROW(A20)+1)),"")," ",IFERROR(INDEX(Накл!$C$9:$C$550,SMALL(IF(Накл!$B$9:$B$550=A20,ROW(Накл!$B$9:$B$550)-ROW(Накл!$B$9)+1),ROW(D22)-ROW(A20)+1)),"")," ",IFERROR(INDEX(Накл!$C$9:$C$550,SMALL(IF(Накл!$B$9:$B$550=A20,ROW(Накл!$B$9:$B$550)-ROW(Накл!$B$9)+1),ROW(D23)-ROW(A20)+1)),"")," ",IFERROR(INDEX(Накл!$C$9:$C$550,SMALL(IF(Накл!$B$9:$B$550=A20,ROW(Накл!$B$9:$B$550)-ROW(Накл!$B$9)+1),ROW(D24)-ROW(A20)+1)),"")," ",IFERROR(INDEX(Накл!$C$9:$C$550,SMALL(IF(Накл!$B$9:$B$550=A20,ROW(Накл!$B$9:$B$550)-ROW(Накл!$B$9)+1),ROW(D25)-ROW(A20)+1)),"")," ",IFERROR(INDEX(Накл!$C$9:$C$550,SMALL(IF(Накл!$B$9:$B$550=A20,ROW(Накл!$B$9:$B$550)-ROW(Накл!$B$9)+1),ROW(D26)-ROW(A20)+1)),"")," ",IFERROR(INDEX(Накл!$C$9:$C$550,SMALL(IF(Накл!$B$9:$B$550=A20,ROW(Накл!$B$9:$B$550)-ROW(Накл!$B$9)+1),ROW(D27)-ROW(A20)+1)),"")," ",IFERROR(INDEX(Накл!$C$9:$C$550,SMALL(IF(Накл!$B$9:$B$550=A20,ROW(Накл!$B$9:$B$550)-ROW(Накл!$B$9)+1),ROW(D28)-ROW(A20)+1)),"")," ",IFERROR(INDEX(Накл!$C$9:$C$550,SMALL(IF(Накл!$B$9:$B$550=A20,ROW(Накл!$B$9:$B$550)-ROW(Накл!$B$9)+1),ROW(D29)-ROW(A20)+1)),""))</f>
        <v xml:space="preserve">214         </v>
      </c>
      <c r="E20" s="26" t="str">
        <f t="array" ref="E20">IF(LEN(D20)&lt;10,CONCATENATE(IFERROR(INDEX(Накл!$C$9:$C$550,SMALL(IF(Накл!$A$9:$A$550=VALUE(LEFT(A20,8)),ROW(Накл!$A$9:$A$550)-ROW(Накл!$A$9)+1),ROW(E20)-ROW(B20)+1)),"")," ",IFERROR(INDEX(Накл!$C$9:$C$550,SMALL(IF(Накл!$A$9:$A$550=VALUE(LEFT(A20,8)),ROW(Накл!$A$9:$A$550)-ROW(Накл!$A$9)+1),ROW(E21)-ROW(B20)+1)),"")," ",IFERROR(INDEX(Накл!$C$9:$C$550,SMALL(IF(Накл!$A$9:$A$550=VALUE(LEFT(A20,8)),ROW(Накл!$A$9:$A$550)-ROW(Накл!$A$9)+1),ROW(E22)-ROW(B20)+1)),"")," ",IFERROR(INDEX(Накл!$C$9:$C$550,SMALL(IF(Накл!$A$9:$A$550=VALUE(LEFT(A20,8)),ROW(Накл!$A$9:$A$550)-ROW(Накл!$A$9)+1),ROW(E23)-ROW(B20)+1)),"")),"")</f>
        <v/>
      </c>
      <c r="I20" s="11"/>
    </row>
    <row r="21" spans="1:9">
      <c r="A21" s="26" t="str">
        <f>IFERROR(CONCATENATE(VALUE(SUBSTITUTE(SUBSTITUTE(LEFT(Накл!G28,11),".",""),"-",""))," ",Накл!J28),"-")</f>
        <v>63653940 3</v>
      </c>
      <c r="B21" s="26" t="str">
        <f>IFERROR(VLOOKUP(VALUE(LEFT(A21,8)),Накл!$A$9:$D$550,4,0),"-")</f>
        <v>6365394 Сальник к К520М Karcher вода *30* код : 005021</v>
      </c>
      <c r="C21" s="26">
        <f>Накл!J28</f>
        <v>3</v>
      </c>
      <c r="D21" s="33" t="str">
        <f t="array" ref="D21">CONCATENATE(IFERROR(INDEX(Накл!$C$9:$C$550,SMALL(IF(Накл!$B$9:$B$550=A21,ROW(Накл!$B$9:$B$550)-ROW(Накл!$B$9)+1),ROW(D21)-ROW(A21)+1)),"")," ",IFERROR(INDEX(Накл!$C$9:$C$550,SMALL(IF(Накл!$B$9:$B$550=A21,ROW(Накл!$B$9:$B$550)-ROW(Накл!$B$9)+1),ROW(D22)-ROW(A21)+1)),"")," ",IFERROR(INDEX(Накл!$C$9:$C$550,SMALL(IF(Накл!$B$9:$B$550=A21,ROW(Накл!$B$9:$B$550)-ROW(Накл!$B$9)+1),ROW(D23)-ROW(A21)+1)),"")," ",IFERROR(INDEX(Накл!$C$9:$C$550,SMALL(IF(Накл!$B$9:$B$550=A21,ROW(Накл!$B$9:$B$550)-ROW(Накл!$B$9)+1),ROW(D24)-ROW(A21)+1)),"")," ",IFERROR(INDEX(Накл!$C$9:$C$550,SMALL(IF(Накл!$B$9:$B$550=A21,ROW(Накл!$B$9:$B$550)-ROW(Накл!$B$9)+1),ROW(D25)-ROW(A21)+1)),"")," ",IFERROR(INDEX(Накл!$C$9:$C$550,SMALL(IF(Накл!$B$9:$B$550=A21,ROW(Накл!$B$9:$B$550)-ROW(Накл!$B$9)+1),ROW(D26)-ROW(A21)+1)),"")," ",IFERROR(INDEX(Накл!$C$9:$C$550,SMALL(IF(Накл!$B$9:$B$550=A21,ROW(Накл!$B$9:$B$550)-ROW(Накл!$B$9)+1),ROW(D27)-ROW(A21)+1)),"")," ",IFERROR(INDEX(Накл!$C$9:$C$550,SMALL(IF(Накл!$B$9:$B$550=A21,ROW(Накл!$B$9:$B$550)-ROW(Накл!$B$9)+1),ROW(D28)-ROW(A21)+1)),"")," ",IFERROR(INDEX(Накл!$C$9:$C$550,SMALL(IF(Накл!$B$9:$B$550=A21,ROW(Накл!$B$9:$B$550)-ROW(Накл!$B$9)+1),ROW(D29)-ROW(A21)+1)),"")," ",IFERROR(INDEX(Накл!$C$9:$C$550,SMALL(IF(Накл!$B$9:$B$550=A21,ROW(Накл!$B$9:$B$550)-ROW(Накл!$B$9)+1),ROW(D30)-ROW(A21)+1)),""))</f>
        <v xml:space="preserve">62         </v>
      </c>
      <c r="E21" s="26" t="str">
        <f t="array" ref="E21">IF(LEN(D21)&lt;10,CONCATENATE(IFERROR(INDEX(Накл!$C$9:$C$550,SMALL(IF(Накл!$A$9:$A$550=VALUE(LEFT(A21,8)),ROW(Накл!$A$9:$A$550)-ROW(Накл!$A$9)+1),ROW(E21)-ROW(B21)+1)),"")," ",IFERROR(INDEX(Накл!$C$9:$C$550,SMALL(IF(Накл!$A$9:$A$550=VALUE(LEFT(A21,8)),ROW(Накл!$A$9:$A$550)-ROW(Накл!$A$9)+1),ROW(E22)-ROW(B21)+1)),"")," ",IFERROR(INDEX(Накл!$C$9:$C$550,SMALL(IF(Накл!$A$9:$A$550=VALUE(LEFT(A21,8)),ROW(Накл!$A$9:$A$550)-ROW(Накл!$A$9)+1),ROW(E23)-ROW(B21)+1)),"")," ",IFERROR(INDEX(Накл!$C$9:$C$550,SMALL(IF(Накл!$A$9:$A$550=VALUE(LEFT(A21,8)),ROW(Накл!$A$9:$A$550)-ROW(Накл!$A$9)+1),ROW(E24)-ROW(B21)+1)),"")),"")</f>
        <v/>
      </c>
      <c r="I21" s="11"/>
    </row>
    <row r="22" spans="1:9">
      <c r="A22" s="26" t="str">
        <f>IFERROR(CONCATENATE(VALUE(SUBSTITUTE(SUBSTITUTE(LEFT(Накл!G29,11),".",""),"-",""))," ",Накл!J29),"-")</f>
        <v>62901750 8</v>
      </c>
      <c r="B22" s="26" t="str">
        <f>IFERROR(VLOOKUP(VALUE(LEFT(A22,8)),Накл!$A$9:$D$550,4,0),"-")</f>
        <v>RM 760 Моющее средство 800г порошок Karcher 6.290-175 код : 000944</v>
      </c>
      <c r="C22" s="26">
        <f>Накл!J29</f>
        <v>8</v>
      </c>
      <c r="D22" s="33" t="str">
        <f t="array" ref="D22">CONCATENATE(IFERROR(INDEX(Накл!$C$9:$C$550,SMALL(IF(Накл!$B$9:$B$550=A22,ROW(Накл!$B$9:$B$550)-ROW(Накл!$B$9)+1),ROW(D22)-ROW(A22)+1)),"")," ",IFERROR(INDEX(Накл!$C$9:$C$550,SMALL(IF(Накл!$B$9:$B$550=A22,ROW(Накл!$B$9:$B$550)-ROW(Накл!$B$9)+1),ROW(D23)-ROW(A22)+1)),"")," ",IFERROR(INDEX(Накл!$C$9:$C$550,SMALL(IF(Накл!$B$9:$B$550=A22,ROW(Накл!$B$9:$B$550)-ROW(Накл!$B$9)+1),ROW(D24)-ROW(A22)+1)),"")," ",IFERROR(INDEX(Накл!$C$9:$C$550,SMALL(IF(Накл!$B$9:$B$550=A22,ROW(Накл!$B$9:$B$550)-ROW(Накл!$B$9)+1),ROW(D25)-ROW(A22)+1)),"")," ",IFERROR(INDEX(Накл!$C$9:$C$550,SMALL(IF(Накл!$B$9:$B$550=A22,ROW(Накл!$B$9:$B$550)-ROW(Накл!$B$9)+1),ROW(D26)-ROW(A22)+1)),"")," ",IFERROR(INDEX(Накл!$C$9:$C$550,SMALL(IF(Накл!$B$9:$B$550=A22,ROW(Накл!$B$9:$B$550)-ROW(Накл!$B$9)+1),ROW(D27)-ROW(A22)+1)),"")," ",IFERROR(INDEX(Накл!$C$9:$C$550,SMALL(IF(Накл!$B$9:$B$550=A22,ROW(Накл!$B$9:$B$550)-ROW(Накл!$B$9)+1),ROW(D28)-ROW(A22)+1)),"")," ",IFERROR(INDEX(Накл!$C$9:$C$550,SMALL(IF(Накл!$B$9:$B$550=A22,ROW(Накл!$B$9:$B$550)-ROW(Накл!$B$9)+1),ROW(D29)-ROW(A22)+1)),"")," ",IFERROR(INDEX(Накл!$C$9:$C$550,SMALL(IF(Накл!$B$9:$B$550=A22,ROW(Накл!$B$9:$B$550)-ROW(Накл!$B$9)+1),ROW(D30)-ROW(A22)+1)),"")," ",IFERROR(INDEX(Накл!$C$9:$C$550,SMALL(IF(Накл!$B$9:$B$550=A22,ROW(Накл!$B$9:$B$550)-ROW(Накл!$B$9)+1),ROW(D31)-ROW(A22)+1)),""))</f>
        <v xml:space="preserve">174         </v>
      </c>
      <c r="E22" s="26" t="str">
        <f t="array" ref="E22">IF(LEN(D22)&lt;10,CONCATENATE(IFERROR(INDEX(Накл!$C$9:$C$550,SMALL(IF(Накл!$A$9:$A$550=VALUE(LEFT(A22,8)),ROW(Накл!$A$9:$A$550)-ROW(Накл!$A$9)+1),ROW(E22)-ROW(B22)+1)),"")," ",IFERROR(INDEX(Накл!$C$9:$C$550,SMALL(IF(Накл!$A$9:$A$550=VALUE(LEFT(A22,8)),ROW(Накл!$A$9:$A$550)-ROW(Накл!$A$9)+1),ROW(E23)-ROW(B22)+1)),"")," ",IFERROR(INDEX(Накл!$C$9:$C$550,SMALL(IF(Накл!$A$9:$A$550=VALUE(LEFT(A22,8)),ROW(Накл!$A$9:$A$550)-ROW(Накл!$A$9)+1),ROW(E24)-ROW(B22)+1)),"")," ",IFERROR(INDEX(Накл!$C$9:$C$550,SMALL(IF(Накл!$A$9:$A$550=VALUE(LEFT(A22,8)),ROW(Накл!$A$9:$A$550)-ROW(Накл!$A$9)+1),ROW(E25)-ROW(B22)+1)),"")),"")</f>
        <v/>
      </c>
      <c r="I22" s="11"/>
    </row>
    <row r="23" spans="1:9">
      <c r="A23" s="26" t="str">
        <f>IFERROR(CONCATENATE(VALUE(SUBSTITUTE(SUBSTITUTE(LEFT(Накл!G30,11),".",""),"-",""))," ",Накл!J30),"-")</f>
        <v>26432330 2</v>
      </c>
      <c r="B23" s="26" t="str">
        <f>IFERROR(VLOOKUP(VALUE(LEFT(A23,8)),Накл!$A$9:$D$550,4,0),"-")</f>
        <v>Мягкая поперечная щетка (новая) (серия К) Karcher 2.643-233 код : 000655</v>
      </c>
      <c r="C23" s="26">
        <f>Накл!J30</f>
        <v>2</v>
      </c>
      <c r="D23" s="33" t="str">
        <f t="array" ref="D23">CONCATENATE(IFERROR(INDEX(Накл!$C$9:$C$550,SMALL(IF(Накл!$B$9:$B$550=A23,ROW(Накл!$B$9:$B$550)-ROW(Накл!$B$9)+1),ROW(D23)-ROW(A23)+1)),"")," ",IFERROR(INDEX(Накл!$C$9:$C$550,SMALL(IF(Накл!$B$9:$B$550=A23,ROW(Накл!$B$9:$B$550)-ROW(Накл!$B$9)+1),ROW(D24)-ROW(A23)+1)),"")," ",IFERROR(INDEX(Накл!$C$9:$C$550,SMALL(IF(Накл!$B$9:$B$550=A23,ROW(Накл!$B$9:$B$550)-ROW(Накл!$B$9)+1),ROW(D25)-ROW(A23)+1)),"")," ",IFERROR(INDEX(Накл!$C$9:$C$550,SMALL(IF(Накл!$B$9:$B$550=A23,ROW(Накл!$B$9:$B$550)-ROW(Накл!$B$9)+1),ROW(D26)-ROW(A23)+1)),"")," ",IFERROR(INDEX(Накл!$C$9:$C$550,SMALL(IF(Накл!$B$9:$B$550=A23,ROW(Накл!$B$9:$B$550)-ROW(Накл!$B$9)+1),ROW(D27)-ROW(A23)+1)),"")," ",IFERROR(INDEX(Накл!$C$9:$C$550,SMALL(IF(Накл!$B$9:$B$550=A23,ROW(Накл!$B$9:$B$550)-ROW(Накл!$B$9)+1),ROW(D28)-ROW(A23)+1)),"")," ",IFERROR(INDEX(Накл!$C$9:$C$550,SMALL(IF(Накл!$B$9:$B$550=A23,ROW(Накл!$B$9:$B$550)-ROW(Накл!$B$9)+1),ROW(D29)-ROW(A23)+1)),"")," ",IFERROR(INDEX(Накл!$C$9:$C$550,SMALL(IF(Накл!$B$9:$B$550=A23,ROW(Накл!$B$9:$B$550)-ROW(Накл!$B$9)+1),ROW(D30)-ROW(A23)+1)),"")," ",IFERROR(INDEX(Накл!$C$9:$C$550,SMALL(IF(Накл!$B$9:$B$550=A23,ROW(Накл!$B$9:$B$550)-ROW(Накл!$B$9)+1),ROW(D31)-ROW(A23)+1)),"")," ",IFERROR(INDEX(Накл!$C$9:$C$550,SMALL(IF(Накл!$B$9:$B$550=A23,ROW(Накл!$B$9:$B$550)-ROW(Накл!$B$9)+1),ROW(D32)-ROW(A23)+1)),""))</f>
        <v xml:space="preserve">141         </v>
      </c>
      <c r="E23" s="26" t="str">
        <f t="array" ref="E23">IF(LEN(D23)&lt;10,CONCATENATE(IFERROR(INDEX(Накл!$C$9:$C$550,SMALL(IF(Накл!$A$9:$A$550=VALUE(LEFT(A23,8)),ROW(Накл!$A$9:$A$550)-ROW(Накл!$A$9)+1),ROW(E23)-ROW(B23)+1)),"")," ",IFERROR(INDEX(Накл!$C$9:$C$550,SMALL(IF(Накл!$A$9:$A$550=VALUE(LEFT(A23,8)),ROW(Накл!$A$9:$A$550)-ROW(Накл!$A$9)+1),ROW(E24)-ROW(B23)+1)),"")," ",IFERROR(INDEX(Накл!$C$9:$C$550,SMALL(IF(Накл!$A$9:$A$550=VALUE(LEFT(A23,8)),ROW(Накл!$A$9:$A$550)-ROW(Накл!$A$9)+1),ROW(E25)-ROW(B23)+1)),"")," ",IFERROR(INDEX(Накл!$C$9:$C$550,SMALL(IF(Накл!$A$9:$A$550=VALUE(LEFT(A23,8)),ROW(Накл!$A$9:$A$550)-ROW(Накл!$A$9)+1),ROW(E26)-ROW(B23)+1)),"")),"")</f>
        <v/>
      </c>
      <c r="I23" s="11"/>
    </row>
    <row r="24" spans="1:9">
      <c r="A24" s="26" t="str">
        <f>IFERROR(CONCATENATE(VALUE(SUBSTITUTE(SUBSTITUTE(LEFT(Накл!G31,11),".",""),"-",""))," ",Накл!J31),"-")</f>
        <v>28633190 2</v>
      </c>
      <c r="B24" s="26" t="str">
        <f>IFERROR(VLOOKUP(VALUE(LEFT(A24,8)),Накл!$A$9:$D$550,4,0),"-")</f>
        <v>Входной воздушный фильтр VC 4,6,7 Karcher 2.863-319 код : 000606</v>
      </c>
      <c r="C24" s="26">
        <f>Накл!J31</f>
        <v>2</v>
      </c>
      <c r="D24" s="33" t="str">
        <f t="array" ref="D24">CONCATENATE(IFERROR(INDEX(Накл!$C$9:$C$550,SMALL(IF(Накл!$B$9:$B$550=A24,ROW(Накл!$B$9:$B$550)-ROW(Накл!$B$9)+1),ROW(D24)-ROW(A24)+1)),"")," ",IFERROR(INDEX(Накл!$C$9:$C$550,SMALL(IF(Накл!$B$9:$B$550=A24,ROW(Накл!$B$9:$B$550)-ROW(Накл!$B$9)+1),ROW(D25)-ROW(A24)+1)),"")," ",IFERROR(INDEX(Накл!$C$9:$C$550,SMALL(IF(Накл!$B$9:$B$550=A24,ROW(Накл!$B$9:$B$550)-ROW(Накл!$B$9)+1),ROW(D26)-ROW(A24)+1)),"")," ",IFERROR(INDEX(Накл!$C$9:$C$550,SMALL(IF(Накл!$B$9:$B$550=A24,ROW(Накл!$B$9:$B$550)-ROW(Накл!$B$9)+1),ROW(D27)-ROW(A24)+1)),"")," ",IFERROR(INDEX(Накл!$C$9:$C$550,SMALL(IF(Накл!$B$9:$B$550=A24,ROW(Накл!$B$9:$B$550)-ROW(Накл!$B$9)+1),ROW(D28)-ROW(A24)+1)),"")," ",IFERROR(INDEX(Накл!$C$9:$C$550,SMALL(IF(Накл!$B$9:$B$550=A24,ROW(Накл!$B$9:$B$550)-ROW(Накл!$B$9)+1),ROW(D29)-ROW(A24)+1)),"")," ",IFERROR(INDEX(Накл!$C$9:$C$550,SMALL(IF(Накл!$B$9:$B$550=A24,ROW(Накл!$B$9:$B$550)-ROW(Накл!$B$9)+1),ROW(D30)-ROW(A24)+1)),"")," ",IFERROR(INDEX(Накл!$C$9:$C$550,SMALL(IF(Накл!$B$9:$B$550=A24,ROW(Накл!$B$9:$B$550)-ROW(Накл!$B$9)+1),ROW(D31)-ROW(A24)+1)),"")," ",IFERROR(INDEX(Накл!$C$9:$C$550,SMALL(IF(Накл!$B$9:$B$550=A24,ROW(Накл!$B$9:$B$550)-ROW(Накл!$B$9)+1),ROW(D32)-ROW(A24)+1)),"")," ",IFERROR(INDEX(Накл!$C$9:$C$550,SMALL(IF(Накл!$B$9:$B$550=A24,ROW(Накл!$B$9:$B$550)-ROW(Накл!$B$9)+1),ROW(D33)-ROW(A24)+1)),""))</f>
        <v xml:space="preserve">20         </v>
      </c>
      <c r="E24" s="26" t="str">
        <f t="array" ref="E24">IF(LEN(D24)&lt;10,CONCATENATE(IFERROR(INDEX(Накл!$C$9:$C$550,SMALL(IF(Накл!$A$9:$A$550=VALUE(LEFT(A24,8)),ROW(Накл!$A$9:$A$550)-ROW(Накл!$A$9)+1),ROW(E24)-ROW(B24)+1)),"")," ",IFERROR(INDEX(Накл!$C$9:$C$550,SMALL(IF(Накл!$A$9:$A$550=VALUE(LEFT(A24,8)),ROW(Накл!$A$9:$A$550)-ROW(Накл!$A$9)+1),ROW(E25)-ROW(B24)+1)),"")," ",IFERROR(INDEX(Накл!$C$9:$C$550,SMALL(IF(Накл!$A$9:$A$550=VALUE(LEFT(A24,8)),ROW(Накл!$A$9:$A$550)-ROW(Накл!$A$9)+1),ROW(E26)-ROW(B24)+1)),"")," ",IFERROR(INDEX(Накл!$C$9:$C$550,SMALL(IF(Накл!$A$9:$A$550=VALUE(LEFT(A24,8)),ROW(Накл!$A$9:$A$550)-ROW(Накл!$A$9)+1),ROW(E27)-ROW(B24)+1)),"")),"")</f>
        <v/>
      </c>
      <c r="I24" s="11"/>
    </row>
    <row r="25" spans="1:9">
      <c r="A25" s="26" t="str">
        <f>IFERROR(CONCATENATE(VALUE(SUBSTITUTE(SUBSTITUTE(LEFT(Накл!G32,11),".",""),"-",""))," ",Накл!J32),"-")</f>
        <v>63660390 1</v>
      </c>
      <c r="B25" s="26" t="str">
        <f>IFERROR(VLOOKUP(VALUE(LEFT(A25,8)),Накл!$A$9:$D$550,4,0),"-")</f>
        <v>6366039 Уплотнительный шнур Karcher код : 005208</v>
      </c>
      <c r="C25" s="26">
        <f>Накл!J32</f>
        <v>1</v>
      </c>
      <c r="D25" s="33" t="str">
        <f t="array" ref="D25">CONCATENATE(IFERROR(INDEX(Накл!$C$9:$C$550,SMALL(IF(Накл!$B$9:$B$550=A25,ROW(Накл!$B$9:$B$550)-ROW(Накл!$B$9)+1),ROW(D25)-ROW(A25)+1)),"")," ",IFERROR(INDEX(Накл!$C$9:$C$550,SMALL(IF(Накл!$B$9:$B$550=A25,ROW(Накл!$B$9:$B$550)-ROW(Накл!$B$9)+1),ROW(D26)-ROW(A25)+1)),"")," ",IFERROR(INDEX(Накл!$C$9:$C$550,SMALL(IF(Накл!$B$9:$B$550=A25,ROW(Накл!$B$9:$B$550)-ROW(Накл!$B$9)+1),ROW(D27)-ROW(A25)+1)),"")," ",IFERROR(INDEX(Накл!$C$9:$C$550,SMALL(IF(Накл!$B$9:$B$550=A25,ROW(Накл!$B$9:$B$550)-ROW(Накл!$B$9)+1),ROW(D28)-ROW(A25)+1)),"")," ",IFERROR(INDEX(Накл!$C$9:$C$550,SMALL(IF(Накл!$B$9:$B$550=A25,ROW(Накл!$B$9:$B$550)-ROW(Накл!$B$9)+1),ROW(D29)-ROW(A25)+1)),"")," ",IFERROR(INDEX(Накл!$C$9:$C$550,SMALL(IF(Накл!$B$9:$B$550=A25,ROW(Накл!$B$9:$B$550)-ROW(Накл!$B$9)+1),ROW(D30)-ROW(A25)+1)),"")," ",IFERROR(INDEX(Накл!$C$9:$C$550,SMALL(IF(Накл!$B$9:$B$550=A25,ROW(Накл!$B$9:$B$550)-ROW(Накл!$B$9)+1),ROW(D31)-ROW(A25)+1)),"")," ",IFERROR(INDEX(Накл!$C$9:$C$550,SMALL(IF(Накл!$B$9:$B$550=A25,ROW(Накл!$B$9:$B$550)-ROW(Накл!$B$9)+1),ROW(D32)-ROW(A25)+1)),"")," ",IFERROR(INDEX(Накл!$C$9:$C$550,SMALL(IF(Накл!$B$9:$B$550=A25,ROW(Накл!$B$9:$B$550)-ROW(Накл!$B$9)+1),ROW(D33)-ROW(A25)+1)),"")," ",IFERROR(INDEX(Накл!$C$9:$C$550,SMALL(IF(Накл!$B$9:$B$550=A25,ROW(Накл!$B$9:$B$550)-ROW(Накл!$B$9)+1),ROW(D34)-ROW(A25)+1)),""))</f>
        <v xml:space="preserve">63 183        </v>
      </c>
      <c r="E25" s="26" t="str">
        <f t="array" ref="E25">IF(LEN(D25)&lt;10,CONCATENATE(IFERROR(INDEX(Накл!$C$9:$C$550,SMALL(IF(Накл!$A$9:$A$550=VALUE(LEFT(A25,8)),ROW(Накл!$A$9:$A$550)-ROW(Накл!$A$9)+1),ROW(E25)-ROW(B25)+1)),"")," ",IFERROR(INDEX(Накл!$C$9:$C$550,SMALL(IF(Накл!$A$9:$A$550=VALUE(LEFT(A25,8)),ROW(Накл!$A$9:$A$550)-ROW(Накл!$A$9)+1),ROW(E26)-ROW(B25)+1)),"")," ",IFERROR(INDEX(Накл!$C$9:$C$550,SMALL(IF(Накл!$A$9:$A$550=VALUE(LEFT(A25,8)),ROW(Накл!$A$9:$A$550)-ROW(Накл!$A$9)+1),ROW(E27)-ROW(B25)+1)),"")," ",IFERROR(INDEX(Накл!$C$9:$C$550,SMALL(IF(Накл!$A$9:$A$550=VALUE(LEFT(A25,8)),ROW(Накл!$A$9:$A$550)-ROW(Накл!$A$9)+1),ROW(E28)-ROW(B25)+1)),"")),"")</f>
        <v/>
      </c>
      <c r="I25" s="11"/>
    </row>
    <row r="26" spans="1:9">
      <c r="A26" s="26" t="str">
        <f>IFERROR(CONCATENATE(VALUE(SUBSTITUTE(SUBSTITUTE(LEFT(Накл!G33,11),".",""),"-",""))," ",Накл!J33),"-")</f>
        <v>63431680 1</v>
      </c>
      <c r="B26" s="26" t="str">
        <f>IFERROR(VLOOKUP(VALUE(LEFT(A26,8)),Накл!$A$9:$D$550,4,0),"-")</f>
        <v>Стопорная шайба Karcher 6.343-168 код : 030201</v>
      </c>
      <c r="C26" s="26">
        <f>Накл!J33</f>
        <v>1</v>
      </c>
      <c r="D26" s="33" t="str">
        <f t="array" ref="D26">CONCATENATE(IFERROR(INDEX(Накл!$C$9:$C$550,SMALL(IF(Накл!$B$9:$B$550=A26,ROW(Накл!$B$9:$B$550)-ROW(Накл!$B$9)+1),ROW(D26)-ROW(A26)+1)),"")," ",IFERROR(INDEX(Накл!$C$9:$C$550,SMALL(IF(Накл!$B$9:$B$550=A26,ROW(Накл!$B$9:$B$550)-ROW(Накл!$B$9)+1),ROW(D27)-ROW(A26)+1)),"")," ",IFERROR(INDEX(Накл!$C$9:$C$550,SMALL(IF(Накл!$B$9:$B$550=A26,ROW(Накл!$B$9:$B$550)-ROW(Накл!$B$9)+1),ROW(D28)-ROW(A26)+1)),"")," ",IFERROR(INDEX(Накл!$C$9:$C$550,SMALL(IF(Накл!$B$9:$B$550=A26,ROW(Накл!$B$9:$B$550)-ROW(Накл!$B$9)+1),ROW(D29)-ROW(A26)+1)),"")," ",IFERROR(INDEX(Накл!$C$9:$C$550,SMALL(IF(Накл!$B$9:$B$550=A26,ROW(Накл!$B$9:$B$550)-ROW(Накл!$B$9)+1),ROW(D30)-ROW(A26)+1)),"")," ",IFERROR(INDEX(Накл!$C$9:$C$550,SMALL(IF(Накл!$B$9:$B$550=A26,ROW(Накл!$B$9:$B$550)-ROW(Накл!$B$9)+1),ROW(D31)-ROW(A26)+1)),"")," ",IFERROR(INDEX(Накл!$C$9:$C$550,SMALL(IF(Накл!$B$9:$B$550=A26,ROW(Накл!$B$9:$B$550)-ROW(Накл!$B$9)+1),ROW(D32)-ROW(A26)+1)),"")," ",IFERROR(INDEX(Накл!$C$9:$C$550,SMALL(IF(Накл!$B$9:$B$550=A26,ROW(Накл!$B$9:$B$550)-ROW(Накл!$B$9)+1),ROW(D33)-ROW(A26)+1)),"")," ",IFERROR(INDEX(Накл!$C$9:$C$550,SMALL(IF(Накл!$B$9:$B$550=A26,ROW(Накл!$B$9:$B$550)-ROW(Накл!$B$9)+1),ROW(D34)-ROW(A26)+1)),"")," ",IFERROR(INDEX(Накл!$C$9:$C$550,SMALL(IF(Накл!$B$9:$B$550=A26,ROW(Накл!$B$9:$B$550)-ROW(Накл!$B$9)+1),ROW(D35)-ROW(A26)+1)),""))</f>
        <v xml:space="preserve">176         </v>
      </c>
      <c r="E26" s="26" t="str">
        <f t="array" ref="E26">IF(LEN(D26)&lt;10,CONCATENATE(IFERROR(INDEX(Накл!$C$9:$C$550,SMALL(IF(Накл!$A$9:$A$550=VALUE(LEFT(A26,8)),ROW(Накл!$A$9:$A$550)-ROW(Накл!$A$9)+1),ROW(E26)-ROW(B26)+1)),"")," ",IFERROR(INDEX(Накл!$C$9:$C$550,SMALL(IF(Накл!$A$9:$A$550=VALUE(LEFT(A26,8)),ROW(Накл!$A$9:$A$550)-ROW(Накл!$A$9)+1),ROW(E27)-ROW(B26)+1)),"")," ",IFERROR(INDEX(Накл!$C$9:$C$550,SMALL(IF(Накл!$A$9:$A$550=VALUE(LEFT(A26,8)),ROW(Накл!$A$9:$A$550)-ROW(Накл!$A$9)+1),ROW(E28)-ROW(B26)+1)),"")," ",IFERROR(INDEX(Накл!$C$9:$C$550,SMALL(IF(Накл!$A$9:$A$550=VALUE(LEFT(A26,8)),ROW(Накл!$A$9:$A$550)-ROW(Накл!$A$9)+1),ROW(E29)-ROW(B26)+1)),"")),"")</f>
        <v/>
      </c>
      <c r="I26" s="11"/>
    </row>
    <row r="27" spans="1:9">
      <c r="A27" s="26" t="str">
        <f>IFERROR(CONCATENATE(VALUE(SUBSTITUTE(SUBSTITUTE(LEFT(Накл!G34,11),".",""),"-",""))," ",Накл!J34),"-")</f>
        <v>24450650 2</v>
      </c>
      <c r="B27" s="26" t="str">
        <f>IFERROR(VLOOKUP(VALUE(LEFT(A27,8)),Накл!$A$9:$D$550,4,0),"-")</f>
        <v>Комплект Battery Power 36/50 DW *EU Karcher 2.445-065 код : 000255</v>
      </c>
      <c r="C27" s="26">
        <f>Накл!J34</f>
        <v>2</v>
      </c>
      <c r="D27" s="33" t="str">
        <f t="array" ref="D27">CONCATENATE(IFERROR(INDEX(Накл!$C$9:$C$550,SMALL(IF(Накл!$B$9:$B$550=A27,ROW(Накл!$B$9:$B$550)-ROW(Накл!$B$9)+1),ROW(D27)-ROW(A27)+1)),"")," ",IFERROR(INDEX(Накл!$C$9:$C$550,SMALL(IF(Накл!$B$9:$B$550=A27,ROW(Накл!$B$9:$B$550)-ROW(Накл!$B$9)+1),ROW(D28)-ROW(A27)+1)),"")," ",IFERROR(INDEX(Накл!$C$9:$C$550,SMALL(IF(Накл!$B$9:$B$550=A27,ROW(Накл!$B$9:$B$550)-ROW(Накл!$B$9)+1),ROW(D29)-ROW(A27)+1)),"")," ",IFERROR(INDEX(Накл!$C$9:$C$550,SMALL(IF(Накл!$B$9:$B$550=A27,ROW(Накл!$B$9:$B$550)-ROW(Накл!$B$9)+1),ROW(D30)-ROW(A27)+1)),"")," ",IFERROR(INDEX(Накл!$C$9:$C$550,SMALL(IF(Накл!$B$9:$B$550=A27,ROW(Накл!$B$9:$B$550)-ROW(Накл!$B$9)+1),ROW(D31)-ROW(A27)+1)),"")," ",IFERROR(INDEX(Накл!$C$9:$C$550,SMALL(IF(Накл!$B$9:$B$550=A27,ROW(Накл!$B$9:$B$550)-ROW(Накл!$B$9)+1),ROW(D32)-ROW(A27)+1)),"")," ",IFERROR(INDEX(Накл!$C$9:$C$550,SMALL(IF(Накл!$B$9:$B$550=A27,ROW(Накл!$B$9:$B$550)-ROW(Накл!$B$9)+1),ROW(D33)-ROW(A27)+1)),"")," ",IFERROR(INDEX(Накл!$C$9:$C$550,SMALL(IF(Накл!$B$9:$B$550=A27,ROW(Накл!$B$9:$B$550)-ROW(Накл!$B$9)+1),ROW(D34)-ROW(A27)+1)),"")," ",IFERROR(INDEX(Накл!$C$9:$C$550,SMALL(IF(Накл!$B$9:$B$550=A27,ROW(Накл!$B$9:$B$550)-ROW(Накл!$B$9)+1),ROW(D35)-ROW(A27)+1)),"")," ",IFERROR(INDEX(Накл!$C$9:$C$550,SMALL(IF(Накл!$B$9:$B$550=A27,ROW(Накл!$B$9:$B$550)-ROW(Накл!$B$9)+1),ROW(D36)-ROW(A27)+1)),""))</f>
        <v xml:space="preserve">136         </v>
      </c>
      <c r="E27" s="26" t="str">
        <f t="array" ref="E27">IF(LEN(D27)&lt;10,CONCATENATE(IFERROR(INDEX(Накл!$C$9:$C$550,SMALL(IF(Накл!$A$9:$A$550=VALUE(LEFT(A27,8)),ROW(Накл!$A$9:$A$550)-ROW(Накл!$A$9)+1),ROW(E27)-ROW(B27)+1)),"")," ",IFERROR(INDEX(Накл!$C$9:$C$550,SMALL(IF(Накл!$A$9:$A$550=VALUE(LEFT(A27,8)),ROW(Накл!$A$9:$A$550)-ROW(Накл!$A$9)+1),ROW(E28)-ROW(B27)+1)),"")," ",IFERROR(INDEX(Накл!$C$9:$C$550,SMALL(IF(Накл!$A$9:$A$550=VALUE(LEFT(A27,8)),ROW(Накл!$A$9:$A$550)-ROW(Накл!$A$9)+1),ROW(E29)-ROW(B27)+1)),"")," ",IFERROR(INDEX(Накл!$C$9:$C$550,SMALL(IF(Накл!$A$9:$A$550=VALUE(LEFT(A27,8)),ROW(Накл!$A$9:$A$550)-ROW(Накл!$A$9)+1),ROW(E30)-ROW(B27)+1)),"")),"")</f>
        <v/>
      </c>
      <c r="I27" s="11"/>
    </row>
    <row r="28" spans="1:9">
      <c r="A28" s="26" t="str">
        <f>IFERROR(CONCATENATE(VALUE(SUBSTITUTE(SUBSTITUTE(LEFT(Накл!G35,11),".",""),"-",""))," ",Накл!J35),"-")</f>
        <v>45801393 2</v>
      </c>
      <c r="B28" s="26" t="str">
        <f>IFERROR(VLOOKUP(VALUE(LEFT(A28,8)),Накл!$A$9:$D$550,4,0),"-")</f>
        <v>45801393 Пусковой клапан на замену Karcher (OLD 45800763) *3* код : 005067</v>
      </c>
      <c r="C28" s="26">
        <f>Накл!J35</f>
        <v>2</v>
      </c>
      <c r="D28" s="33" t="str">
        <f t="array" ref="D28">CONCATENATE(IFERROR(INDEX(Накл!$C$9:$C$550,SMALL(IF(Накл!$B$9:$B$550=A28,ROW(Накл!$B$9:$B$550)-ROW(Накл!$B$9)+1),ROW(D28)-ROW(A28)+1)),"")," ",IFERROR(INDEX(Накл!$C$9:$C$550,SMALL(IF(Накл!$B$9:$B$550=A28,ROW(Накл!$B$9:$B$550)-ROW(Накл!$B$9)+1),ROW(D29)-ROW(A28)+1)),"")," ",IFERROR(INDEX(Накл!$C$9:$C$550,SMALL(IF(Накл!$B$9:$B$550=A28,ROW(Накл!$B$9:$B$550)-ROW(Накл!$B$9)+1),ROW(D30)-ROW(A28)+1)),"")," ",IFERROR(INDEX(Накл!$C$9:$C$550,SMALL(IF(Накл!$B$9:$B$550=A28,ROW(Накл!$B$9:$B$550)-ROW(Накл!$B$9)+1),ROW(D31)-ROW(A28)+1)),"")," ",IFERROR(INDEX(Накл!$C$9:$C$550,SMALL(IF(Накл!$B$9:$B$550=A28,ROW(Накл!$B$9:$B$550)-ROW(Накл!$B$9)+1),ROW(D32)-ROW(A28)+1)),"")," ",IFERROR(INDEX(Накл!$C$9:$C$550,SMALL(IF(Накл!$B$9:$B$550=A28,ROW(Накл!$B$9:$B$550)-ROW(Накл!$B$9)+1),ROW(D33)-ROW(A28)+1)),"")," ",IFERROR(INDEX(Накл!$C$9:$C$550,SMALL(IF(Накл!$B$9:$B$550=A28,ROW(Накл!$B$9:$B$550)-ROW(Накл!$B$9)+1),ROW(D34)-ROW(A28)+1)),"")," ",IFERROR(INDEX(Накл!$C$9:$C$550,SMALL(IF(Накл!$B$9:$B$550=A28,ROW(Накл!$B$9:$B$550)-ROW(Накл!$B$9)+1),ROW(D35)-ROW(A28)+1)),"")," ",IFERROR(INDEX(Накл!$C$9:$C$550,SMALL(IF(Накл!$B$9:$B$550=A28,ROW(Накл!$B$9:$B$550)-ROW(Накл!$B$9)+1),ROW(D36)-ROW(A28)+1)),"")," ",IFERROR(INDEX(Накл!$C$9:$C$550,SMALL(IF(Накл!$B$9:$B$550=A28,ROW(Накл!$B$9:$B$550)-ROW(Накл!$B$9)+1),ROW(D37)-ROW(A28)+1)),""))</f>
        <v xml:space="preserve">         </v>
      </c>
      <c r="E28" s="26" t="str">
        <f t="array" ref="E28">IF(LEN(D28)&lt;10,CONCATENATE(IFERROR(INDEX(Накл!$C$9:$C$550,SMALL(IF(Накл!$A$9:$A$550=VALUE(LEFT(A28,8)),ROW(Накл!$A$9:$A$550)-ROW(Накл!$A$9)+1),ROW(E28)-ROW(B28)+1)),"")," ",IFERROR(INDEX(Накл!$C$9:$C$550,SMALL(IF(Накл!$A$9:$A$550=VALUE(LEFT(A28,8)),ROW(Накл!$A$9:$A$550)-ROW(Накл!$A$9)+1),ROW(E29)-ROW(B28)+1)),"")," ",IFERROR(INDEX(Накл!$C$9:$C$550,SMALL(IF(Накл!$A$9:$A$550=VALUE(LEFT(A28,8)),ROW(Накл!$A$9:$A$550)-ROW(Накл!$A$9)+1),ROW(E30)-ROW(B28)+1)),"")," ",IFERROR(INDEX(Накл!$C$9:$C$550,SMALL(IF(Накл!$A$9:$A$550=VALUE(LEFT(A28,8)),ROW(Накл!$A$9:$A$550)-ROW(Накл!$A$9)+1),ROW(E31)-ROW(B28)+1)),"")),"")</f>
        <v>11 12 34 154</v>
      </c>
      <c r="I28" s="11"/>
    </row>
    <row r="29" spans="1:9">
      <c r="A29" s="26" t="str">
        <f>IFERROR(CONCATENATE(VALUE(SUBSTITUTE(SUBSTITUTE(LEFT(Накл!G36,11),".",""),"-",""))," ",Накл!J36),"-")</f>
        <v>63660430 1</v>
      </c>
      <c r="B29" s="26" t="str">
        <f>IFERROR(VLOOKUP(VALUE(LEFT(A29,8)),Накл!$A$9:$D$550,4,0),"-")</f>
        <v>6366043 Уплотнительный профиль Karcher код : 030786</v>
      </c>
      <c r="C29" s="26">
        <f>Накл!J36</f>
        <v>1</v>
      </c>
      <c r="D29" s="33" t="str">
        <f t="array" ref="D29">CONCATENATE(IFERROR(INDEX(Накл!$C$9:$C$550,SMALL(IF(Накл!$B$9:$B$550=A29,ROW(Накл!$B$9:$B$550)-ROW(Накл!$B$9)+1),ROW(D29)-ROW(A29)+1)),"")," ",IFERROR(INDEX(Накл!$C$9:$C$550,SMALL(IF(Накл!$B$9:$B$550=A29,ROW(Накл!$B$9:$B$550)-ROW(Накл!$B$9)+1),ROW(D30)-ROW(A29)+1)),"")," ",IFERROR(INDEX(Накл!$C$9:$C$550,SMALL(IF(Накл!$B$9:$B$550=A29,ROW(Накл!$B$9:$B$550)-ROW(Накл!$B$9)+1),ROW(D31)-ROW(A29)+1)),"")," ",IFERROR(INDEX(Накл!$C$9:$C$550,SMALL(IF(Накл!$B$9:$B$550=A29,ROW(Накл!$B$9:$B$550)-ROW(Накл!$B$9)+1),ROW(D32)-ROW(A29)+1)),"")," ",IFERROR(INDEX(Накл!$C$9:$C$550,SMALL(IF(Накл!$B$9:$B$550=A29,ROW(Накл!$B$9:$B$550)-ROW(Накл!$B$9)+1),ROW(D33)-ROW(A29)+1)),"")," ",IFERROR(INDEX(Накл!$C$9:$C$550,SMALL(IF(Накл!$B$9:$B$550=A29,ROW(Накл!$B$9:$B$550)-ROW(Накл!$B$9)+1),ROW(D34)-ROW(A29)+1)),"")," ",IFERROR(INDEX(Накл!$C$9:$C$550,SMALL(IF(Накл!$B$9:$B$550=A29,ROW(Накл!$B$9:$B$550)-ROW(Накл!$B$9)+1),ROW(D35)-ROW(A29)+1)),"")," ",IFERROR(INDEX(Накл!$C$9:$C$550,SMALL(IF(Накл!$B$9:$B$550=A29,ROW(Накл!$B$9:$B$550)-ROW(Накл!$B$9)+1),ROW(D36)-ROW(A29)+1)),"")," ",IFERROR(INDEX(Накл!$C$9:$C$550,SMALL(IF(Накл!$B$9:$B$550=A29,ROW(Накл!$B$9:$B$550)-ROW(Накл!$B$9)+1),ROW(D37)-ROW(A29)+1)),"")," ",IFERROR(INDEX(Накл!$C$9:$C$550,SMALL(IF(Накл!$B$9:$B$550=A29,ROW(Накл!$B$9:$B$550)-ROW(Накл!$B$9)+1),ROW(D38)-ROW(A29)+1)),""))</f>
        <v xml:space="preserve">7         </v>
      </c>
      <c r="E29" s="26" t="str">
        <f t="array" ref="E29">IF(LEN(D29)&lt;10,CONCATENATE(IFERROR(INDEX(Накл!$C$9:$C$550,SMALL(IF(Накл!$A$9:$A$550=VALUE(LEFT(A29,8)),ROW(Накл!$A$9:$A$550)-ROW(Накл!$A$9)+1),ROW(E29)-ROW(B29)+1)),"")," ",IFERROR(INDEX(Накл!$C$9:$C$550,SMALL(IF(Накл!$A$9:$A$550=VALUE(LEFT(A29,8)),ROW(Накл!$A$9:$A$550)-ROW(Накл!$A$9)+1),ROW(E30)-ROW(B29)+1)),"")," ",IFERROR(INDEX(Накл!$C$9:$C$550,SMALL(IF(Накл!$A$9:$A$550=VALUE(LEFT(A29,8)),ROW(Накл!$A$9:$A$550)-ROW(Накл!$A$9)+1),ROW(E31)-ROW(B29)+1)),"")," ",IFERROR(INDEX(Накл!$C$9:$C$550,SMALL(IF(Накл!$A$9:$A$550=VALUE(LEFT(A29,8)),ROW(Накл!$A$9:$A$550)-ROW(Накл!$A$9)+1),ROW(E32)-ROW(B29)+1)),"")),"")</f>
        <v/>
      </c>
      <c r="I29" s="11"/>
    </row>
    <row r="30" spans="1:9">
      <c r="A30" s="26" t="str">
        <f>IFERROR(CONCATENATE(VALUE(SUBSTITUTE(SUBSTITUTE(LEFT(Накл!G37,11),".",""),"-",""))," ",Накл!J37),"-")</f>
        <v>97630070 1</v>
      </c>
      <c r="B30" s="26" t="str">
        <f>IFERROR(VLOOKUP(VALUE(LEFT(A30,8)),Накл!$A$9:$D$550,4,0),"-")</f>
        <v>Крышка для бака чистой воды Karcher 9.763-007 код : 030058</v>
      </c>
      <c r="C30" s="26">
        <f>Накл!J37</f>
        <v>1</v>
      </c>
      <c r="D30" s="33" t="str">
        <f t="array" ref="D30">CONCATENATE(IFERROR(INDEX(Накл!$C$9:$C$550,SMALL(IF(Накл!$B$9:$B$550=A30,ROW(Накл!$B$9:$B$550)-ROW(Накл!$B$9)+1),ROW(D30)-ROW(A30)+1)),"")," ",IFERROR(INDEX(Накл!$C$9:$C$550,SMALL(IF(Накл!$B$9:$B$550=A30,ROW(Накл!$B$9:$B$550)-ROW(Накл!$B$9)+1),ROW(D31)-ROW(A30)+1)),"")," ",IFERROR(INDEX(Накл!$C$9:$C$550,SMALL(IF(Накл!$B$9:$B$550=A30,ROW(Накл!$B$9:$B$550)-ROW(Накл!$B$9)+1),ROW(D32)-ROW(A30)+1)),"")," ",IFERROR(INDEX(Накл!$C$9:$C$550,SMALL(IF(Накл!$B$9:$B$550=A30,ROW(Накл!$B$9:$B$550)-ROW(Накл!$B$9)+1),ROW(D33)-ROW(A30)+1)),"")," ",IFERROR(INDEX(Накл!$C$9:$C$550,SMALL(IF(Накл!$B$9:$B$550=A30,ROW(Накл!$B$9:$B$550)-ROW(Накл!$B$9)+1),ROW(D34)-ROW(A30)+1)),"")," ",IFERROR(INDEX(Накл!$C$9:$C$550,SMALL(IF(Накл!$B$9:$B$550=A30,ROW(Накл!$B$9:$B$550)-ROW(Накл!$B$9)+1),ROW(D35)-ROW(A30)+1)),"")," ",IFERROR(INDEX(Накл!$C$9:$C$550,SMALL(IF(Накл!$B$9:$B$550=A30,ROW(Накл!$B$9:$B$550)-ROW(Накл!$B$9)+1),ROW(D36)-ROW(A30)+1)),"")," ",IFERROR(INDEX(Накл!$C$9:$C$550,SMALL(IF(Накл!$B$9:$B$550=A30,ROW(Накл!$B$9:$B$550)-ROW(Накл!$B$9)+1),ROW(D37)-ROW(A30)+1)),"")," ",IFERROR(INDEX(Накл!$C$9:$C$550,SMALL(IF(Накл!$B$9:$B$550=A30,ROW(Накл!$B$9:$B$550)-ROW(Накл!$B$9)+1),ROW(D38)-ROW(A30)+1)),"")," ",IFERROR(INDEX(Накл!$C$9:$C$550,SMALL(IF(Накл!$B$9:$B$550=A30,ROW(Накл!$B$9:$B$550)-ROW(Накл!$B$9)+1),ROW(D39)-ROW(A30)+1)),""))</f>
        <v xml:space="preserve">210         </v>
      </c>
      <c r="E30" s="26" t="str">
        <f t="array" ref="E30">IF(LEN(D30)&lt;10,CONCATENATE(IFERROR(INDEX(Накл!$C$9:$C$550,SMALL(IF(Накл!$A$9:$A$550=VALUE(LEFT(A30,8)),ROW(Накл!$A$9:$A$550)-ROW(Накл!$A$9)+1),ROW(E30)-ROW(B30)+1)),"")," ",IFERROR(INDEX(Накл!$C$9:$C$550,SMALL(IF(Накл!$A$9:$A$550=VALUE(LEFT(A30,8)),ROW(Накл!$A$9:$A$550)-ROW(Накл!$A$9)+1),ROW(E31)-ROW(B30)+1)),"")," ",IFERROR(INDEX(Накл!$C$9:$C$550,SMALL(IF(Накл!$A$9:$A$550=VALUE(LEFT(A30,8)),ROW(Накл!$A$9:$A$550)-ROW(Накл!$A$9)+1),ROW(E32)-ROW(B30)+1)),"")," ",IFERROR(INDEX(Накл!$C$9:$C$550,SMALL(IF(Накл!$A$9:$A$550=VALUE(LEFT(A30,8)),ROW(Накл!$A$9:$A$550)-ROW(Накл!$A$9)+1),ROW(E33)-ROW(B30)+1)),"")),"")</f>
        <v/>
      </c>
    </row>
    <row r="31" spans="1:9">
      <c r="A31" s="26" t="str">
        <f>IFERROR(CONCATENATE(VALUE(SUBSTITUTE(SUBSTITUTE(LEFT(Накл!G38,11),".",""),"-",""))," ",Накл!J38),"-")</f>
        <v>51163810 8</v>
      </c>
      <c r="B31" s="26" t="str">
        <f>IFERROR(VLOOKUP(VALUE(LEFT(A31,8)),Накл!$A$9:$D$550,4,0),"-")</f>
        <v>5116381 Поддерживающий диск Karcher *3* код : 005343</v>
      </c>
      <c r="C31" s="26">
        <f>Накл!J38</f>
        <v>8</v>
      </c>
      <c r="D31" s="33" t="str">
        <f t="array" ref="D31">CONCATENATE(IFERROR(INDEX(Накл!$C$9:$C$550,SMALL(IF(Накл!$B$9:$B$550=A31,ROW(Накл!$B$9:$B$550)-ROW(Накл!$B$9)+1),ROW(D31)-ROW(A31)+1)),"")," ",IFERROR(INDEX(Накл!$C$9:$C$550,SMALL(IF(Накл!$B$9:$B$550=A31,ROW(Накл!$B$9:$B$550)-ROW(Накл!$B$9)+1),ROW(D32)-ROW(A31)+1)),"")," ",IFERROR(INDEX(Накл!$C$9:$C$550,SMALL(IF(Накл!$B$9:$B$550=A31,ROW(Накл!$B$9:$B$550)-ROW(Накл!$B$9)+1),ROW(D33)-ROW(A31)+1)),"")," ",IFERROR(INDEX(Накл!$C$9:$C$550,SMALL(IF(Накл!$B$9:$B$550=A31,ROW(Накл!$B$9:$B$550)-ROW(Накл!$B$9)+1),ROW(D34)-ROW(A31)+1)),"")," ",IFERROR(INDEX(Накл!$C$9:$C$550,SMALL(IF(Накл!$B$9:$B$550=A31,ROW(Накл!$B$9:$B$550)-ROW(Накл!$B$9)+1),ROW(D35)-ROW(A31)+1)),"")," ",IFERROR(INDEX(Накл!$C$9:$C$550,SMALL(IF(Накл!$B$9:$B$550=A31,ROW(Накл!$B$9:$B$550)-ROW(Накл!$B$9)+1),ROW(D36)-ROW(A31)+1)),"")," ",IFERROR(INDEX(Накл!$C$9:$C$550,SMALL(IF(Накл!$B$9:$B$550=A31,ROW(Накл!$B$9:$B$550)-ROW(Накл!$B$9)+1),ROW(D37)-ROW(A31)+1)),"")," ",IFERROR(INDEX(Накл!$C$9:$C$550,SMALL(IF(Накл!$B$9:$B$550=A31,ROW(Накл!$B$9:$B$550)-ROW(Накл!$B$9)+1),ROW(D38)-ROW(A31)+1)),"")," ",IFERROR(INDEX(Накл!$C$9:$C$550,SMALL(IF(Накл!$B$9:$B$550=A31,ROW(Накл!$B$9:$B$550)-ROW(Накл!$B$9)+1),ROW(D39)-ROW(A31)+1)),"")," ",IFERROR(INDEX(Накл!$C$9:$C$550,SMALL(IF(Накл!$B$9:$B$550=A31,ROW(Накл!$B$9:$B$550)-ROW(Накл!$B$9)+1),ROW(D40)-ROW(A31)+1)),""))</f>
        <v xml:space="preserve">         </v>
      </c>
      <c r="E31" s="26" t="str">
        <f t="array" ref="E31">IF(LEN(D31)&lt;10,CONCATENATE(IFERROR(INDEX(Накл!$C$9:$C$550,SMALL(IF(Накл!$A$9:$A$550=VALUE(LEFT(A31,8)),ROW(Накл!$A$9:$A$550)-ROW(Накл!$A$9)+1),ROW(E31)-ROW(B31)+1)),"")," ",IFERROR(INDEX(Накл!$C$9:$C$550,SMALL(IF(Накл!$A$9:$A$550=VALUE(LEFT(A31,8)),ROW(Накл!$A$9:$A$550)-ROW(Накл!$A$9)+1),ROW(E32)-ROW(B31)+1)),"")," ",IFERROR(INDEX(Накл!$C$9:$C$550,SMALL(IF(Накл!$A$9:$A$550=VALUE(LEFT(A31,8)),ROW(Накл!$A$9:$A$550)-ROW(Накл!$A$9)+1),ROW(E33)-ROW(B31)+1)),"")," ",IFERROR(INDEX(Накл!$C$9:$C$550,SMALL(IF(Накл!$A$9:$A$550=VALUE(LEFT(A31,8)),ROW(Накл!$A$9:$A$550)-ROW(Накл!$A$9)+1),ROW(E34)-ROW(B31)+1)),"")),"")</f>
        <v xml:space="preserve">168   </v>
      </c>
    </row>
    <row r="32" spans="1:9">
      <c r="A32" s="26" t="str">
        <f>IFERROR(CONCATENATE(VALUE(SUBSTITUTE(SUBSTITUTE(LEFT(Накл!G39,11),".",""),"-",""))," ",Накл!J39),"-")</f>
        <v>51163810 22</v>
      </c>
      <c r="B32" s="26" t="str">
        <f>IFERROR(VLOOKUP(VALUE(LEFT(A32,8)),Накл!$A$9:$D$550,4,0),"-")</f>
        <v>5116381 Поддерживающий диск Karcher *3* код : 005343</v>
      </c>
      <c r="C32" s="26">
        <f>Накл!J39</f>
        <v>22</v>
      </c>
      <c r="D32" s="33" t="str">
        <f t="array" ref="D32">CONCATENATE(IFERROR(INDEX(Накл!$C$9:$C$550,SMALL(IF(Накл!$B$9:$B$550=A32,ROW(Накл!$B$9:$B$550)-ROW(Накл!$B$9)+1),ROW(D32)-ROW(A32)+1)),"")," ",IFERROR(INDEX(Накл!$C$9:$C$550,SMALL(IF(Накл!$B$9:$B$550=A32,ROW(Накл!$B$9:$B$550)-ROW(Накл!$B$9)+1),ROW(D33)-ROW(A32)+1)),"")," ",IFERROR(INDEX(Накл!$C$9:$C$550,SMALL(IF(Накл!$B$9:$B$550=A32,ROW(Накл!$B$9:$B$550)-ROW(Накл!$B$9)+1),ROW(D34)-ROW(A32)+1)),"")," ",IFERROR(INDEX(Накл!$C$9:$C$550,SMALL(IF(Накл!$B$9:$B$550=A32,ROW(Накл!$B$9:$B$550)-ROW(Накл!$B$9)+1),ROW(D35)-ROW(A32)+1)),"")," ",IFERROR(INDEX(Накл!$C$9:$C$550,SMALL(IF(Накл!$B$9:$B$550=A32,ROW(Накл!$B$9:$B$550)-ROW(Накл!$B$9)+1),ROW(D36)-ROW(A32)+1)),"")," ",IFERROR(INDEX(Накл!$C$9:$C$550,SMALL(IF(Накл!$B$9:$B$550=A32,ROW(Накл!$B$9:$B$550)-ROW(Накл!$B$9)+1),ROW(D37)-ROW(A32)+1)),"")," ",IFERROR(INDEX(Накл!$C$9:$C$550,SMALL(IF(Накл!$B$9:$B$550=A32,ROW(Накл!$B$9:$B$550)-ROW(Накл!$B$9)+1),ROW(D38)-ROW(A32)+1)),"")," ",IFERROR(INDEX(Накл!$C$9:$C$550,SMALL(IF(Накл!$B$9:$B$550=A32,ROW(Накл!$B$9:$B$550)-ROW(Накл!$B$9)+1),ROW(D39)-ROW(A32)+1)),"")," ",IFERROR(INDEX(Накл!$C$9:$C$550,SMALL(IF(Накл!$B$9:$B$550=A32,ROW(Накл!$B$9:$B$550)-ROW(Накл!$B$9)+1),ROW(D40)-ROW(A32)+1)),"")," ",IFERROR(INDEX(Накл!$C$9:$C$550,SMALL(IF(Накл!$B$9:$B$550=A32,ROW(Накл!$B$9:$B$550)-ROW(Накл!$B$9)+1),ROW(D41)-ROW(A32)+1)),""))</f>
        <v xml:space="preserve">         </v>
      </c>
      <c r="E32" s="26" t="str">
        <f t="array" ref="E32">IF(LEN(D32)&lt;10,CONCATENATE(IFERROR(INDEX(Накл!$C$9:$C$550,SMALL(IF(Накл!$A$9:$A$550=VALUE(LEFT(A32,8)),ROW(Накл!$A$9:$A$550)-ROW(Накл!$A$9)+1),ROW(E32)-ROW(B32)+1)),"")," ",IFERROR(INDEX(Накл!$C$9:$C$550,SMALL(IF(Накл!$A$9:$A$550=VALUE(LEFT(A32,8)),ROW(Накл!$A$9:$A$550)-ROW(Накл!$A$9)+1),ROW(E33)-ROW(B32)+1)),"")," ",IFERROR(INDEX(Накл!$C$9:$C$550,SMALL(IF(Накл!$A$9:$A$550=VALUE(LEFT(A32,8)),ROW(Накл!$A$9:$A$550)-ROW(Накл!$A$9)+1),ROW(E34)-ROW(B32)+1)),"")," ",IFERROR(INDEX(Накл!$C$9:$C$550,SMALL(IF(Накл!$A$9:$A$550=VALUE(LEFT(A32,8)),ROW(Накл!$A$9:$A$550)-ROW(Накл!$A$9)+1),ROW(E35)-ROW(B32)+1)),"")),"")</f>
        <v xml:space="preserve">168   </v>
      </c>
    </row>
    <row r="33" spans="1:5">
      <c r="A33" s="26" t="str">
        <f>IFERROR(CONCATENATE(VALUE(SUBSTITUTE(SUBSTITUTE(LEFT(Накл!G40,11),".",""),"-",""))," ",Накл!J40),"-")</f>
        <v>47623920 2</v>
      </c>
      <c r="B33" s="26" t="str">
        <f>IFERROR(VLOOKUP(VALUE(LEFT(A33,8)),Накл!$A$9:$D$550,4,0),"-")</f>
        <v>4762392 Цилиндрическая щетка в сборе красная BR Karcher код : 030801</v>
      </c>
      <c r="C33" s="26">
        <f>Накл!J40</f>
        <v>2</v>
      </c>
      <c r="D33" s="33" t="str">
        <f t="array" ref="D33">CONCATENATE(IFERROR(INDEX(Накл!$C$9:$C$550,SMALL(IF(Накл!$B$9:$B$550=A33,ROW(Накл!$B$9:$B$550)-ROW(Накл!$B$9)+1),ROW(D33)-ROW(A33)+1)),"")," ",IFERROR(INDEX(Накл!$C$9:$C$550,SMALL(IF(Накл!$B$9:$B$550=A33,ROW(Накл!$B$9:$B$550)-ROW(Накл!$B$9)+1),ROW(D34)-ROW(A33)+1)),"")," ",IFERROR(INDEX(Накл!$C$9:$C$550,SMALL(IF(Накл!$B$9:$B$550=A33,ROW(Накл!$B$9:$B$550)-ROW(Накл!$B$9)+1),ROW(D35)-ROW(A33)+1)),"")," ",IFERROR(INDEX(Накл!$C$9:$C$550,SMALL(IF(Накл!$B$9:$B$550=A33,ROW(Накл!$B$9:$B$550)-ROW(Накл!$B$9)+1),ROW(D36)-ROW(A33)+1)),"")," ",IFERROR(INDEX(Накл!$C$9:$C$550,SMALL(IF(Накл!$B$9:$B$550=A33,ROW(Накл!$B$9:$B$550)-ROW(Накл!$B$9)+1),ROW(D37)-ROW(A33)+1)),"")," ",IFERROR(INDEX(Накл!$C$9:$C$550,SMALL(IF(Накл!$B$9:$B$550=A33,ROW(Накл!$B$9:$B$550)-ROW(Накл!$B$9)+1),ROW(D38)-ROW(A33)+1)),"")," ",IFERROR(INDEX(Накл!$C$9:$C$550,SMALL(IF(Накл!$B$9:$B$550=A33,ROW(Накл!$B$9:$B$550)-ROW(Накл!$B$9)+1),ROW(D39)-ROW(A33)+1)),"")," ",IFERROR(INDEX(Накл!$C$9:$C$550,SMALL(IF(Накл!$B$9:$B$550=A33,ROW(Накл!$B$9:$B$550)-ROW(Накл!$B$9)+1),ROW(D40)-ROW(A33)+1)),"")," ",IFERROR(INDEX(Накл!$C$9:$C$550,SMALL(IF(Накл!$B$9:$B$550=A33,ROW(Накл!$B$9:$B$550)-ROW(Накл!$B$9)+1),ROW(D41)-ROW(A33)+1)),"")," ",IFERROR(INDEX(Накл!$C$9:$C$550,SMALL(IF(Накл!$B$9:$B$550=A33,ROW(Накл!$B$9:$B$550)-ROW(Накл!$B$9)+1),ROW(D42)-ROW(A33)+1)),""))</f>
        <v xml:space="preserve">161         </v>
      </c>
      <c r="E33" s="26" t="str">
        <f t="array" ref="E33">IF(LEN(D33)&lt;10,CONCATENATE(IFERROR(INDEX(Накл!$C$9:$C$550,SMALL(IF(Накл!$A$9:$A$550=VALUE(LEFT(A33,8)),ROW(Накл!$A$9:$A$550)-ROW(Накл!$A$9)+1),ROW(E33)-ROW(B33)+1)),"")," ",IFERROR(INDEX(Накл!$C$9:$C$550,SMALL(IF(Накл!$A$9:$A$550=VALUE(LEFT(A33,8)),ROW(Накл!$A$9:$A$550)-ROW(Накл!$A$9)+1),ROW(E34)-ROW(B33)+1)),"")," ",IFERROR(INDEX(Накл!$C$9:$C$550,SMALL(IF(Накл!$A$9:$A$550=VALUE(LEFT(A33,8)),ROW(Накл!$A$9:$A$550)-ROW(Накл!$A$9)+1),ROW(E35)-ROW(B33)+1)),"")," ",IFERROR(INDEX(Накл!$C$9:$C$550,SMALL(IF(Накл!$A$9:$A$550=VALUE(LEFT(A33,8)),ROW(Накл!$A$9:$A$550)-ROW(Накл!$A$9)+1),ROW(E36)-ROW(B33)+1)),"")),"")</f>
        <v/>
      </c>
    </row>
    <row r="34" spans="1:5">
      <c r="A34" s="26" t="str">
        <f>IFERROR(CONCATENATE(VALUE(SUBSTITUTE(SUBSTITUTE(LEFT(Накл!G41,11),".",""),"-",""))," ",Накл!J41),"-")</f>
        <v>90020110 1</v>
      </c>
      <c r="B34" s="26" t="str">
        <f>IFERROR(VLOOKUP(VALUE(LEFT(A34,8)),Накл!$A$9:$D$550,4,0),"-")</f>
        <v>9002011 Управляющий корпус Karcher *10* код : 005328</v>
      </c>
      <c r="C34" s="26">
        <f>Накл!J41</f>
        <v>1</v>
      </c>
      <c r="D34" s="33" t="str">
        <f t="array" ref="D34">CONCATENATE(IFERROR(INDEX(Накл!$C$9:$C$550,SMALL(IF(Накл!$B$9:$B$550=A34,ROW(Накл!$B$9:$B$550)-ROW(Накл!$B$9)+1),ROW(D34)-ROW(A34)+1)),"")," ",IFERROR(INDEX(Накл!$C$9:$C$550,SMALL(IF(Накл!$B$9:$B$550=A34,ROW(Накл!$B$9:$B$550)-ROW(Накл!$B$9)+1),ROW(D35)-ROW(A34)+1)),"")," ",IFERROR(INDEX(Накл!$C$9:$C$550,SMALL(IF(Накл!$B$9:$B$550=A34,ROW(Накл!$B$9:$B$550)-ROW(Накл!$B$9)+1),ROW(D36)-ROW(A34)+1)),"")," ",IFERROR(INDEX(Накл!$C$9:$C$550,SMALL(IF(Накл!$B$9:$B$550=A34,ROW(Накл!$B$9:$B$550)-ROW(Накл!$B$9)+1),ROW(D37)-ROW(A34)+1)),"")," ",IFERROR(INDEX(Накл!$C$9:$C$550,SMALL(IF(Накл!$B$9:$B$550=A34,ROW(Накл!$B$9:$B$550)-ROW(Накл!$B$9)+1),ROW(D38)-ROW(A34)+1)),"")," ",IFERROR(INDEX(Накл!$C$9:$C$550,SMALL(IF(Накл!$B$9:$B$550=A34,ROW(Накл!$B$9:$B$550)-ROW(Накл!$B$9)+1),ROW(D39)-ROW(A34)+1)),"")," ",IFERROR(INDEX(Накл!$C$9:$C$550,SMALL(IF(Накл!$B$9:$B$550=A34,ROW(Накл!$B$9:$B$550)-ROW(Накл!$B$9)+1),ROW(D40)-ROW(A34)+1)),"")," ",IFERROR(INDEX(Накл!$C$9:$C$550,SMALL(IF(Накл!$B$9:$B$550=A34,ROW(Накл!$B$9:$B$550)-ROW(Накл!$B$9)+1),ROW(D41)-ROW(A34)+1)),"")," ",IFERROR(INDEX(Накл!$C$9:$C$550,SMALL(IF(Накл!$B$9:$B$550=A34,ROW(Накл!$B$9:$B$550)-ROW(Накл!$B$9)+1),ROW(D42)-ROW(A34)+1)),"")," ",IFERROR(INDEX(Накл!$C$9:$C$550,SMALL(IF(Накл!$B$9:$B$550=A34,ROW(Накл!$B$9:$B$550)-ROW(Накл!$B$9)+1),ROW(D43)-ROW(A34)+1)),""))</f>
        <v xml:space="preserve">96         </v>
      </c>
      <c r="E34" s="26" t="str">
        <f t="array" ref="E34">IF(LEN(D34)&lt;10,CONCATENATE(IFERROR(INDEX(Накл!$C$9:$C$550,SMALL(IF(Накл!$A$9:$A$550=VALUE(LEFT(A34,8)),ROW(Накл!$A$9:$A$550)-ROW(Накл!$A$9)+1),ROW(E34)-ROW(B34)+1)),"")," ",IFERROR(INDEX(Накл!$C$9:$C$550,SMALL(IF(Накл!$A$9:$A$550=VALUE(LEFT(A34,8)),ROW(Накл!$A$9:$A$550)-ROW(Накл!$A$9)+1),ROW(E35)-ROW(B34)+1)),"")," ",IFERROR(INDEX(Накл!$C$9:$C$550,SMALL(IF(Накл!$A$9:$A$550=VALUE(LEFT(A34,8)),ROW(Накл!$A$9:$A$550)-ROW(Накл!$A$9)+1),ROW(E36)-ROW(B34)+1)),"")," ",IFERROR(INDEX(Накл!$C$9:$C$550,SMALL(IF(Накл!$A$9:$A$550=VALUE(LEFT(A34,8)),ROW(Накл!$A$9:$A$550)-ROW(Накл!$A$9)+1),ROW(E37)-ROW(B34)+1)),"")),"")</f>
        <v/>
      </c>
    </row>
    <row r="35" spans="1:5">
      <c r="A35" s="26" t="str">
        <f>IFERROR(CONCATENATE(VALUE(SUBSTITUTE(SUBSTITUTE(LEFT(Накл!G42,11),".",""),"-",""))," ",Накл!J42),"-")</f>
        <v>69043670 3</v>
      </c>
      <c r="B35" s="26" t="str">
        <f>IFERROR(VLOOKUP(VALUE(LEFT(A35,8)),Накл!$A$9:$D$550,4,0),"-")</f>
        <v>Фильтр плоский для NT 25/1, 35/1 Karcher 6.904-367 код : 001767</v>
      </c>
      <c r="C35" s="26">
        <f>Накл!J42</f>
        <v>3</v>
      </c>
      <c r="D35" s="33" t="str">
        <f t="array" ref="D35">CONCATENATE(IFERROR(INDEX(Накл!$C$9:$C$550,SMALL(IF(Накл!$B$9:$B$550=A35,ROW(Накл!$B$9:$B$550)-ROW(Накл!$B$9)+1),ROW(D35)-ROW(A35)+1)),"")," ",IFERROR(INDEX(Накл!$C$9:$C$550,SMALL(IF(Накл!$B$9:$B$550=A35,ROW(Накл!$B$9:$B$550)-ROW(Накл!$B$9)+1),ROW(D36)-ROW(A35)+1)),"")," ",IFERROR(INDEX(Накл!$C$9:$C$550,SMALL(IF(Накл!$B$9:$B$550=A35,ROW(Накл!$B$9:$B$550)-ROW(Накл!$B$9)+1),ROW(D37)-ROW(A35)+1)),"")," ",IFERROR(INDEX(Накл!$C$9:$C$550,SMALL(IF(Накл!$B$9:$B$550=A35,ROW(Накл!$B$9:$B$550)-ROW(Накл!$B$9)+1),ROW(D38)-ROW(A35)+1)),"")," ",IFERROR(INDEX(Накл!$C$9:$C$550,SMALL(IF(Накл!$B$9:$B$550=A35,ROW(Накл!$B$9:$B$550)-ROW(Накл!$B$9)+1),ROW(D39)-ROW(A35)+1)),"")," ",IFERROR(INDEX(Накл!$C$9:$C$550,SMALL(IF(Накл!$B$9:$B$550=A35,ROW(Накл!$B$9:$B$550)-ROW(Накл!$B$9)+1),ROW(D40)-ROW(A35)+1)),"")," ",IFERROR(INDEX(Накл!$C$9:$C$550,SMALL(IF(Накл!$B$9:$B$550=A35,ROW(Накл!$B$9:$B$550)-ROW(Накл!$B$9)+1),ROW(D41)-ROW(A35)+1)),"")," ",IFERROR(INDEX(Накл!$C$9:$C$550,SMALL(IF(Накл!$B$9:$B$550=A35,ROW(Накл!$B$9:$B$550)-ROW(Накл!$B$9)+1),ROW(D42)-ROW(A35)+1)),"")," ",IFERROR(INDEX(Накл!$C$9:$C$550,SMALL(IF(Накл!$B$9:$B$550=A35,ROW(Накл!$B$9:$B$550)-ROW(Накл!$B$9)+1),ROW(D43)-ROW(A35)+1)),"")," ",IFERROR(INDEX(Накл!$C$9:$C$550,SMALL(IF(Накл!$B$9:$B$550=A35,ROW(Накл!$B$9:$B$550)-ROW(Накл!$B$9)+1),ROW(D44)-ROW(A35)+1)),""))</f>
        <v xml:space="preserve">45         </v>
      </c>
      <c r="E35" s="26" t="str">
        <f t="array" ref="E35">IF(LEN(D35)&lt;10,CONCATENATE(IFERROR(INDEX(Накл!$C$9:$C$550,SMALL(IF(Накл!$A$9:$A$550=VALUE(LEFT(A35,8)),ROW(Накл!$A$9:$A$550)-ROW(Накл!$A$9)+1),ROW(E35)-ROW(B35)+1)),"")," ",IFERROR(INDEX(Накл!$C$9:$C$550,SMALL(IF(Накл!$A$9:$A$550=VALUE(LEFT(A35,8)),ROW(Накл!$A$9:$A$550)-ROW(Накл!$A$9)+1),ROW(E36)-ROW(B35)+1)),"")," ",IFERROR(INDEX(Накл!$C$9:$C$550,SMALL(IF(Накл!$A$9:$A$550=VALUE(LEFT(A35,8)),ROW(Накл!$A$9:$A$550)-ROW(Накл!$A$9)+1),ROW(E37)-ROW(B35)+1)),"")," ",IFERROR(INDEX(Накл!$C$9:$C$550,SMALL(IF(Накл!$A$9:$A$550=VALUE(LEFT(A35,8)),ROW(Накл!$A$9:$A$550)-ROW(Накл!$A$9)+1),ROW(E38)-ROW(B35)+1)),"")),"")</f>
        <v/>
      </c>
    </row>
    <row r="36" spans="1:5">
      <c r="A36" s="26" t="str">
        <f>IFERROR(CONCATENATE(VALUE(SUBSTITUTE(SUBSTITUTE(LEFT(Накл!G43,11),".",""),"-",""))," ",Накл!J43),"-")</f>
        <v>54272980 1</v>
      </c>
      <c r="B36" s="26" t="str">
        <f>IFERROR(VLOOKUP(VALUE(LEFT(A36,8)),Накл!$A$9:$D$550,4,0),"-")</f>
        <v>Соединительная деталь короткая Karcher 5.427-298 код : 006486</v>
      </c>
      <c r="C36" s="26">
        <f>Накл!J43</f>
        <v>1</v>
      </c>
      <c r="D36" s="33" t="str">
        <f t="array" ref="D36">CONCATENATE(IFERROR(INDEX(Накл!$C$9:$C$550,SMALL(IF(Накл!$B$9:$B$550=A36,ROW(Накл!$B$9:$B$550)-ROW(Накл!$B$9)+1),ROW(D36)-ROW(A36)+1)),"")," ",IFERROR(INDEX(Накл!$C$9:$C$550,SMALL(IF(Накл!$B$9:$B$550=A36,ROW(Накл!$B$9:$B$550)-ROW(Накл!$B$9)+1),ROW(D37)-ROW(A36)+1)),"")," ",IFERROR(INDEX(Накл!$C$9:$C$550,SMALL(IF(Накл!$B$9:$B$550=A36,ROW(Накл!$B$9:$B$550)-ROW(Накл!$B$9)+1),ROW(D38)-ROW(A36)+1)),"")," ",IFERROR(INDEX(Накл!$C$9:$C$550,SMALL(IF(Накл!$B$9:$B$550=A36,ROW(Накл!$B$9:$B$550)-ROW(Накл!$B$9)+1),ROW(D39)-ROW(A36)+1)),"")," ",IFERROR(INDEX(Накл!$C$9:$C$550,SMALL(IF(Накл!$B$9:$B$550=A36,ROW(Накл!$B$9:$B$550)-ROW(Накл!$B$9)+1),ROW(D40)-ROW(A36)+1)),"")," ",IFERROR(INDEX(Накл!$C$9:$C$550,SMALL(IF(Накл!$B$9:$B$550=A36,ROW(Накл!$B$9:$B$550)-ROW(Накл!$B$9)+1),ROW(D41)-ROW(A36)+1)),"")," ",IFERROR(INDEX(Накл!$C$9:$C$550,SMALL(IF(Накл!$B$9:$B$550=A36,ROW(Накл!$B$9:$B$550)-ROW(Накл!$B$9)+1),ROW(D42)-ROW(A36)+1)),"")," ",IFERROR(INDEX(Накл!$C$9:$C$550,SMALL(IF(Накл!$B$9:$B$550=A36,ROW(Накл!$B$9:$B$550)-ROW(Накл!$B$9)+1),ROW(D43)-ROW(A36)+1)),"")," ",IFERROR(INDEX(Накл!$C$9:$C$550,SMALL(IF(Накл!$B$9:$B$550=A36,ROW(Накл!$B$9:$B$550)-ROW(Накл!$B$9)+1),ROW(D44)-ROW(A36)+1)),"")," ",IFERROR(INDEX(Накл!$C$9:$C$550,SMALL(IF(Накл!$B$9:$B$550=A36,ROW(Накл!$B$9:$B$550)-ROW(Накл!$B$9)+1),ROW(D45)-ROW(A36)+1)),""))</f>
        <v xml:space="preserve">169         </v>
      </c>
      <c r="E36" s="26" t="str">
        <f t="array" ref="E36">IF(LEN(D36)&lt;10,CONCATENATE(IFERROR(INDEX(Накл!$C$9:$C$550,SMALL(IF(Накл!$A$9:$A$550=VALUE(LEFT(A36,8)),ROW(Накл!$A$9:$A$550)-ROW(Накл!$A$9)+1),ROW(E36)-ROW(B36)+1)),"")," ",IFERROR(INDEX(Накл!$C$9:$C$550,SMALL(IF(Накл!$A$9:$A$550=VALUE(LEFT(A36,8)),ROW(Накл!$A$9:$A$550)-ROW(Накл!$A$9)+1),ROW(E37)-ROW(B36)+1)),"")," ",IFERROR(INDEX(Накл!$C$9:$C$550,SMALL(IF(Накл!$A$9:$A$550=VALUE(LEFT(A36,8)),ROW(Накл!$A$9:$A$550)-ROW(Накл!$A$9)+1),ROW(E38)-ROW(B36)+1)),"")," ",IFERROR(INDEX(Накл!$C$9:$C$550,SMALL(IF(Накл!$A$9:$A$550=VALUE(LEFT(A36,8)),ROW(Накл!$A$9:$A$550)-ROW(Накл!$A$9)+1),ROW(E39)-ROW(B36)+1)),"")),"")</f>
        <v/>
      </c>
    </row>
    <row r="37" spans="1:5">
      <c r="A37" s="26" t="str">
        <f>IFERROR(CONCATENATE(VALUE(SUBSTITUTE(SUBSTITUTE(LEFT(Накл!G44,11),".",""),"-",""))," ",Накл!J44),"-")</f>
        <v>73670090 1</v>
      </c>
      <c r="B37" s="26" t="str">
        <f>IFERROR(VLOOKUP(VALUE(LEFT(A37,8)),Накл!$A$9:$D$550,4,0),"-")</f>
        <v>Радиальное уплотнение вала Karcher 7.367-009 код : 006152</v>
      </c>
      <c r="C37" s="26">
        <f>Накл!J44</f>
        <v>1</v>
      </c>
      <c r="D37" s="33" t="str">
        <f t="array" ref="D37">CONCATENATE(IFERROR(INDEX(Накл!$C$9:$C$550,SMALL(IF(Накл!$B$9:$B$550=A37,ROW(Накл!$B$9:$B$550)-ROW(Накл!$B$9)+1),ROW(D37)-ROW(A37)+1)),"")," ",IFERROR(INDEX(Накл!$C$9:$C$550,SMALL(IF(Накл!$B$9:$B$550=A37,ROW(Накл!$B$9:$B$550)-ROW(Накл!$B$9)+1),ROW(D38)-ROW(A37)+1)),"")," ",IFERROR(INDEX(Накл!$C$9:$C$550,SMALL(IF(Накл!$B$9:$B$550=A37,ROW(Накл!$B$9:$B$550)-ROW(Накл!$B$9)+1),ROW(D39)-ROW(A37)+1)),"")," ",IFERROR(INDEX(Накл!$C$9:$C$550,SMALL(IF(Накл!$B$9:$B$550=A37,ROW(Накл!$B$9:$B$550)-ROW(Накл!$B$9)+1),ROW(D40)-ROW(A37)+1)),"")," ",IFERROR(INDEX(Накл!$C$9:$C$550,SMALL(IF(Накл!$B$9:$B$550=A37,ROW(Накл!$B$9:$B$550)-ROW(Накл!$B$9)+1),ROW(D41)-ROW(A37)+1)),"")," ",IFERROR(INDEX(Накл!$C$9:$C$550,SMALL(IF(Накл!$B$9:$B$550=A37,ROW(Накл!$B$9:$B$550)-ROW(Накл!$B$9)+1),ROW(D42)-ROW(A37)+1)),"")," ",IFERROR(INDEX(Накл!$C$9:$C$550,SMALL(IF(Накл!$B$9:$B$550=A37,ROW(Накл!$B$9:$B$550)-ROW(Накл!$B$9)+1),ROW(D43)-ROW(A37)+1)),"")," ",IFERROR(INDEX(Накл!$C$9:$C$550,SMALL(IF(Накл!$B$9:$B$550=A37,ROW(Накл!$B$9:$B$550)-ROW(Накл!$B$9)+1),ROW(D44)-ROW(A37)+1)),"")," ",IFERROR(INDEX(Накл!$C$9:$C$550,SMALL(IF(Накл!$B$9:$B$550=A37,ROW(Накл!$B$9:$B$550)-ROW(Накл!$B$9)+1),ROW(D45)-ROW(A37)+1)),"")," ",IFERROR(INDEX(Накл!$C$9:$C$550,SMALL(IF(Накл!$B$9:$B$550=A37,ROW(Накл!$B$9:$B$550)-ROW(Накл!$B$9)+1),ROW(D46)-ROW(A37)+1)),""))</f>
        <v xml:space="preserve">114         </v>
      </c>
      <c r="E37" s="26" t="str">
        <f t="array" ref="E37">IF(LEN(D37)&lt;10,CONCATENATE(IFERROR(INDEX(Накл!$C$9:$C$550,SMALL(IF(Накл!$A$9:$A$550=VALUE(LEFT(A37,8)),ROW(Накл!$A$9:$A$550)-ROW(Накл!$A$9)+1),ROW(E37)-ROW(B37)+1)),"")," ",IFERROR(INDEX(Накл!$C$9:$C$550,SMALL(IF(Накл!$A$9:$A$550=VALUE(LEFT(A37,8)),ROW(Накл!$A$9:$A$550)-ROW(Накл!$A$9)+1),ROW(E38)-ROW(B37)+1)),"")," ",IFERROR(INDEX(Накл!$C$9:$C$550,SMALL(IF(Накл!$A$9:$A$550=VALUE(LEFT(A37,8)),ROW(Накл!$A$9:$A$550)-ROW(Накл!$A$9)+1),ROW(E39)-ROW(B37)+1)),"")," ",IFERROR(INDEX(Накл!$C$9:$C$550,SMALL(IF(Накл!$A$9:$A$550=VALUE(LEFT(A37,8)),ROW(Накл!$A$9:$A$550)-ROW(Накл!$A$9)+1),ROW(E40)-ROW(B37)+1)),"")),"")</f>
        <v/>
      </c>
    </row>
    <row r="38" spans="1:5">
      <c r="A38" s="26" t="str">
        <f>IFERROR(CONCATENATE(VALUE(SUBSTITUTE(SUBSTITUTE(LEFT(Накл!G45,11),".",""),"-",""))," ",Накл!J45),"-")</f>
        <v>51163800 45</v>
      </c>
      <c r="B38" s="26" t="str">
        <f>IFERROR(VLOOKUP(VALUE(LEFT(A38,8)),Накл!$A$9:$D$550,4,0),"-")</f>
        <v>5116380 Пластиковый уплотнитель на проставки Karcher код : 006455</v>
      </c>
      <c r="C38" s="26">
        <f>Накл!J45</f>
        <v>45</v>
      </c>
      <c r="D38" s="33" t="str">
        <f t="array" ref="D38">CONCATENATE(IFERROR(INDEX(Накл!$C$9:$C$550,SMALL(IF(Накл!$B$9:$B$550=A38,ROW(Накл!$B$9:$B$550)-ROW(Накл!$B$9)+1),ROW(D38)-ROW(A38)+1)),"")," ",IFERROR(INDEX(Накл!$C$9:$C$550,SMALL(IF(Накл!$B$9:$B$550=A38,ROW(Накл!$B$9:$B$550)-ROW(Накл!$B$9)+1),ROW(D39)-ROW(A38)+1)),"")," ",IFERROR(INDEX(Накл!$C$9:$C$550,SMALL(IF(Накл!$B$9:$B$550=A38,ROW(Накл!$B$9:$B$550)-ROW(Накл!$B$9)+1),ROW(D40)-ROW(A38)+1)),"")," ",IFERROR(INDEX(Накл!$C$9:$C$550,SMALL(IF(Накл!$B$9:$B$550=A38,ROW(Накл!$B$9:$B$550)-ROW(Накл!$B$9)+1),ROW(D41)-ROW(A38)+1)),"")," ",IFERROR(INDEX(Накл!$C$9:$C$550,SMALL(IF(Накл!$B$9:$B$550=A38,ROW(Накл!$B$9:$B$550)-ROW(Накл!$B$9)+1),ROW(D42)-ROW(A38)+1)),"")," ",IFERROR(INDEX(Накл!$C$9:$C$550,SMALL(IF(Накл!$B$9:$B$550=A38,ROW(Накл!$B$9:$B$550)-ROW(Накл!$B$9)+1),ROW(D43)-ROW(A38)+1)),"")," ",IFERROR(INDEX(Накл!$C$9:$C$550,SMALL(IF(Накл!$B$9:$B$550=A38,ROW(Накл!$B$9:$B$550)-ROW(Накл!$B$9)+1),ROW(D44)-ROW(A38)+1)),"")," ",IFERROR(INDEX(Накл!$C$9:$C$550,SMALL(IF(Накл!$B$9:$B$550=A38,ROW(Накл!$B$9:$B$550)-ROW(Накл!$B$9)+1),ROW(D45)-ROW(A38)+1)),"")," ",IFERROR(INDEX(Накл!$C$9:$C$550,SMALL(IF(Накл!$B$9:$B$550=A38,ROW(Накл!$B$9:$B$550)-ROW(Накл!$B$9)+1),ROW(D46)-ROW(A38)+1)),"")," ",IFERROR(INDEX(Накл!$C$9:$C$550,SMALL(IF(Накл!$B$9:$B$550=A38,ROW(Накл!$B$9:$B$550)-ROW(Накл!$B$9)+1),ROW(D47)-ROW(A38)+1)),""))</f>
        <v xml:space="preserve">167         </v>
      </c>
      <c r="E38" s="26" t="str">
        <f t="array" ref="E38">IF(LEN(D38)&lt;10,CONCATENATE(IFERROR(INDEX(Накл!$C$9:$C$550,SMALL(IF(Накл!$A$9:$A$550=VALUE(LEFT(A38,8)),ROW(Накл!$A$9:$A$550)-ROW(Накл!$A$9)+1),ROW(E38)-ROW(B38)+1)),"")," ",IFERROR(INDEX(Накл!$C$9:$C$550,SMALL(IF(Накл!$A$9:$A$550=VALUE(LEFT(A38,8)),ROW(Накл!$A$9:$A$550)-ROW(Накл!$A$9)+1),ROW(E39)-ROW(B38)+1)),"")," ",IFERROR(INDEX(Накл!$C$9:$C$550,SMALL(IF(Накл!$A$9:$A$550=VALUE(LEFT(A38,8)),ROW(Накл!$A$9:$A$550)-ROW(Накл!$A$9)+1),ROW(E40)-ROW(B38)+1)),"")," ",IFERROR(INDEX(Накл!$C$9:$C$550,SMALL(IF(Накл!$A$9:$A$550=VALUE(LEFT(A38,8)),ROW(Накл!$A$9:$A$550)-ROW(Накл!$A$9)+1),ROW(E41)-ROW(B38)+1)),"")),"")</f>
        <v/>
      </c>
    </row>
    <row r="39" spans="1:5">
      <c r="A39" s="26" t="str">
        <f>IFERROR(CONCATENATE(VALUE(SUBSTITUTE(SUBSTITUTE(LEFT(Накл!G46,11),".",""),"-",""))," ",Накл!J46),"-")</f>
        <v>28630050 5</v>
      </c>
      <c r="B39" s="26" t="str">
        <f>IFERROR(VLOOKUP(VALUE(LEFT(A39,8)),Накл!$A$9:$D$550,4,0),"-")</f>
        <v>Фильтр плоский для WD4-6 Karcher 2.863-005 код : 001373</v>
      </c>
      <c r="C39" s="26">
        <f>Накл!J46</f>
        <v>5</v>
      </c>
      <c r="D39" s="33" t="str">
        <f t="array" ref="D39">CONCATENATE(IFERROR(INDEX(Накл!$C$9:$C$550,SMALL(IF(Накл!$B$9:$B$550=A39,ROW(Накл!$B$9:$B$550)-ROW(Накл!$B$9)+1),ROW(D39)-ROW(A39)+1)),"")," ",IFERROR(INDEX(Накл!$C$9:$C$550,SMALL(IF(Накл!$B$9:$B$550=A39,ROW(Накл!$B$9:$B$550)-ROW(Накл!$B$9)+1),ROW(D40)-ROW(A39)+1)),"")," ",IFERROR(INDEX(Накл!$C$9:$C$550,SMALL(IF(Накл!$B$9:$B$550=A39,ROW(Накл!$B$9:$B$550)-ROW(Накл!$B$9)+1),ROW(D41)-ROW(A39)+1)),"")," ",IFERROR(INDEX(Накл!$C$9:$C$550,SMALL(IF(Накл!$B$9:$B$550=A39,ROW(Накл!$B$9:$B$550)-ROW(Накл!$B$9)+1),ROW(D42)-ROW(A39)+1)),"")," ",IFERROR(INDEX(Накл!$C$9:$C$550,SMALL(IF(Накл!$B$9:$B$550=A39,ROW(Накл!$B$9:$B$550)-ROW(Накл!$B$9)+1),ROW(D43)-ROW(A39)+1)),"")," ",IFERROR(INDEX(Накл!$C$9:$C$550,SMALL(IF(Накл!$B$9:$B$550=A39,ROW(Накл!$B$9:$B$550)-ROW(Накл!$B$9)+1),ROW(D44)-ROW(A39)+1)),"")," ",IFERROR(INDEX(Накл!$C$9:$C$550,SMALL(IF(Накл!$B$9:$B$550=A39,ROW(Накл!$B$9:$B$550)-ROW(Накл!$B$9)+1),ROW(D45)-ROW(A39)+1)),"")," ",IFERROR(INDEX(Накл!$C$9:$C$550,SMALL(IF(Накл!$B$9:$B$550=A39,ROW(Накл!$B$9:$B$550)-ROW(Накл!$B$9)+1),ROW(D46)-ROW(A39)+1)),"")," ",IFERROR(INDEX(Накл!$C$9:$C$550,SMALL(IF(Накл!$B$9:$B$550=A39,ROW(Накл!$B$9:$B$550)-ROW(Накл!$B$9)+1),ROW(D47)-ROW(A39)+1)),"")," ",IFERROR(INDEX(Накл!$C$9:$C$550,SMALL(IF(Накл!$B$9:$B$550=A39,ROW(Накл!$B$9:$B$550)-ROW(Накл!$B$9)+1),ROW(D48)-ROW(A39)+1)),""))</f>
        <v xml:space="preserve">143         </v>
      </c>
      <c r="E39" s="26" t="str">
        <f t="array" ref="E39">IF(LEN(D39)&lt;10,CONCATENATE(IFERROR(INDEX(Накл!$C$9:$C$550,SMALL(IF(Накл!$A$9:$A$550=VALUE(LEFT(A39,8)),ROW(Накл!$A$9:$A$550)-ROW(Накл!$A$9)+1),ROW(E39)-ROW(B39)+1)),"")," ",IFERROR(INDEX(Накл!$C$9:$C$550,SMALL(IF(Накл!$A$9:$A$550=VALUE(LEFT(A39,8)),ROW(Накл!$A$9:$A$550)-ROW(Накл!$A$9)+1),ROW(E40)-ROW(B39)+1)),"")," ",IFERROR(INDEX(Накл!$C$9:$C$550,SMALL(IF(Накл!$A$9:$A$550=VALUE(LEFT(A39,8)),ROW(Накл!$A$9:$A$550)-ROW(Накл!$A$9)+1),ROW(E41)-ROW(B39)+1)),"")," ",IFERROR(INDEX(Накл!$C$9:$C$550,SMALL(IF(Накл!$A$9:$A$550=VALUE(LEFT(A39,8)),ROW(Накл!$A$9:$A$550)-ROW(Накл!$A$9)+1),ROW(E42)-ROW(B39)+1)),"")),"")</f>
        <v/>
      </c>
    </row>
    <row r="40" spans="1:5">
      <c r="A40" s="26" t="str">
        <f>IFERROR(CONCATENATE(VALUE(SUBSTITUTE(SUBSTITUTE(LEFT(Накл!G47,11),".",""),"-",""))," ",Накл!J47),"-")</f>
        <v>26451380 3</v>
      </c>
      <c r="B40" s="26" t="str">
        <f>IFERROR(VLOOKUP(VALUE(LEFT(A40,8)),Накл!$A$9:$D$550,4,0),"-")</f>
        <v>Шланг "PrimoFlex" 1/2" бухта 20м  Karcher 2.645-138 код : 020101</v>
      </c>
      <c r="C40" s="26">
        <f>Накл!J47</f>
        <v>3</v>
      </c>
      <c r="D40" s="33" t="str">
        <f t="array" ref="D40">CONCATENATE(IFERROR(INDEX(Накл!$C$9:$C$550,SMALL(IF(Накл!$B$9:$B$550=A40,ROW(Накл!$B$9:$B$550)-ROW(Накл!$B$9)+1),ROW(D40)-ROW(A40)+1)),"")," ",IFERROR(INDEX(Накл!$C$9:$C$550,SMALL(IF(Накл!$B$9:$B$550=A40,ROW(Накл!$B$9:$B$550)-ROW(Накл!$B$9)+1),ROW(D41)-ROW(A40)+1)),"")," ",IFERROR(INDEX(Накл!$C$9:$C$550,SMALL(IF(Накл!$B$9:$B$550=A40,ROW(Накл!$B$9:$B$550)-ROW(Накл!$B$9)+1),ROW(D42)-ROW(A40)+1)),"")," ",IFERROR(INDEX(Накл!$C$9:$C$550,SMALL(IF(Накл!$B$9:$B$550=A40,ROW(Накл!$B$9:$B$550)-ROW(Накл!$B$9)+1),ROW(D43)-ROW(A40)+1)),"")," ",IFERROR(INDEX(Накл!$C$9:$C$550,SMALL(IF(Накл!$B$9:$B$550=A40,ROW(Накл!$B$9:$B$550)-ROW(Накл!$B$9)+1),ROW(D44)-ROW(A40)+1)),"")," ",IFERROR(INDEX(Накл!$C$9:$C$550,SMALL(IF(Накл!$B$9:$B$550=A40,ROW(Накл!$B$9:$B$550)-ROW(Накл!$B$9)+1),ROW(D45)-ROW(A40)+1)),"")," ",IFERROR(INDEX(Накл!$C$9:$C$550,SMALL(IF(Накл!$B$9:$B$550=A40,ROW(Накл!$B$9:$B$550)-ROW(Накл!$B$9)+1),ROW(D46)-ROW(A40)+1)),"")," ",IFERROR(INDEX(Накл!$C$9:$C$550,SMALL(IF(Накл!$B$9:$B$550=A40,ROW(Накл!$B$9:$B$550)-ROW(Накл!$B$9)+1),ROW(D47)-ROW(A40)+1)),"")," ",IFERROR(INDEX(Накл!$C$9:$C$550,SMALL(IF(Накл!$B$9:$B$550=A40,ROW(Накл!$B$9:$B$550)-ROW(Накл!$B$9)+1),ROW(D48)-ROW(A40)+1)),"")," ",IFERROR(INDEX(Накл!$C$9:$C$550,SMALL(IF(Накл!$B$9:$B$550=A40,ROW(Накл!$B$9:$B$550)-ROW(Накл!$B$9)+1),ROW(D49)-ROW(A40)+1)),""))</f>
        <v xml:space="preserve">74         </v>
      </c>
      <c r="E40" s="26" t="str">
        <f t="array" ref="E40">IF(LEN(D40)&lt;10,CONCATENATE(IFERROR(INDEX(Накл!$C$9:$C$550,SMALL(IF(Накл!$A$9:$A$550=VALUE(LEFT(A40,8)),ROW(Накл!$A$9:$A$550)-ROW(Накл!$A$9)+1),ROW(E40)-ROW(B40)+1)),"")," ",IFERROR(INDEX(Накл!$C$9:$C$550,SMALL(IF(Накл!$A$9:$A$550=VALUE(LEFT(A40,8)),ROW(Накл!$A$9:$A$550)-ROW(Накл!$A$9)+1),ROW(E41)-ROW(B40)+1)),"")," ",IFERROR(INDEX(Накл!$C$9:$C$550,SMALL(IF(Накл!$A$9:$A$550=VALUE(LEFT(A40,8)),ROW(Накл!$A$9:$A$550)-ROW(Накл!$A$9)+1),ROW(E42)-ROW(B40)+1)),"")," ",IFERROR(INDEX(Накл!$C$9:$C$550,SMALL(IF(Накл!$A$9:$A$550=VALUE(LEFT(A40,8)),ROW(Накл!$A$9:$A$550)-ROW(Накл!$A$9)+1),ROW(E43)-ROW(B40)+1)),"")),"")</f>
        <v/>
      </c>
    </row>
    <row r="41" spans="1:5">
      <c r="A41" s="26" t="str">
        <f>IFERROR(CONCATENATE(VALUE(SUBSTITUTE(SUBSTITUTE(LEFT(Накл!G48,11),".",""),"-",""))," ",Накл!J48),"-")</f>
        <v>64351960 1</v>
      </c>
      <c r="B41" s="26" t="str">
        <f>IFERROR(VLOOKUP(VALUE(LEFT(A41,8)),Накл!$A$9:$D$550,4,0),"-")</f>
        <v>Колесо D 180 Karcher 6.435-196 код : 030202</v>
      </c>
      <c r="C41" s="26">
        <f>Накл!J48</f>
        <v>1</v>
      </c>
      <c r="D41" s="33" t="str">
        <f t="array" ref="D41">CONCATENATE(IFERROR(INDEX(Накл!$C$9:$C$550,SMALL(IF(Накл!$B$9:$B$550=A41,ROW(Накл!$B$9:$B$550)-ROW(Накл!$B$9)+1),ROW(D41)-ROW(A41)+1)),"")," ",IFERROR(INDEX(Накл!$C$9:$C$550,SMALL(IF(Накл!$B$9:$B$550=A41,ROW(Накл!$B$9:$B$550)-ROW(Накл!$B$9)+1),ROW(D42)-ROW(A41)+1)),"")," ",IFERROR(INDEX(Накл!$C$9:$C$550,SMALL(IF(Накл!$B$9:$B$550=A41,ROW(Накл!$B$9:$B$550)-ROW(Накл!$B$9)+1),ROW(D43)-ROW(A41)+1)),"")," ",IFERROR(INDEX(Накл!$C$9:$C$550,SMALL(IF(Накл!$B$9:$B$550=A41,ROW(Накл!$B$9:$B$550)-ROW(Накл!$B$9)+1),ROW(D44)-ROW(A41)+1)),"")," ",IFERROR(INDEX(Накл!$C$9:$C$550,SMALL(IF(Накл!$B$9:$B$550=A41,ROW(Накл!$B$9:$B$550)-ROW(Накл!$B$9)+1),ROW(D45)-ROW(A41)+1)),"")," ",IFERROR(INDEX(Накл!$C$9:$C$550,SMALL(IF(Накл!$B$9:$B$550=A41,ROW(Накл!$B$9:$B$550)-ROW(Накл!$B$9)+1),ROW(D46)-ROW(A41)+1)),"")," ",IFERROR(INDEX(Накл!$C$9:$C$550,SMALL(IF(Накл!$B$9:$B$550=A41,ROW(Накл!$B$9:$B$550)-ROW(Накл!$B$9)+1),ROW(D47)-ROW(A41)+1)),"")," ",IFERROR(INDEX(Накл!$C$9:$C$550,SMALL(IF(Накл!$B$9:$B$550=A41,ROW(Накл!$B$9:$B$550)-ROW(Накл!$B$9)+1),ROW(D48)-ROW(A41)+1)),"")," ",IFERROR(INDEX(Накл!$C$9:$C$550,SMALL(IF(Накл!$B$9:$B$550=A41,ROW(Накл!$B$9:$B$550)-ROW(Накл!$B$9)+1),ROW(D49)-ROW(A41)+1)),"")," ",IFERROR(INDEX(Накл!$C$9:$C$550,SMALL(IF(Накл!$B$9:$B$550=A41,ROW(Накл!$B$9:$B$550)-ROW(Накл!$B$9)+1),ROW(D50)-ROW(A41)+1)),""))</f>
        <v xml:space="preserve">188         </v>
      </c>
      <c r="E41" s="26" t="str">
        <f t="array" ref="E41">IF(LEN(D41)&lt;10,CONCATENATE(IFERROR(INDEX(Накл!$C$9:$C$550,SMALL(IF(Накл!$A$9:$A$550=VALUE(LEFT(A41,8)),ROW(Накл!$A$9:$A$550)-ROW(Накл!$A$9)+1),ROW(E41)-ROW(B41)+1)),"")," ",IFERROR(INDEX(Накл!$C$9:$C$550,SMALL(IF(Накл!$A$9:$A$550=VALUE(LEFT(A41,8)),ROW(Накл!$A$9:$A$550)-ROW(Накл!$A$9)+1),ROW(E42)-ROW(B41)+1)),"")," ",IFERROR(INDEX(Накл!$C$9:$C$550,SMALL(IF(Накл!$A$9:$A$550=VALUE(LEFT(A41,8)),ROW(Накл!$A$9:$A$550)-ROW(Накл!$A$9)+1),ROW(E43)-ROW(B41)+1)),"")," ",IFERROR(INDEX(Накл!$C$9:$C$550,SMALL(IF(Накл!$A$9:$A$550=VALUE(LEFT(A41,8)),ROW(Накл!$A$9:$A$550)-ROW(Накл!$A$9)+1),ROW(E44)-ROW(B41)+1)),"")),"")</f>
        <v/>
      </c>
    </row>
    <row r="42" spans="1:5">
      <c r="A42" s="26" t="str">
        <f>IFERROR(CONCATENATE(VALUE(SUBSTITUTE(SUBSTITUTE(LEFT(Накл!G49,11),".",""),"-",""))," ",Накл!J49),"-")</f>
        <v>63660390 1</v>
      </c>
      <c r="B42" s="26" t="str">
        <f>IFERROR(VLOOKUP(VALUE(LEFT(A42,8)),Накл!$A$9:$D$550,4,0),"-")</f>
        <v>6366039 Уплотнительный шнур Karcher код : 005208</v>
      </c>
      <c r="C42" s="26">
        <f>Накл!J49</f>
        <v>1</v>
      </c>
      <c r="D42" s="33" t="str">
        <f t="array" ref="D42">CONCATENATE(IFERROR(INDEX(Накл!$C$9:$C$550,SMALL(IF(Накл!$B$9:$B$550=A42,ROW(Накл!$B$9:$B$550)-ROW(Накл!$B$9)+1),ROW(D42)-ROW(A42)+1)),"")," ",IFERROR(INDEX(Накл!$C$9:$C$550,SMALL(IF(Накл!$B$9:$B$550=A42,ROW(Накл!$B$9:$B$550)-ROW(Накл!$B$9)+1),ROW(D43)-ROW(A42)+1)),"")," ",IFERROR(INDEX(Накл!$C$9:$C$550,SMALL(IF(Накл!$B$9:$B$550=A42,ROW(Накл!$B$9:$B$550)-ROW(Накл!$B$9)+1),ROW(D44)-ROW(A42)+1)),"")," ",IFERROR(INDEX(Накл!$C$9:$C$550,SMALL(IF(Накл!$B$9:$B$550=A42,ROW(Накл!$B$9:$B$550)-ROW(Накл!$B$9)+1),ROW(D45)-ROW(A42)+1)),"")," ",IFERROR(INDEX(Накл!$C$9:$C$550,SMALL(IF(Накл!$B$9:$B$550=A42,ROW(Накл!$B$9:$B$550)-ROW(Накл!$B$9)+1),ROW(D46)-ROW(A42)+1)),"")," ",IFERROR(INDEX(Накл!$C$9:$C$550,SMALL(IF(Накл!$B$9:$B$550=A42,ROW(Накл!$B$9:$B$550)-ROW(Накл!$B$9)+1),ROW(D47)-ROW(A42)+1)),"")," ",IFERROR(INDEX(Накл!$C$9:$C$550,SMALL(IF(Накл!$B$9:$B$550=A42,ROW(Накл!$B$9:$B$550)-ROW(Накл!$B$9)+1),ROW(D48)-ROW(A42)+1)),"")," ",IFERROR(INDEX(Накл!$C$9:$C$550,SMALL(IF(Накл!$B$9:$B$550=A42,ROW(Накл!$B$9:$B$550)-ROW(Накл!$B$9)+1),ROW(D49)-ROW(A42)+1)),"")," ",IFERROR(INDEX(Накл!$C$9:$C$550,SMALL(IF(Накл!$B$9:$B$550=A42,ROW(Накл!$B$9:$B$550)-ROW(Накл!$B$9)+1),ROW(D50)-ROW(A42)+1)),"")," ",IFERROR(INDEX(Накл!$C$9:$C$550,SMALL(IF(Накл!$B$9:$B$550=A42,ROW(Накл!$B$9:$B$550)-ROW(Накл!$B$9)+1),ROW(D51)-ROW(A42)+1)),""))</f>
        <v xml:space="preserve">63 183        </v>
      </c>
      <c r="E42" s="26" t="str">
        <f t="array" ref="E42">IF(LEN(D42)&lt;10,CONCATENATE(IFERROR(INDEX(Накл!$C$9:$C$550,SMALL(IF(Накл!$A$9:$A$550=VALUE(LEFT(A42,8)),ROW(Накл!$A$9:$A$550)-ROW(Накл!$A$9)+1),ROW(E42)-ROW(B42)+1)),"")," ",IFERROR(INDEX(Накл!$C$9:$C$550,SMALL(IF(Накл!$A$9:$A$550=VALUE(LEFT(A42,8)),ROW(Накл!$A$9:$A$550)-ROW(Накл!$A$9)+1),ROW(E43)-ROW(B42)+1)),"")," ",IFERROR(INDEX(Накл!$C$9:$C$550,SMALL(IF(Накл!$A$9:$A$550=VALUE(LEFT(A42,8)),ROW(Накл!$A$9:$A$550)-ROW(Накл!$A$9)+1),ROW(E44)-ROW(B42)+1)),"")," ",IFERROR(INDEX(Накл!$C$9:$C$550,SMALL(IF(Накл!$A$9:$A$550=VALUE(LEFT(A42,8)),ROW(Накл!$A$9:$A$550)-ROW(Накл!$A$9)+1),ROW(E45)-ROW(B42)+1)),"")),"")</f>
        <v/>
      </c>
    </row>
    <row r="43" spans="1:5">
      <c r="A43" s="26" t="str">
        <f>IFERROR(CONCATENATE(VALUE(SUBSTITUTE(SUBSTITUTE(LEFT(Накл!G50,11),".",""),"-",""))," ",Накл!J50),"-")</f>
        <v>97552630 1</v>
      </c>
      <c r="B43" s="26" t="str">
        <f>IFERROR(VLOOKUP(VALUE(LEFT(A43,8)),Накл!$A$9:$D$550,4,0),"-")</f>
        <v>Всасывающий шланг D35 для серий WD и NT Classic Karcher 9.755-263 код : 000666</v>
      </c>
      <c r="C43" s="26">
        <f>Накл!J50</f>
        <v>1</v>
      </c>
      <c r="D43" s="33" t="str">
        <f t="array" ref="D43">CONCATENATE(IFERROR(INDEX(Накл!$C$9:$C$550,SMALL(IF(Накл!$B$9:$B$550=A43,ROW(Накл!$B$9:$B$550)-ROW(Накл!$B$9)+1),ROW(D43)-ROW(A43)+1)),"")," ",IFERROR(INDEX(Накл!$C$9:$C$550,SMALL(IF(Накл!$B$9:$B$550=A43,ROW(Накл!$B$9:$B$550)-ROW(Накл!$B$9)+1),ROW(D44)-ROW(A43)+1)),"")," ",IFERROR(INDEX(Накл!$C$9:$C$550,SMALL(IF(Накл!$B$9:$B$550=A43,ROW(Накл!$B$9:$B$550)-ROW(Накл!$B$9)+1),ROW(D45)-ROW(A43)+1)),"")," ",IFERROR(INDEX(Накл!$C$9:$C$550,SMALL(IF(Накл!$B$9:$B$550=A43,ROW(Накл!$B$9:$B$550)-ROW(Накл!$B$9)+1),ROW(D46)-ROW(A43)+1)),"")," ",IFERROR(INDEX(Накл!$C$9:$C$550,SMALL(IF(Накл!$B$9:$B$550=A43,ROW(Накл!$B$9:$B$550)-ROW(Накл!$B$9)+1),ROW(D47)-ROW(A43)+1)),"")," ",IFERROR(INDEX(Накл!$C$9:$C$550,SMALL(IF(Накл!$B$9:$B$550=A43,ROW(Накл!$B$9:$B$550)-ROW(Накл!$B$9)+1),ROW(D48)-ROW(A43)+1)),"")," ",IFERROR(INDEX(Накл!$C$9:$C$550,SMALL(IF(Накл!$B$9:$B$550=A43,ROW(Накл!$B$9:$B$550)-ROW(Накл!$B$9)+1),ROW(D49)-ROW(A43)+1)),"")," ",IFERROR(INDEX(Накл!$C$9:$C$550,SMALL(IF(Накл!$B$9:$B$550=A43,ROW(Накл!$B$9:$B$550)-ROW(Накл!$B$9)+1),ROW(D50)-ROW(A43)+1)),"")," ",IFERROR(INDEX(Накл!$C$9:$C$550,SMALL(IF(Накл!$B$9:$B$550=A43,ROW(Накл!$B$9:$B$550)-ROW(Накл!$B$9)+1),ROW(D51)-ROW(A43)+1)),"")," ",IFERROR(INDEX(Накл!$C$9:$C$550,SMALL(IF(Накл!$B$9:$B$550=A43,ROW(Накл!$B$9:$B$550)-ROW(Накл!$B$9)+1),ROW(D52)-ROW(A43)+1)),""))</f>
        <v xml:space="preserve">         </v>
      </c>
      <c r="E43" s="26" t="str">
        <f t="array" ref="E43">IF(LEN(D43)&lt;10,CONCATENATE(IFERROR(INDEX(Накл!$C$9:$C$550,SMALL(IF(Накл!$A$9:$A$550=VALUE(LEFT(A43,8)),ROW(Накл!$A$9:$A$550)-ROW(Накл!$A$9)+1),ROW(E43)-ROW(B43)+1)),"")," ",IFERROR(INDEX(Накл!$C$9:$C$550,SMALL(IF(Накл!$A$9:$A$550=VALUE(LEFT(A43,8)),ROW(Накл!$A$9:$A$550)-ROW(Накл!$A$9)+1),ROW(E44)-ROW(B43)+1)),"")," ",IFERROR(INDEX(Накл!$C$9:$C$550,SMALL(IF(Накл!$A$9:$A$550=VALUE(LEFT(A43,8)),ROW(Накл!$A$9:$A$550)-ROW(Накл!$A$9)+1),ROW(E45)-ROW(B43)+1)),"")," ",IFERROR(INDEX(Накл!$C$9:$C$550,SMALL(IF(Накл!$A$9:$A$550=VALUE(LEFT(A43,8)),ROW(Накл!$A$9:$A$550)-ROW(Накл!$A$9)+1),ROW(E46)-ROW(B43)+1)),"")),"")</f>
        <v xml:space="preserve">28 31  </v>
      </c>
    </row>
    <row r="44" spans="1:5">
      <c r="A44" s="26" t="str">
        <f>IFERROR(CONCATENATE(VALUE(SUBSTITUTE(SUBSTITUTE(LEFT(Накл!G51,11),".",""),"-",""))," ",Накл!J51),"-")</f>
        <v>97552630 3</v>
      </c>
      <c r="B44" s="26" t="str">
        <f>IFERROR(VLOOKUP(VALUE(LEFT(A44,8)),Накл!$A$9:$D$550,4,0),"-")</f>
        <v>Всасывающий шланг D35 для серий WD и NT Classic Karcher 9.755-263 код : 000666</v>
      </c>
      <c r="C44" s="26">
        <f>Накл!J51</f>
        <v>3</v>
      </c>
      <c r="D44" s="33" t="str">
        <f t="array" ref="D44">CONCATENATE(IFERROR(INDEX(Накл!$C$9:$C$550,SMALL(IF(Накл!$B$9:$B$550=A44,ROW(Накл!$B$9:$B$550)-ROW(Накл!$B$9)+1),ROW(D44)-ROW(A44)+1)),"")," ",IFERROR(INDEX(Накл!$C$9:$C$550,SMALL(IF(Накл!$B$9:$B$550=A44,ROW(Накл!$B$9:$B$550)-ROW(Накл!$B$9)+1),ROW(D45)-ROW(A44)+1)),"")," ",IFERROR(INDEX(Накл!$C$9:$C$550,SMALL(IF(Накл!$B$9:$B$550=A44,ROW(Накл!$B$9:$B$550)-ROW(Накл!$B$9)+1),ROW(D46)-ROW(A44)+1)),"")," ",IFERROR(INDEX(Накл!$C$9:$C$550,SMALL(IF(Накл!$B$9:$B$550=A44,ROW(Накл!$B$9:$B$550)-ROW(Накл!$B$9)+1),ROW(D47)-ROW(A44)+1)),"")," ",IFERROR(INDEX(Накл!$C$9:$C$550,SMALL(IF(Накл!$B$9:$B$550=A44,ROW(Накл!$B$9:$B$550)-ROW(Накл!$B$9)+1),ROW(D48)-ROW(A44)+1)),"")," ",IFERROR(INDEX(Накл!$C$9:$C$550,SMALL(IF(Накл!$B$9:$B$550=A44,ROW(Накл!$B$9:$B$550)-ROW(Накл!$B$9)+1),ROW(D49)-ROW(A44)+1)),"")," ",IFERROR(INDEX(Накл!$C$9:$C$550,SMALL(IF(Накл!$B$9:$B$550=A44,ROW(Накл!$B$9:$B$550)-ROW(Накл!$B$9)+1),ROW(D50)-ROW(A44)+1)),"")," ",IFERROR(INDEX(Накл!$C$9:$C$550,SMALL(IF(Накл!$B$9:$B$550=A44,ROW(Накл!$B$9:$B$550)-ROW(Накл!$B$9)+1),ROW(D51)-ROW(A44)+1)),"")," ",IFERROR(INDEX(Накл!$C$9:$C$550,SMALL(IF(Накл!$B$9:$B$550=A44,ROW(Накл!$B$9:$B$550)-ROW(Накл!$B$9)+1),ROW(D52)-ROW(A44)+1)),"")," ",IFERROR(INDEX(Накл!$C$9:$C$550,SMALL(IF(Накл!$B$9:$B$550=A44,ROW(Накл!$B$9:$B$550)-ROW(Накл!$B$9)+1),ROW(D53)-ROW(A44)+1)),""))</f>
        <v xml:space="preserve">         </v>
      </c>
      <c r="E44" s="26" t="str">
        <f t="array" ref="E44">IF(LEN(D44)&lt;10,CONCATENATE(IFERROR(INDEX(Накл!$C$9:$C$550,SMALL(IF(Накл!$A$9:$A$550=VALUE(LEFT(A44,8)),ROW(Накл!$A$9:$A$550)-ROW(Накл!$A$9)+1),ROW(E44)-ROW(B44)+1)),"")," ",IFERROR(INDEX(Накл!$C$9:$C$550,SMALL(IF(Накл!$A$9:$A$550=VALUE(LEFT(A44,8)),ROW(Накл!$A$9:$A$550)-ROW(Накл!$A$9)+1),ROW(E45)-ROW(B44)+1)),"")," ",IFERROR(INDEX(Накл!$C$9:$C$550,SMALL(IF(Накл!$A$9:$A$550=VALUE(LEFT(A44,8)),ROW(Накл!$A$9:$A$550)-ROW(Накл!$A$9)+1),ROW(E46)-ROW(B44)+1)),"")," ",IFERROR(INDEX(Накл!$C$9:$C$550,SMALL(IF(Накл!$A$9:$A$550=VALUE(LEFT(A44,8)),ROW(Накл!$A$9:$A$550)-ROW(Накл!$A$9)+1),ROW(E47)-ROW(B44)+1)),"")),"")</f>
        <v xml:space="preserve">28 31  </v>
      </c>
    </row>
    <row r="45" spans="1:5">
      <c r="A45" s="26" t="str">
        <f>IFERROR(CONCATENATE(VALUE(SUBSTITUTE(SUBSTITUTE(LEFT(Накл!G52,11),".",""),"-",""))," ",Накл!J52),"-")</f>
        <v>97510270 4</v>
      </c>
      <c r="B45" s="26" t="str">
        <f>IFERROR(VLOOKUP(VALUE(LEFT(A45,8)),Накл!$A$9:$D$550,4,0),"-")</f>
        <v>9751027 Поршень с сборе Karcher код : 005015</v>
      </c>
      <c r="C45" s="26">
        <f>Накл!J52</f>
        <v>4</v>
      </c>
      <c r="D45" s="33" t="str">
        <f t="array" ref="D45">CONCATENATE(IFERROR(INDEX(Накл!$C$9:$C$550,SMALL(IF(Накл!$B$9:$B$550=A45,ROW(Накл!$B$9:$B$550)-ROW(Накл!$B$9)+1),ROW(D45)-ROW(A45)+1)),"")," ",IFERROR(INDEX(Накл!$C$9:$C$550,SMALL(IF(Накл!$B$9:$B$550=A45,ROW(Накл!$B$9:$B$550)-ROW(Накл!$B$9)+1),ROW(D46)-ROW(A45)+1)),"")," ",IFERROR(INDEX(Накл!$C$9:$C$550,SMALL(IF(Накл!$B$9:$B$550=A45,ROW(Накл!$B$9:$B$550)-ROW(Накл!$B$9)+1),ROW(D47)-ROW(A45)+1)),"")," ",IFERROR(INDEX(Накл!$C$9:$C$550,SMALL(IF(Накл!$B$9:$B$550=A45,ROW(Накл!$B$9:$B$550)-ROW(Накл!$B$9)+1),ROW(D48)-ROW(A45)+1)),"")," ",IFERROR(INDEX(Накл!$C$9:$C$550,SMALL(IF(Накл!$B$9:$B$550=A45,ROW(Накл!$B$9:$B$550)-ROW(Накл!$B$9)+1),ROW(D49)-ROW(A45)+1)),"")," ",IFERROR(INDEX(Накл!$C$9:$C$550,SMALL(IF(Накл!$B$9:$B$550=A45,ROW(Накл!$B$9:$B$550)-ROW(Накл!$B$9)+1),ROW(D50)-ROW(A45)+1)),"")," ",IFERROR(INDEX(Накл!$C$9:$C$550,SMALL(IF(Накл!$B$9:$B$550=A45,ROW(Накл!$B$9:$B$550)-ROW(Накл!$B$9)+1),ROW(D51)-ROW(A45)+1)),"")," ",IFERROR(INDEX(Накл!$C$9:$C$550,SMALL(IF(Накл!$B$9:$B$550=A45,ROW(Накл!$B$9:$B$550)-ROW(Накл!$B$9)+1),ROW(D52)-ROW(A45)+1)),"")," ",IFERROR(INDEX(Накл!$C$9:$C$550,SMALL(IF(Накл!$B$9:$B$550=A45,ROW(Накл!$B$9:$B$550)-ROW(Накл!$B$9)+1),ROW(D53)-ROW(A45)+1)),"")," ",IFERROR(INDEX(Накл!$C$9:$C$550,SMALL(IF(Накл!$B$9:$B$550=A45,ROW(Накл!$B$9:$B$550)-ROW(Накл!$B$9)+1),ROW(D54)-ROW(A45)+1)),""))</f>
        <v xml:space="preserve">         </v>
      </c>
      <c r="E45" s="26" t="str">
        <f t="array" ref="E45">IF(LEN(D45)&lt;10,CONCATENATE(IFERROR(INDEX(Накл!$C$9:$C$550,SMALL(IF(Накл!$A$9:$A$550=VALUE(LEFT(A45,8)),ROW(Накл!$A$9:$A$550)-ROW(Накл!$A$9)+1),ROW(E45)-ROW(B45)+1)),"")," ",IFERROR(INDEX(Накл!$C$9:$C$550,SMALL(IF(Накл!$A$9:$A$550=VALUE(LEFT(A45,8)),ROW(Накл!$A$9:$A$550)-ROW(Накл!$A$9)+1),ROW(E46)-ROW(B45)+1)),"")," ",IFERROR(INDEX(Накл!$C$9:$C$550,SMALL(IF(Накл!$A$9:$A$550=VALUE(LEFT(A45,8)),ROW(Накл!$A$9:$A$550)-ROW(Накл!$A$9)+1),ROW(E47)-ROW(B45)+1)),"")," ",IFERROR(INDEX(Накл!$C$9:$C$550,SMALL(IF(Накл!$A$9:$A$550=VALUE(LEFT(A45,8)),ROW(Накл!$A$9:$A$550)-ROW(Накл!$A$9)+1),ROW(E48)-ROW(B45)+1)),"")),"")</f>
        <v xml:space="preserve">208 209  </v>
      </c>
    </row>
    <row r="46" spans="1:5">
      <c r="A46" s="26" t="str">
        <f>IFERROR(CONCATENATE(VALUE(SUBSTITUTE(SUBSTITUTE(LEFT(Накл!G53,11),".",""),"-",""))," ",Накл!J53),"-")</f>
        <v>69021270 1</v>
      </c>
      <c r="B46" s="26" t="str">
        <f>IFERROR(VLOOKUP(VALUE(LEFT(A46,8)),Накл!$A$9:$D$550,4,0),"-")</f>
        <v>Телескопическая трубка Karcher 6.902-127 код : 030055</v>
      </c>
      <c r="C46" s="26">
        <f>Накл!J53</f>
        <v>1</v>
      </c>
      <c r="D46" s="33" t="str">
        <f t="array" ref="D46">CONCATENATE(IFERROR(INDEX(Накл!$C$9:$C$550,SMALL(IF(Накл!$B$9:$B$550=A46,ROW(Накл!$B$9:$B$550)-ROW(Накл!$B$9)+1),ROW(D46)-ROW(A46)+1)),"")," ",IFERROR(INDEX(Накл!$C$9:$C$550,SMALL(IF(Накл!$B$9:$B$550=A46,ROW(Накл!$B$9:$B$550)-ROW(Накл!$B$9)+1),ROW(D47)-ROW(A46)+1)),"")," ",IFERROR(INDEX(Накл!$C$9:$C$550,SMALL(IF(Накл!$B$9:$B$550=A46,ROW(Накл!$B$9:$B$550)-ROW(Накл!$B$9)+1),ROW(D48)-ROW(A46)+1)),"")," ",IFERROR(INDEX(Накл!$C$9:$C$550,SMALL(IF(Накл!$B$9:$B$550=A46,ROW(Накл!$B$9:$B$550)-ROW(Накл!$B$9)+1),ROW(D49)-ROW(A46)+1)),"")," ",IFERROR(INDEX(Накл!$C$9:$C$550,SMALL(IF(Накл!$B$9:$B$550=A46,ROW(Накл!$B$9:$B$550)-ROW(Накл!$B$9)+1),ROW(D50)-ROW(A46)+1)),"")," ",IFERROR(INDEX(Накл!$C$9:$C$550,SMALL(IF(Накл!$B$9:$B$550=A46,ROW(Накл!$B$9:$B$550)-ROW(Накл!$B$9)+1),ROW(D51)-ROW(A46)+1)),"")," ",IFERROR(INDEX(Накл!$C$9:$C$550,SMALL(IF(Накл!$B$9:$B$550=A46,ROW(Накл!$B$9:$B$550)-ROW(Накл!$B$9)+1),ROW(D52)-ROW(A46)+1)),"")," ",IFERROR(INDEX(Накл!$C$9:$C$550,SMALL(IF(Накл!$B$9:$B$550=A46,ROW(Накл!$B$9:$B$550)-ROW(Накл!$B$9)+1),ROW(D53)-ROW(A46)+1)),"")," ",IFERROR(INDEX(Накл!$C$9:$C$550,SMALL(IF(Накл!$B$9:$B$550=A46,ROW(Накл!$B$9:$B$550)-ROW(Накл!$B$9)+1),ROW(D54)-ROW(A46)+1)),"")," ",IFERROR(INDEX(Накл!$C$9:$C$550,SMALL(IF(Накл!$B$9:$B$550=A46,ROW(Накл!$B$9:$B$550)-ROW(Накл!$B$9)+1),ROW(D55)-ROW(A46)+1)),""))</f>
        <v xml:space="preserve">193         </v>
      </c>
      <c r="E46" s="26" t="str">
        <f t="array" ref="E46">IF(LEN(D46)&lt;10,CONCATENATE(IFERROR(INDEX(Накл!$C$9:$C$550,SMALL(IF(Накл!$A$9:$A$550=VALUE(LEFT(A46,8)),ROW(Накл!$A$9:$A$550)-ROW(Накл!$A$9)+1),ROW(E46)-ROW(B46)+1)),"")," ",IFERROR(INDEX(Накл!$C$9:$C$550,SMALL(IF(Накл!$A$9:$A$550=VALUE(LEFT(A46,8)),ROW(Накл!$A$9:$A$550)-ROW(Накл!$A$9)+1),ROW(E47)-ROW(B46)+1)),"")," ",IFERROR(INDEX(Накл!$C$9:$C$550,SMALL(IF(Накл!$A$9:$A$550=VALUE(LEFT(A46,8)),ROW(Накл!$A$9:$A$550)-ROW(Накл!$A$9)+1),ROW(E48)-ROW(B46)+1)),"")," ",IFERROR(INDEX(Накл!$C$9:$C$550,SMALL(IF(Накл!$A$9:$A$550=VALUE(LEFT(A46,8)),ROW(Накл!$A$9:$A$550)-ROW(Накл!$A$9)+1),ROW(E49)-ROW(B46)+1)),"")),"")</f>
        <v/>
      </c>
    </row>
    <row r="47" spans="1:5">
      <c r="A47" s="26" t="str">
        <f>IFERROR(CONCATENATE(VALUE(SUBSTITUTE(SUBSTITUTE(LEFT(Накл!G54,11),".",""),"-",""))," ",Накл!J54),"-")</f>
        <v>45532303 3</v>
      </c>
      <c r="B47" s="26" t="str">
        <f>IFERROR(VLOOKUP(VALUE(LEFT(A47,8)),Накл!$A$9:$D$550,4,0),"-")</f>
        <v>45532303 Пистон Karcher код : 005230</v>
      </c>
      <c r="C47" s="26">
        <f>Накл!J54</f>
        <v>3</v>
      </c>
      <c r="D47" s="33" t="str">
        <f t="array" ref="D47">CONCATENATE(IFERROR(INDEX(Накл!$C$9:$C$550,SMALL(IF(Накл!$B$9:$B$550=A47,ROW(Накл!$B$9:$B$550)-ROW(Накл!$B$9)+1),ROW(D47)-ROW(A47)+1)),"")," ",IFERROR(INDEX(Накл!$C$9:$C$550,SMALL(IF(Накл!$B$9:$B$550=A47,ROW(Накл!$B$9:$B$550)-ROW(Накл!$B$9)+1),ROW(D48)-ROW(A47)+1)),"")," ",IFERROR(INDEX(Накл!$C$9:$C$550,SMALL(IF(Накл!$B$9:$B$550=A47,ROW(Накл!$B$9:$B$550)-ROW(Накл!$B$9)+1),ROW(D49)-ROW(A47)+1)),"")," ",IFERROR(INDEX(Накл!$C$9:$C$550,SMALL(IF(Накл!$B$9:$B$550=A47,ROW(Накл!$B$9:$B$550)-ROW(Накл!$B$9)+1),ROW(D50)-ROW(A47)+1)),"")," ",IFERROR(INDEX(Накл!$C$9:$C$550,SMALL(IF(Накл!$B$9:$B$550=A47,ROW(Накл!$B$9:$B$550)-ROW(Накл!$B$9)+1),ROW(D51)-ROW(A47)+1)),"")," ",IFERROR(INDEX(Накл!$C$9:$C$550,SMALL(IF(Накл!$B$9:$B$550=A47,ROW(Накл!$B$9:$B$550)-ROW(Накл!$B$9)+1),ROW(D52)-ROW(A47)+1)),"")," ",IFERROR(INDEX(Накл!$C$9:$C$550,SMALL(IF(Накл!$B$9:$B$550=A47,ROW(Накл!$B$9:$B$550)-ROW(Накл!$B$9)+1),ROW(D53)-ROW(A47)+1)),"")," ",IFERROR(INDEX(Накл!$C$9:$C$550,SMALL(IF(Накл!$B$9:$B$550=A47,ROW(Накл!$B$9:$B$550)-ROW(Накл!$B$9)+1),ROW(D54)-ROW(A47)+1)),"")," ",IFERROR(INDEX(Накл!$C$9:$C$550,SMALL(IF(Накл!$B$9:$B$550=A47,ROW(Накл!$B$9:$B$550)-ROW(Накл!$B$9)+1),ROW(D55)-ROW(A47)+1)),"")," ",IFERROR(INDEX(Накл!$C$9:$C$550,SMALL(IF(Накл!$B$9:$B$550=A47,ROW(Накл!$B$9:$B$550)-ROW(Накл!$B$9)+1),ROW(D56)-ROW(A47)+1)),""))</f>
        <v xml:space="preserve">153         </v>
      </c>
      <c r="E47" s="26" t="str">
        <f t="array" ref="E47">IF(LEN(D47)&lt;10,CONCATENATE(IFERROR(INDEX(Накл!$C$9:$C$550,SMALL(IF(Накл!$A$9:$A$550=VALUE(LEFT(A47,8)),ROW(Накл!$A$9:$A$550)-ROW(Накл!$A$9)+1),ROW(E47)-ROW(B47)+1)),"")," ",IFERROR(INDEX(Накл!$C$9:$C$550,SMALL(IF(Накл!$A$9:$A$550=VALUE(LEFT(A47,8)),ROW(Накл!$A$9:$A$550)-ROW(Накл!$A$9)+1),ROW(E48)-ROW(B47)+1)),"")," ",IFERROR(INDEX(Накл!$C$9:$C$550,SMALL(IF(Накл!$A$9:$A$550=VALUE(LEFT(A47,8)),ROW(Накл!$A$9:$A$550)-ROW(Накл!$A$9)+1),ROW(E49)-ROW(B47)+1)),"")," ",IFERROR(INDEX(Накл!$C$9:$C$550,SMALL(IF(Накл!$A$9:$A$550=VALUE(LEFT(A47,8)),ROW(Накл!$A$9:$A$550)-ROW(Накл!$A$9)+1),ROW(E50)-ROW(B47)+1)),"")),"")</f>
        <v/>
      </c>
    </row>
    <row r="48" spans="1:5">
      <c r="A48" s="26" t="str">
        <f>IFERROR(CONCATENATE(VALUE(SUBSTITUTE(SUBSTITUTE(LEFT(Накл!G55,11),".",""),"-",""))," ",Накл!J55),"-")</f>
        <v>26377290 2</v>
      </c>
      <c r="B48" s="26" t="str">
        <f>IFERROR(VLOOKUP(VALUE(LEFT(A48,8)),Накл!$A$9:$D$550,4,0),"-")</f>
        <v>Комплект для чистки труб 7,5м (К2-К7) Karcher 2.637-729 код : 000720</v>
      </c>
      <c r="C48" s="26">
        <f>Накл!J55</f>
        <v>2</v>
      </c>
      <c r="D48" s="33" t="str">
        <f t="array" ref="D48">CONCATENATE(IFERROR(INDEX(Накл!$C$9:$C$550,SMALL(IF(Накл!$B$9:$B$550=A48,ROW(Накл!$B$9:$B$550)-ROW(Накл!$B$9)+1),ROW(D48)-ROW(A48)+1)),"")," ",IFERROR(INDEX(Накл!$C$9:$C$550,SMALL(IF(Накл!$B$9:$B$550=A48,ROW(Накл!$B$9:$B$550)-ROW(Накл!$B$9)+1),ROW(D49)-ROW(A48)+1)),"")," ",IFERROR(INDEX(Накл!$C$9:$C$550,SMALL(IF(Накл!$B$9:$B$550=A48,ROW(Накл!$B$9:$B$550)-ROW(Накл!$B$9)+1),ROW(D50)-ROW(A48)+1)),"")," ",IFERROR(INDEX(Накл!$C$9:$C$550,SMALL(IF(Накл!$B$9:$B$550=A48,ROW(Накл!$B$9:$B$550)-ROW(Накл!$B$9)+1),ROW(D51)-ROW(A48)+1)),"")," ",IFERROR(INDEX(Накл!$C$9:$C$550,SMALL(IF(Накл!$B$9:$B$550=A48,ROW(Накл!$B$9:$B$550)-ROW(Накл!$B$9)+1),ROW(D52)-ROW(A48)+1)),"")," ",IFERROR(INDEX(Накл!$C$9:$C$550,SMALL(IF(Накл!$B$9:$B$550=A48,ROW(Накл!$B$9:$B$550)-ROW(Накл!$B$9)+1),ROW(D53)-ROW(A48)+1)),"")," ",IFERROR(INDEX(Накл!$C$9:$C$550,SMALL(IF(Накл!$B$9:$B$550=A48,ROW(Накл!$B$9:$B$550)-ROW(Накл!$B$9)+1),ROW(D54)-ROW(A48)+1)),"")," ",IFERROR(INDEX(Накл!$C$9:$C$550,SMALL(IF(Накл!$B$9:$B$550=A48,ROW(Накл!$B$9:$B$550)-ROW(Накл!$B$9)+1),ROW(D55)-ROW(A48)+1)),"")," ",IFERROR(INDEX(Накл!$C$9:$C$550,SMALL(IF(Накл!$B$9:$B$550=A48,ROW(Накл!$B$9:$B$550)-ROW(Накл!$B$9)+1),ROW(D56)-ROW(A48)+1)),"")," ",IFERROR(INDEX(Накл!$C$9:$C$550,SMALL(IF(Накл!$B$9:$B$550=A48,ROW(Накл!$B$9:$B$550)-ROW(Накл!$B$9)+1),ROW(D57)-ROW(A48)+1)),""))</f>
        <v xml:space="preserve">138         </v>
      </c>
      <c r="E48" s="26" t="str">
        <f t="array" ref="E48">IF(LEN(D48)&lt;10,CONCATENATE(IFERROR(INDEX(Накл!$C$9:$C$550,SMALL(IF(Накл!$A$9:$A$550=VALUE(LEFT(A48,8)),ROW(Накл!$A$9:$A$550)-ROW(Накл!$A$9)+1),ROW(E48)-ROW(B48)+1)),"")," ",IFERROR(INDEX(Накл!$C$9:$C$550,SMALL(IF(Накл!$A$9:$A$550=VALUE(LEFT(A48,8)),ROW(Накл!$A$9:$A$550)-ROW(Накл!$A$9)+1),ROW(E49)-ROW(B48)+1)),"")," ",IFERROR(INDEX(Накл!$C$9:$C$550,SMALL(IF(Накл!$A$9:$A$550=VALUE(LEFT(A48,8)),ROW(Накл!$A$9:$A$550)-ROW(Накл!$A$9)+1),ROW(E50)-ROW(B48)+1)),"")," ",IFERROR(INDEX(Накл!$C$9:$C$550,SMALL(IF(Накл!$A$9:$A$550=VALUE(LEFT(A48,8)),ROW(Накл!$A$9:$A$550)-ROW(Накл!$A$9)+1),ROW(E51)-ROW(B48)+1)),"")),"")</f>
        <v/>
      </c>
    </row>
    <row r="49" spans="1:5">
      <c r="A49" s="26" t="str">
        <f>IFERROR(CONCATENATE(VALUE(SUBSTITUTE(SUBSTITUTE(LEFT(Накл!G56,11),".",""),"-",""))," ",Накл!J56),"-")</f>
        <v>45805940 10</v>
      </c>
      <c r="B49" s="26" t="str">
        <f>IFERROR(VLOOKUP(VALUE(LEFT(A49,8)),Накл!$A$9:$D$550,4,0),"-")</f>
        <v>4580594 Клапан обратный на профи HD10/25.....      *4* код : 005006</v>
      </c>
      <c r="C49" s="26">
        <f>Накл!J56</f>
        <v>10</v>
      </c>
      <c r="D49" s="33" t="str">
        <f t="array" ref="D49">CONCATENATE(IFERROR(INDEX(Накл!$C$9:$C$550,SMALL(IF(Накл!$B$9:$B$550=A49,ROW(Накл!$B$9:$B$550)-ROW(Накл!$B$9)+1),ROW(D49)-ROW(A49)+1)),"")," ",IFERROR(INDEX(Накл!$C$9:$C$550,SMALL(IF(Накл!$B$9:$B$550=A49,ROW(Накл!$B$9:$B$550)-ROW(Накл!$B$9)+1),ROW(D50)-ROW(A49)+1)),"")," ",IFERROR(INDEX(Накл!$C$9:$C$550,SMALL(IF(Накл!$B$9:$B$550=A49,ROW(Накл!$B$9:$B$550)-ROW(Накл!$B$9)+1),ROW(D51)-ROW(A49)+1)),"")," ",IFERROR(INDEX(Накл!$C$9:$C$550,SMALL(IF(Накл!$B$9:$B$550=A49,ROW(Накл!$B$9:$B$550)-ROW(Накл!$B$9)+1),ROW(D52)-ROW(A49)+1)),"")," ",IFERROR(INDEX(Накл!$C$9:$C$550,SMALL(IF(Накл!$B$9:$B$550=A49,ROW(Накл!$B$9:$B$550)-ROW(Накл!$B$9)+1),ROW(D53)-ROW(A49)+1)),"")," ",IFERROR(INDEX(Накл!$C$9:$C$550,SMALL(IF(Накл!$B$9:$B$550=A49,ROW(Накл!$B$9:$B$550)-ROW(Накл!$B$9)+1),ROW(D54)-ROW(A49)+1)),"")," ",IFERROR(INDEX(Накл!$C$9:$C$550,SMALL(IF(Накл!$B$9:$B$550=A49,ROW(Накл!$B$9:$B$550)-ROW(Накл!$B$9)+1),ROW(D55)-ROW(A49)+1)),"")," ",IFERROR(INDEX(Накл!$C$9:$C$550,SMALL(IF(Накл!$B$9:$B$550=A49,ROW(Накл!$B$9:$B$550)-ROW(Накл!$B$9)+1),ROW(D56)-ROW(A49)+1)),"")," ",IFERROR(INDEX(Накл!$C$9:$C$550,SMALL(IF(Накл!$B$9:$B$550=A49,ROW(Накл!$B$9:$B$550)-ROW(Накл!$B$9)+1),ROW(D57)-ROW(A49)+1)),"")," ",IFERROR(INDEX(Накл!$C$9:$C$550,SMALL(IF(Накл!$B$9:$B$550=A49,ROW(Накл!$B$9:$B$550)-ROW(Накл!$B$9)+1),ROW(D58)-ROW(A49)+1)),""))</f>
        <v xml:space="preserve">156         </v>
      </c>
      <c r="E49" s="26" t="str">
        <f t="array" ref="E49">IF(LEN(D49)&lt;10,CONCATENATE(IFERROR(INDEX(Накл!$C$9:$C$550,SMALL(IF(Накл!$A$9:$A$550=VALUE(LEFT(A49,8)),ROW(Накл!$A$9:$A$550)-ROW(Накл!$A$9)+1),ROW(E49)-ROW(B49)+1)),"")," ",IFERROR(INDEX(Накл!$C$9:$C$550,SMALL(IF(Накл!$A$9:$A$550=VALUE(LEFT(A49,8)),ROW(Накл!$A$9:$A$550)-ROW(Накл!$A$9)+1),ROW(E50)-ROW(B49)+1)),"")," ",IFERROR(INDEX(Накл!$C$9:$C$550,SMALL(IF(Накл!$A$9:$A$550=VALUE(LEFT(A49,8)),ROW(Накл!$A$9:$A$550)-ROW(Накл!$A$9)+1),ROW(E51)-ROW(B49)+1)),"")," ",IFERROR(INDEX(Накл!$C$9:$C$550,SMALL(IF(Накл!$A$9:$A$550=VALUE(LEFT(A49,8)),ROW(Накл!$A$9:$A$550)-ROW(Накл!$A$9)+1),ROW(E52)-ROW(B49)+1)),"")),"")</f>
        <v/>
      </c>
    </row>
    <row r="50" spans="1:5">
      <c r="A50" s="26" t="str">
        <f>IFERROR(CONCATENATE(VALUE(SUBSTITUTE(SUBSTITUTE(LEFT(Накл!G57,11),".",""),"-",""))," ",Накл!J57),"-")</f>
        <v>24450350 1</v>
      </c>
      <c r="B50" s="26" t="str">
        <f>IFERROR(VLOOKUP(VALUE(LEFT(A50,8)),Накл!$A$9:$D$550,4,0),"-")</f>
        <v>Battery Power 18/50 DW Аккум батарея Karcher 2.445-035 код : 030040</v>
      </c>
      <c r="C50" s="26">
        <f>Накл!J57</f>
        <v>1</v>
      </c>
      <c r="D50" s="33" t="str">
        <f t="array" ref="D50">CONCATENATE(IFERROR(INDEX(Накл!$C$9:$C$550,SMALL(IF(Накл!$B$9:$B$550=A50,ROW(Накл!$B$9:$B$550)-ROW(Накл!$B$9)+1),ROW(D50)-ROW(A50)+1)),"")," ",IFERROR(INDEX(Накл!$C$9:$C$550,SMALL(IF(Накл!$B$9:$B$550=A50,ROW(Накл!$B$9:$B$550)-ROW(Накл!$B$9)+1),ROW(D51)-ROW(A50)+1)),"")," ",IFERROR(INDEX(Накл!$C$9:$C$550,SMALL(IF(Накл!$B$9:$B$550=A50,ROW(Накл!$B$9:$B$550)-ROW(Накл!$B$9)+1),ROW(D52)-ROW(A50)+1)),"")," ",IFERROR(INDEX(Накл!$C$9:$C$550,SMALL(IF(Накл!$B$9:$B$550=A50,ROW(Накл!$B$9:$B$550)-ROW(Накл!$B$9)+1),ROW(D53)-ROW(A50)+1)),"")," ",IFERROR(INDEX(Накл!$C$9:$C$550,SMALL(IF(Накл!$B$9:$B$550=A50,ROW(Накл!$B$9:$B$550)-ROW(Накл!$B$9)+1),ROW(D54)-ROW(A50)+1)),"")," ",IFERROR(INDEX(Накл!$C$9:$C$550,SMALL(IF(Накл!$B$9:$B$550=A50,ROW(Накл!$B$9:$B$550)-ROW(Накл!$B$9)+1),ROW(D55)-ROW(A50)+1)),"")," ",IFERROR(INDEX(Накл!$C$9:$C$550,SMALL(IF(Накл!$B$9:$B$550=A50,ROW(Накл!$B$9:$B$550)-ROW(Накл!$B$9)+1),ROW(D56)-ROW(A50)+1)),"")," ",IFERROR(INDEX(Накл!$C$9:$C$550,SMALL(IF(Накл!$B$9:$B$550=A50,ROW(Накл!$B$9:$B$550)-ROW(Накл!$B$9)+1),ROW(D57)-ROW(A50)+1)),"")," ",IFERROR(INDEX(Накл!$C$9:$C$550,SMALL(IF(Накл!$B$9:$B$550=A50,ROW(Накл!$B$9:$B$550)-ROW(Накл!$B$9)+1),ROW(D58)-ROW(A50)+1)),"")," ",IFERROR(INDEX(Накл!$C$9:$C$550,SMALL(IF(Накл!$B$9:$B$550=A50,ROW(Накл!$B$9:$B$550)-ROW(Накл!$B$9)+1),ROW(D59)-ROW(A50)+1)),""))</f>
        <v xml:space="preserve">67         </v>
      </c>
      <c r="E50" s="26" t="str">
        <f t="array" ref="E50">IF(LEN(D50)&lt;10,CONCATENATE(IFERROR(INDEX(Накл!$C$9:$C$550,SMALL(IF(Накл!$A$9:$A$550=VALUE(LEFT(A50,8)),ROW(Накл!$A$9:$A$550)-ROW(Накл!$A$9)+1),ROW(E50)-ROW(B50)+1)),"")," ",IFERROR(INDEX(Накл!$C$9:$C$550,SMALL(IF(Накл!$A$9:$A$550=VALUE(LEFT(A50,8)),ROW(Накл!$A$9:$A$550)-ROW(Накл!$A$9)+1),ROW(E51)-ROW(B50)+1)),"")," ",IFERROR(INDEX(Накл!$C$9:$C$550,SMALL(IF(Накл!$A$9:$A$550=VALUE(LEFT(A50,8)),ROW(Накл!$A$9:$A$550)-ROW(Накл!$A$9)+1),ROW(E52)-ROW(B50)+1)),"")," ",IFERROR(INDEX(Накл!$C$9:$C$550,SMALL(IF(Накл!$A$9:$A$550=VALUE(LEFT(A50,8)),ROW(Накл!$A$9:$A$550)-ROW(Накл!$A$9)+1),ROW(E53)-ROW(B50)+1)),"")),"")</f>
        <v/>
      </c>
    </row>
    <row r="51" spans="1:5">
      <c r="A51" s="26" t="str">
        <f>IFERROR(CONCATENATE(VALUE(SUBSTITUTE(SUBSTITUTE(LEFT(Накл!G58,11),".",""),"-",""))," ",Накл!J58),"-")</f>
        <v>61100460 1</v>
      </c>
      <c r="B51" s="26" t="str">
        <f>IFERROR(VLOOKUP(VALUE(LEFT(A51,8)),Накл!$A$9:$D$550,4,0),"-")</f>
        <v>Шланговое соединение Karcher 6.110-046 код : 030054</v>
      </c>
      <c r="C51" s="26">
        <f>Накл!J58</f>
        <v>1</v>
      </c>
      <c r="D51" s="33" t="str">
        <f t="array" ref="D51">CONCATENATE(IFERROR(INDEX(Накл!$C$9:$C$550,SMALL(IF(Накл!$B$9:$B$550=A51,ROW(Накл!$B$9:$B$550)-ROW(Накл!$B$9)+1),ROW(D51)-ROW(A51)+1)),"")," ",IFERROR(INDEX(Накл!$C$9:$C$550,SMALL(IF(Накл!$B$9:$B$550=A51,ROW(Накл!$B$9:$B$550)-ROW(Накл!$B$9)+1),ROW(D52)-ROW(A51)+1)),"")," ",IFERROR(INDEX(Накл!$C$9:$C$550,SMALL(IF(Накл!$B$9:$B$550=A51,ROW(Накл!$B$9:$B$550)-ROW(Накл!$B$9)+1),ROW(D53)-ROW(A51)+1)),"")," ",IFERROR(INDEX(Накл!$C$9:$C$550,SMALL(IF(Накл!$B$9:$B$550=A51,ROW(Накл!$B$9:$B$550)-ROW(Накл!$B$9)+1),ROW(D54)-ROW(A51)+1)),"")," ",IFERROR(INDEX(Накл!$C$9:$C$550,SMALL(IF(Накл!$B$9:$B$550=A51,ROW(Накл!$B$9:$B$550)-ROW(Накл!$B$9)+1),ROW(D55)-ROW(A51)+1)),"")," ",IFERROR(INDEX(Накл!$C$9:$C$550,SMALL(IF(Накл!$B$9:$B$550=A51,ROW(Накл!$B$9:$B$550)-ROW(Накл!$B$9)+1),ROW(D56)-ROW(A51)+1)),"")," ",IFERROR(INDEX(Накл!$C$9:$C$550,SMALL(IF(Накл!$B$9:$B$550=A51,ROW(Накл!$B$9:$B$550)-ROW(Накл!$B$9)+1),ROW(D57)-ROW(A51)+1)),"")," ",IFERROR(INDEX(Накл!$C$9:$C$550,SMALL(IF(Накл!$B$9:$B$550=A51,ROW(Накл!$B$9:$B$550)-ROW(Накл!$B$9)+1),ROW(D58)-ROW(A51)+1)),"")," ",IFERROR(INDEX(Накл!$C$9:$C$550,SMALL(IF(Накл!$B$9:$B$550=A51,ROW(Накл!$B$9:$B$550)-ROW(Накл!$B$9)+1),ROW(D59)-ROW(A51)+1)),"")," ",IFERROR(INDEX(Накл!$C$9:$C$550,SMALL(IF(Накл!$B$9:$B$550=A51,ROW(Накл!$B$9:$B$550)-ROW(Накл!$B$9)+1),ROW(D60)-ROW(A51)+1)),""))</f>
        <v xml:space="preserve">172         </v>
      </c>
      <c r="E51" s="26" t="str">
        <f t="array" ref="E51">IF(LEN(D51)&lt;10,CONCATENATE(IFERROR(INDEX(Накл!$C$9:$C$550,SMALL(IF(Накл!$A$9:$A$550=VALUE(LEFT(A51,8)),ROW(Накл!$A$9:$A$550)-ROW(Накл!$A$9)+1),ROW(E51)-ROW(B51)+1)),"")," ",IFERROR(INDEX(Накл!$C$9:$C$550,SMALL(IF(Накл!$A$9:$A$550=VALUE(LEFT(A51,8)),ROW(Накл!$A$9:$A$550)-ROW(Накл!$A$9)+1),ROW(E52)-ROW(B51)+1)),"")," ",IFERROR(INDEX(Накл!$C$9:$C$550,SMALL(IF(Накл!$A$9:$A$550=VALUE(LEFT(A51,8)),ROW(Накл!$A$9:$A$550)-ROW(Накл!$A$9)+1),ROW(E53)-ROW(B51)+1)),"")," ",IFERROR(INDEX(Накл!$C$9:$C$550,SMALL(IF(Накл!$A$9:$A$550=VALUE(LEFT(A51,8)),ROW(Накл!$A$9:$A$550)-ROW(Накл!$A$9)+1),ROW(E54)-ROW(B51)+1)),"")),"")</f>
        <v/>
      </c>
    </row>
    <row r="52" spans="1:5">
      <c r="A52" s="26" t="str">
        <f>IFERROR(CONCATENATE(VALUE(SUBSTITUTE(SUBSTITUTE(LEFT(Накл!G59,11),".",""),"-",""))," ",Накл!J59),"-")</f>
        <v>50373330 1</v>
      </c>
      <c r="B52" s="26" t="str">
        <f>IFERROR(VLOOKUP(VALUE(LEFT(A52,8)),Накл!$A$9:$D$550,4,0),"-")</f>
        <v>Зажим распылителя Karcher 5.037-333 код : 030167</v>
      </c>
      <c r="C52" s="26">
        <f>Накл!J59</f>
        <v>1</v>
      </c>
      <c r="D52" s="33" t="str">
        <f t="array" ref="D52">CONCATENATE(IFERROR(INDEX(Накл!$C$9:$C$550,SMALL(IF(Накл!$B$9:$B$550=A52,ROW(Накл!$B$9:$B$550)-ROW(Накл!$B$9)+1),ROW(D52)-ROW(A52)+1)),"")," ",IFERROR(INDEX(Накл!$C$9:$C$550,SMALL(IF(Накл!$B$9:$B$550=A52,ROW(Накл!$B$9:$B$550)-ROW(Накл!$B$9)+1),ROW(D53)-ROW(A52)+1)),"")," ",IFERROR(INDEX(Накл!$C$9:$C$550,SMALL(IF(Накл!$B$9:$B$550=A52,ROW(Накл!$B$9:$B$550)-ROW(Накл!$B$9)+1),ROW(D54)-ROW(A52)+1)),"")," ",IFERROR(INDEX(Накл!$C$9:$C$550,SMALL(IF(Накл!$B$9:$B$550=A52,ROW(Накл!$B$9:$B$550)-ROW(Накл!$B$9)+1),ROW(D55)-ROW(A52)+1)),"")," ",IFERROR(INDEX(Накл!$C$9:$C$550,SMALL(IF(Накл!$B$9:$B$550=A52,ROW(Накл!$B$9:$B$550)-ROW(Накл!$B$9)+1),ROW(D56)-ROW(A52)+1)),"")," ",IFERROR(INDEX(Накл!$C$9:$C$550,SMALL(IF(Накл!$B$9:$B$550=A52,ROW(Накл!$B$9:$B$550)-ROW(Накл!$B$9)+1),ROW(D57)-ROW(A52)+1)),"")," ",IFERROR(INDEX(Накл!$C$9:$C$550,SMALL(IF(Накл!$B$9:$B$550=A52,ROW(Накл!$B$9:$B$550)-ROW(Накл!$B$9)+1),ROW(D58)-ROW(A52)+1)),"")," ",IFERROR(INDEX(Накл!$C$9:$C$550,SMALL(IF(Накл!$B$9:$B$550=A52,ROW(Накл!$B$9:$B$550)-ROW(Накл!$B$9)+1),ROW(D59)-ROW(A52)+1)),"")," ",IFERROR(INDEX(Накл!$C$9:$C$550,SMALL(IF(Накл!$B$9:$B$550=A52,ROW(Накл!$B$9:$B$550)-ROW(Накл!$B$9)+1),ROW(D60)-ROW(A52)+1)),"")," ",IFERROR(INDEX(Накл!$C$9:$C$550,SMALL(IF(Накл!$B$9:$B$550=A52,ROW(Накл!$B$9:$B$550)-ROW(Накл!$B$9)+1),ROW(D61)-ROW(A52)+1)),""))</f>
        <v xml:space="preserve">164         </v>
      </c>
      <c r="E52" s="26" t="str">
        <f t="array" ref="E52">IF(LEN(D52)&lt;10,CONCATENATE(IFERROR(INDEX(Накл!$C$9:$C$550,SMALL(IF(Накл!$A$9:$A$550=VALUE(LEFT(A52,8)),ROW(Накл!$A$9:$A$550)-ROW(Накл!$A$9)+1),ROW(E52)-ROW(B52)+1)),"")," ",IFERROR(INDEX(Накл!$C$9:$C$550,SMALL(IF(Накл!$A$9:$A$550=VALUE(LEFT(A52,8)),ROW(Накл!$A$9:$A$550)-ROW(Накл!$A$9)+1),ROW(E53)-ROW(B52)+1)),"")," ",IFERROR(INDEX(Накл!$C$9:$C$550,SMALL(IF(Накл!$A$9:$A$550=VALUE(LEFT(A52,8)),ROW(Накл!$A$9:$A$550)-ROW(Накл!$A$9)+1),ROW(E54)-ROW(B52)+1)),"")," ",IFERROR(INDEX(Накл!$C$9:$C$550,SMALL(IF(Накл!$A$9:$A$550=VALUE(LEFT(A52,8)),ROW(Накл!$A$9:$A$550)-ROW(Накл!$A$9)+1),ROW(E55)-ROW(B52)+1)),"")),"")</f>
        <v/>
      </c>
    </row>
    <row r="53" spans="1:5">
      <c r="A53" s="26" t="str">
        <f>IFERROR(CONCATENATE(VALUE(SUBSTITUTE(SUBSTITUTE(LEFT(Накл!G60,11),".",""),"-",""))," ",Накл!J60),"-")</f>
        <v>69042940 2</v>
      </c>
      <c r="B53" s="26" t="str">
        <f>IFERROR(VLOOKUP(VALUE(LEFT(A53,8)),Накл!$A$9:$D$550,4,0),"-")</f>
        <v>Бумажные фильтр-мешки 10шт Karcher 6.904-294 код : 030056</v>
      </c>
      <c r="C53" s="26">
        <f>Накл!J60</f>
        <v>2</v>
      </c>
      <c r="D53" s="33" t="str">
        <f t="array" ref="D53">CONCATENATE(IFERROR(INDEX(Накл!$C$9:$C$550,SMALL(IF(Накл!$B$9:$B$550=A53,ROW(Накл!$B$9:$B$550)-ROW(Накл!$B$9)+1),ROW(D53)-ROW(A53)+1)),"")," ",IFERROR(INDEX(Накл!$C$9:$C$550,SMALL(IF(Накл!$B$9:$B$550=A53,ROW(Накл!$B$9:$B$550)-ROW(Накл!$B$9)+1),ROW(D54)-ROW(A53)+1)),"")," ",IFERROR(INDEX(Накл!$C$9:$C$550,SMALL(IF(Накл!$B$9:$B$550=A53,ROW(Накл!$B$9:$B$550)-ROW(Накл!$B$9)+1),ROW(D55)-ROW(A53)+1)),"")," ",IFERROR(INDEX(Накл!$C$9:$C$550,SMALL(IF(Накл!$B$9:$B$550=A53,ROW(Накл!$B$9:$B$550)-ROW(Накл!$B$9)+1),ROW(D56)-ROW(A53)+1)),"")," ",IFERROR(INDEX(Накл!$C$9:$C$550,SMALL(IF(Накл!$B$9:$B$550=A53,ROW(Накл!$B$9:$B$550)-ROW(Накл!$B$9)+1),ROW(D57)-ROW(A53)+1)),"")," ",IFERROR(INDEX(Накл!$C$9:$C$550,SMALL(IF(Накл!$B$9:$B$550=A53,ROW(Накл!$B$9:$B$550)-ROW(Накл!$B$9)+1),ROW(D58)-ROW(A53)+1)),"")," ",IFERROR(INDEX(Накл!$C$9:$C$550,SMALL(IF(Накл!$B$9:$B$550=A53,ROW(Накл!$B$9:$B$550)-ROW(Накл!$B$9)+1),ROW(D59)-ROW(A53)+1)),"")," ",IFERROR(INDEX(Накл!$C$9:$C$550,SMALL(IF(Накл!$B$9:$B$550=A53,ROW(Накл!$B$9:$B$550)-ROW(Накл!$B$9)+1),ROW(D60)-ROW(A53)+1)),"")," ",IFERROR(INDEX(Накл!$C$9:$C$550,SMALL(IF(Накл!$B$9:$B$550=A53,ROW(Накл!$B$9:$B$550)-ROW(Накл!$B$9)+1),ROW(D61)-ROW(A53)+1)),"")," ",IFERROR(INDEX(Накл!$C$9:$C$550,SMALL(IF(Накл!$B$9:$B$550=A53,ROW(Накл!$B$9:$B$550)-ROW(Накл!$B$9)+1),ROW(D62)-ROW(A53)+1)),""))</f>
        <v xml:space="preserve">194         </v>
      </c>
      <c r="E53" s="26" t="str">
        <f t="array" ref="E53">IF(LEN(D53)&lt;10,CONCATENATE(IFERROR(INDEX(Накл!$C$9:$C$550,SMALL(IF(Накл!$A$9:$A$550=VALUE(LEFT(A53,8)),ROW(Накл!$A$9:$A$550)-ROW(Накл!$A$9)+1),ROW(E53)-ROW(B53)+1)),"")," ",IFERROR(INDEX(Накл!$C$9:$C$550,SMALL(IF(Накл!$A$9:$A$550=VALUE(LEFT(A53,8)),ROW(Накл!$A$9:$A$550)-ROW(Накл!$A$9)+1),ROW(E54)-ROW(B53)+1)),"")," ",IFERROR(INDEX(Накл!$C$9:$C$550,SMALL(IF(Накл!$A$9:$A$550=VALUE(LEFT(A53,8)),ROW(Накл!$A$9:$A$550)-ROW(Накл!$A$9)+1),ROW(E55)-ROW(B53)+1)),"")," ",IFERROR(INDEX(Накл!$C$9:$C$550,SMALL(IF(Накл!$A$9:$A$550=VALUE(LEFT(A53,8)),ROW(Накл!$A$9:$A$550)-ROW(Накл!$A$9)+1),ROW(E56)-ROW(B53)+1)),"")),"")</f>
        <v/>
      </c>
    </row>
    <row r="54" spans="1:5">
      <c r="A54" s="26" t="str">
        <f>IFERROR(CONCATENATE(VALUE(SUBSTITUTE(SUBSTITUTE(LEFT(Накл!G61,11),".",""),"-",""))," ",Накл!J61),"-")</f>
        <v>28851860 3</v>
      </c>
      <c r="B54" s="26" t="str">
        <f>IFERROR(VLOOKUP(VALUE(LEFT(A54,8)),Накл!$A$9:$D$550,4,0),"-")</f>
        <v>2885186 Комплект запасных частей Karcher *1* код : 005305</v>
      </c>
      <c r="C54" s="26">
        <f>Накл!J61</f>
        <v>3</v>
      </c>
      <c r="D54" s="33" t="str">
        <f t="array" ref="D54">CONCATENATE(IFERROR(INDEX(Накл!$C$9:$C$550,SMALL(IF(Накл!$B$9:$B$550=A54,ROW(Накл!$B$9:$B$550)-ROW(Накл!$B$9)+1),ROW(D54)-ROW(A54)+1)),"")," ",IFERROR(INDEX(Накл!$C$9:$C$550,SMALL(IF(Накл!$B$9:$B$550=A54,ROW(Накл!$B$9:$B$550)-ROW(Накл!$B$9)+1),ROW(D55)-ROW(A54)+1)),"")," ",IFERROR(INDEX(Накл!$C$9:$C$550,SMALL(IF(Накл!$B$9:$B$550=A54,ROW(Накл!$B$9:$B$550)-ROW(Накл!$B$9)+1),ROW(D56)-ROW(A54)+1)),"")," ",IFERROR(INDEX(Накл!$C$9:$C$550,SMALL(IF(Накл!$B$9:$B$550=A54,ROW(Накл!$B$9:$B$550)-ROW(Накл!$B$9)+1),ROW(D57)-ROW(A54)+1)),"")," ",IFERROR(INDEX(Накл!$C$9:$C$550,SMALL(IF(Накл!$B$9:$B$550=A54,ROW(Накл!$B$9:$B$550)-ROW(Накл!$B$9)+1),ROW(D58)-ROW(A54)+1)),"")," ",IFERROR(INDEX(Накл!$C$9:$C$550,SMALL(IF(Накл!$B$9:$B$550=A54,ROW(Накл!$B$9:$B$550)-ROW(Накл!$B$9)+1),ROW(D59)-ROW(A54)+1)),"")," ",IFERROR(INDEX(Накл!$C$9:$C$550,SMALL(IF(Накл!$B$9:$B$550=A54,ROW(Накл!$B$9:$B$550)-ROW(Накл!$B$9)+1),ROW(D60)-ROW(A54)+1)),"")," ",IFERROR(INDEX(Накл!$C$9:$C$550,SMALL(IF(Накл!$B$9:$B$550=A54,ROW(Накл!$B$9:$B$550)-ROW(Накл!$B$9)+1),ROW(D61)-ROW(A54)+1)),"")," ",IFERROR(INDEX(Накл!$C$9:$C$550,SMALL(IF(Накл!$B$9:$B$550=A54,ROW(Накл!$B$9:$B$550)-ROW(Накл!$B$9)+1),ROW(D62)-ROW(A54)+1)),"")," ",IFERROR(INDEX(Накл!$C$9:$C$550,SMALL(IF(Накл!$B$9:$B$550=A54,ROW(Накл!$B$9:$B$550)-ROW(Накл!$B$9)+1),ROW(D63)-ROW(A54)+1)),""))</f>
        <v xml:space="preserve">147         </v>
      </c>
      <c r="E54" s="26" t="str">
        <f t="array" ref="E54">IF(LEN(D54)&lt;10,CONCATENATE(IFERROR(INDEX(Накл!$C$9:$C$550,SMALL(IF(Накл!$A$9:$A$550=VALUE(LEFT(A54,8)),ROW(Накл!$A$9:$A$550)-ROW(Накл!$A$9)+1),ROW(E54)-ROW(B54)+1)),"")," ",IFERROR(INDEX(Накл!$C$9:$C$550,SMALL(IF(Накл!$A$9:$A$550=VALUE(LEFT(A54,8)),ROW(Накл!$A$9:$A$550)-ROW(Накл!$A$9)+1),ROW(E55)-ROW(B54)+1)),"")," ",IFERROR(INDEX(Накл!$C$9:$C$550,SMALL(IF(Накл!$A$9:$A$550=VALUE(LEFT(A54,8)),ROW(Накл!$A$9:$A$550)-ROW(Накл!$A$9)+1),ROW(E56)-ROW(B54)+1)),"")," ",IFERROR(INDEX(Накл!$C$9:$C$550,SMALL(IF(Накл!$A$9:$A$550=VALUE(LEFT(A54,8)),ROW(Накл!$A$9:$A$550)-ROW(Накл!$A$9)+1),ROW(E57)-ROW(B54)+1)),"")),"")</f>
        <v/>
      </c>
    </row>
    <row r="55" spans="1:5">
      <c r="A55" s="26" t="str">
        <f>IFERROR(CONCATENATE(VALUE(SUBSTITUTE(SUBSTITUTE(LEFT(Накл!G62,11),".",""),"-",""))," ",Накл!J62),"-")</f>
        <v>47301683 1</v>
      </c>
      <c r="B55" s="26" t="str">
        <f>IFERROR(VLOOKUP(VALUE(LEFT(A55,8)),Накл!$A$9:$D$550,4,0),"-")</f>
        <v>Фильтр для воды в сборе Karcher 4.730-168.3 код : 006385</v>
      </c>
      <c r="C55" s="26">
        <f>Накл!J62</f>
        <v>1</v>
      </c>
      <c r="D55" s="33" t="str">
        <f t="array" ref="D55">CONCATENATE(IFERROR(INDEX(Накл!$C$9:$C$550,SMALL(IF(Накл!$B$9:$B$550=A55,ROW(Накл!$B$9:$B$550)-ROW(Накл!$B$9)+1),ROW(D55)-ROW(A55)+1)),"")," ",IFERROR(INDEX(Накл!$C$9:$C$550,SMALL(IF(Накл!$B$9:$B$550=A55,ROW(Накл!$B$9:$B$550)-ROW(Накл!$B$9)+1),ROW(D56)-ROW(A55)+1)),"")," ",IFERROR(INDEX(Накл!$C$9:$C$550,SMALL(IF(Накл!$B$9:$B$550=A55,ROW(Накл!$B$9:$B$550)-ROW(Накл!$B$9)+1),ROW(D57)-ROW(A55)+1)),"")," ",IFERROR(INDEX(Накл!$C$9:$C$550,SMALL(IF(Накл!$B$9:$B$550=A55,ROW(Накл!$B$9:$B$550)-ROW(Накл!$B$9)+1),ROW(D58)-ROW(A55)+1)),"")," ",IFERROR(INDEX(Накл!$C$9:$C$550,SMALL(IF(Накл!$B$9:$B$550=A55,ROW(Накл!$B$9:$B$550)-ROW(Накл!$B$9)+1),ROW(D59)-ROW(A55)+1)),"")," ",IFERROR(INDEX(Накл!$C$9:$C$550,SMALL(IF(Накл!$B$9:$B$550=A55,ROW(Накл!$B$9:$B$550)-ROW(Накл!$B$9)+1),ROW(D60)-ROW(A55)+1)),"")," ",IFERROR(INDEX(Накл!$C$9:$C$550,SMALL(IF(Накл!$B$9:$B$550=A55,ROW(Накл!$B$9:$B$550)-ROW(Накл!$B$9)+1),ROW(D61)-ROW(A55)+1)),"")," ",IFERROR(INDEX(Накл!$C$9:$C$550,SMALL(IF(Накл!$B$9:$B$550=A55,ROW(Накл!$B$9:$B$550)-ROW(Накл!$B$9)+1),ROW(D62)-ROW(A55)+1)),"")," ",IFERROR(INDEX(Накл!$C$9:$C$550,SMALL(IF(Накл!$B$9:$B$550=A55,ROW(Накл!$B$9:$B$550)-ROW(Накл!$B$9)+1),ROW(D63)-ROW(A55)+1)),"")," ",IFERROR(INDEX(Накл!$C$9:$C$550,SMALL(IF(Накл!$B$9:$B$550=A55,ROW(Накл!$B$9:$B$550)-ROW(Накл!$B$9)+1),ROW(D64)-ROW(A55)+1)),""))</f>
        <v xml:space="preserve">158         </v>
      </c>
      <c r="E55" s="26" t="str">
        <f t="array" ref="E55">IF(LEN(D55)&lt;10,CONCATENATE(IFERROR(INDEX(Накл!$C$9:$C$550,SMALL(IF(Накл!$A$9:$A$550=VALUE(LEFT(A55,8)),ROW(Накл!$A$9:$A$550)-ROW(Накл!$A$9)+1),ROW(E55)-ROW(B55)+1)),"")," ",IFERROR(INDEX(Накл!$C$9:$C$550,SMALL(IF(Накл!$A$9:$A$550=VALUE(LEFT(A55,8)),ROW(Накл!$A$9:$A$550)-ROW(Накл!$A$9)+1),ROW(E56)-ROW(B55)+1)),"")," ",IFERROR(INDEX(Накл!$C$9:$C$550,SMALL(IF(Накл!$A$9:$A$550=VALUE(LEFT(A55,8)),ROW(Накл!$A$9:$A$550)-ROW(Накл!$A$9)+1),ROW(E57)-ROW(B55)+1)),"")," ",IFERROR(INDEX(Накл!$C$9:$C$550,SMALL(IF(Накл!$A$9:$A$550=VALUE(LEFT(A55,8)),ROW(Накл!$A$9:$A$550)-ROW(Накл!$A$9)+1),ROW(E58)-ROW(B55)+1)),"")),"")</f>
        <v/>
      </c>
    </row>
    <row r="56" spans="1:5">
      <c r="A56" s="26" t="str">
        <f>IFERROR(CONCATENATE(VALUE(SUBSTITUTE(SUBSTITUTE(LEFT(Накл!G63,11),".",""),"-",""))," ",Накл!J63),"-")</f>
        <v>63624980 5</v>
      </c>
      <c r="B56" s="26" t="str">
        <f>IFERROR(VLOOKUP(VALUE(LEFT(A56,8)),Накл!$A$9:$D$550,4,0),"-")</f>
        <v>6362498 Кольцо круглого сечения 6,75 х 1,78 NBR Karcher код : 005082</v>
      </c>
      <c r="C56" s="26">
        <f>Накл!J63</f>
        <v>5</v>
      </c>
      <c r="D56" s="33" t="str">
        <f t="array" ref="D56">CONCATENATE(IFERROR(INDEX(Накл!$C$9:$C$550,SMALL(IF(Накл!$B$9:$B$550=A56,ROW(Накл!$B$9:$B$550)-ROW(Накл!$B$9)+1),ROW(D56)-ROW(A56)+1)),"")," ",IFERROR(INDEX(Накл!$C$9:$C$550,SMALL(IF(Накл!$B$9:$B$550=A56,ROW(Накл!$B$9:$B$550)-ROW(Накл!$B$9)+1),ROW(D57)-ROW(A56)+1)),"")," ",IFERROR(INDEX(Накл!$C$9:$C$550,SMALL(IF(Накл!$B$9:$B$550=A56,ROW(Накл!$B$9:$B$550)-ROW(Накл!$B$9)+1),ROW(D58)-ROW(A56)+1)),"")," ",IFERROR(INDEX(Накл!$C$9:$C$550,SMALL(IF(Накл!$B$9:$B$550=A56,ROW(Накл!$B$9:$B$550)-ROW(Накл!$B$9)+1),ROW(D59)-ROW(A56)+1)),"")," ",IFERROR(INDEX(Накл!$C$9:$C$550,SMALL(IF(Накл!$B$9:$B$550=A56,ROW(Накл!$B$9:$B$550)-ROW(Накл!$B$9)+1),ROW(D60)-ROW(A56)+1)),"")," ",IFERROR(INDEX(Накл!$C$9:$C$550,SMALL(IF(Накл!$B$9:$B$550=A56,ROW(Накл!$B$9:$B$550)-ROW(Накл!$B$9)+1),ROW(D61)-ROW(A56)+1)),"")," ",IFERROR(INDEX(Накл!$C$9:$C$550,SMALL(IF(Накл!$B$9:$B$550=A56,ROW(Накл!$B$9:$B$550)-ROW(Накл!$B$9)+1),ROW(D62)-ROW(A56)+1)),"")," ",IFERROR(INDEX(Накл!$C$9:$C$550,SMALL(IF(Накл!$B$9:$B$550=A56,ROW(Накл!$B$9:$B$550)-ROW(Накл!$B$9)+1),ROW(D63)-ROW(A56)+1)),"")," ",IFERROR(INDEX(Накл!$C$9:$C$550,SMALL(IF(Накл!$B$9:$B$550=A56,ROW(Накл!$B$9:$B$550)-ROW(Накл!$B$9)+1),ROW(D64)-ROW(A56)+1)),"")," ",IFERROR(INDEX(Накл!$C$9:$C$550,SMALL(IF(Накл!$B$9:$B$550=A56,ROW(Накл!$B$9:$B$550)-ROW(Накл!$B$9)+1),ROW(D65)-ROW(A56)+1)),""))</f>
        <v xml:space="preserve">178         </v>
      </c>
      <c r="E56" s="26" t="str">
        <f t="array" ref="E56">IF(LEN(D56)&lt;10,CONCATENATE(IFERROR(INDEX(Накл!$C$9:$C$550,SMALL(IF(Накл!$A$9:$A$550=VALUE(LEFT(A56,8)),ROW(Накл!$A$9:$A$550)-ROW(Накл!$A$9)+1),ROW(E56)-ROW(B56)+1)),"")," ",IFERROR(INDEX(Накл!$C$9:$C$550,SMALL(IF(Накл!$A$9:$A$550=VALUE(LEFT(A56,8)),ROW(Накл!$A$9:$A$550)-ROW(Накл!$A$9)+1),ROW(E57)-ROW(B56)+1)),"")," ",IFERROR(INDEX(Накл!$C$9:$C$550,SMALL(IF(Накл!$A$9:$A$550=VALUE(LEFT(A56,8)),ROW(Накл!$A$9:$A$550)-ROW(Накл!$A$9)+1),ROW(E58)-ROW(B56)+1)),"")," ",IFERROR(INDEX(Накл!$C$9:$C$550,SMALL(IF(Накл!$A$9:$A$550=VALUE(LEFT(A56,8)),ROW(Накл!$A$9:$A$550)-ROW(Накл!$A$9)+1),ROW(E59)-ROW(B56)+1)),"")),"")</f>
        <v/>
      </c>
    </row>
    <row r="57" spans="1:5">
      <c r="A57" s="26" t="str">
        <f>IFERROR(CONCATENATE(VALUE(SUBSTITUTE(SUBSTITUTE(LEFT(Накл!G64,11),".",""),"-",""))," ",Накл!J64),"-")</f>
        <v>63653400 6</v>
      </c>
      <c r="B57" s="26" t="str">
        <f>IFERROR(VLOOKUP(VALUE(LEFT(A57,8)),Накл!$A$9:$D$550,4,0),"-")</f>
        <v>6365340 Сальник масло HD7/18 6/15      *15* код : 005128</v>
      </c>
      <c r="C57" s="26">
        <f>Накл!J64</f>
        <v>6</v>
      </c>
      <c r="D57" s="33" t="str">
        <f t="array" ref="D57">CONCATENATE(IFERROR(INDEX(Накл!$C$9:$C$550,SMALL(IF(Накл!$B$9:$B$550=A57,ROW(Накл!$B$9:$B$550)-ROW(Накл!$B$9)+1),ROW(D57)-ROW(A57)+1)),"")," ",IFERROR(INDEX(Накл!$C$9:$C$550,SMALL(IF(Накл!$B$9:$B$550=A57,ROW(Накл!$B$9:$B$550)-ROW(Накл!$B$9)+1),ROW(D58)-ROW(A57)+1)),"")," ",IFERROR(INDEX(Накл!$C$9:$C$550,SMALL(IF(Накл!$B$9:$B$550=A57,ROW(Накл!$B$9:$B$550)-ROW(Накл!$B$9)+1),ROW(D59)-ROW(A57)+1)),"")," ",IFERROR(INDEX(Накл!$C$9:$C$550,SMALL(IF(Накл!$B$9:$B$550=A57,ROW(Накл!$B$9:$B$550)-ROW(Накл!$B$9)+1),ROW(D60)-ROW(A57)+1)),"")," ",IFERROR(INDEX(Накл!$C$9:$C$550,SMALL(IF(Накл!$B$9:$B$550=A57,ROW(Накл!$B$9:$B$550)-ROW(Накл!$B$9)+1),ROW(D61)-ROW(A57)+1)),"")," ",IFERROR(INDEX(Накл!$C$9:$C$550,SMALL(IF(Накл!$B$9:$B$550=A57,ROW(Накл!$B$9:$B$550)-ROW(Накл!$B$9)+1),ROW(D62)-ROW(A57)+1)),"")," ",IFERROR(INDEX(Накл!$C$9:$C$550,SMALL(IF(Накл!$B$9:$B$550=A57,ROW(Накл!$B$9:$B$550)-ROW(Накл!$B$9)+1),ROW(D63)-ROW(A57)+1)),"")," ",IFERROR(INDEX(Накл!$C$9:$C$550,SMALL(IF(Накл!$B$9:$B$550=A57,ROW(Накл!$B$9:$B$550)-ROW(Накл!$B$9)+1),ROW(D64)-ROW(A57)+1)),"")," ",IFERROR(INDEX(Накл!$C$9:$C$550,SMALL(IF(Накл!$B$9:$B$550=A57,ROW(Накл!$B$9:$B$550)-ROW(Накл!$B$9)+1),ROW(D65)-ROW(A57)+1)),"")," ",IFERROR(INDEX(Накл!$C$9:$C$550,SMALL(IF(Накл!$B$9:$B$550=A57,ROW(Накл!$B$9:$B$550)-ROW(Накл!$B$9)+1),ROW(D66)-ROW(A57)+1)),""))</f>
        <v xml:space="preserve">180         </v>
      </c>
      <c r="E57" s="26" t="str">
        <f t="array" ref="E57">IF(LEN(D57)&lt;10,CONCATENATE(IFERROR(INDEX(Накл!$C$9:$C$550,SMALL(IF(Накл!$A$9:$A$550=VALUE(LEFT(A57,8)),ROW(Накл!$A$9:$A$550)-ROW(Накл!$A$9)+1),ROW(E57)-ROW(B57)+1)),"")," ",IFERROR(INDEX(Накл!$C$9:$C$550,SMALL(IF(Накл!$A$9:$A$550=VALUE(LEFT(A57,8)),ROW(Накл!$A$9:$A$550)-ROW(Накл!$A$9)+1),ROW(E58)-ROW(B57)+1)),"")," ",IFERROR(INDEX(Накл!$C$9:$C$550,SMALL(IF(Накл!$A$9:$A$550=VALUE(LEFT(A57,8)),ROW(Накл!$A$9:$A$550)-ROW(Накл!$A$9)+1),ROW(E59)-ROW(B57)+1)),"")," ",IFERROR(INDEX(Накл!$C$9:$C$550,SMALL(IF(Накл!$A$9:$A$550=VALUE(LEFT(A57,8)),ROW(Накл!$A$9:$A$550)-ROW(Накл!$A$9)+1),ROW(E60)-ROW(B57)+1)),"")),"")</f>
        <v/>
      </c>
    </row>
    <row r="58" spans="1:5">
      <c r="A58" s="26" t="str">
        <f>IFERROR(CONCATENATE(VALUE(SUBSTITUTE(SUBSTITUTE(LEFT(Накл!G65,11),".",""),"-",""))," ",Накл!J65),"-")</f>
        <v>69640260 6</v>
      </c>
      <c r="B58" s="26" t="str">
        <f>IFERROR(VLOOKUP(VALUE(LEFT(A58,8)),Накл!$A$9:$D$550,4,0),"-")</f>
        <v>6964026  Сальник масло(замена 6.365-386) K3.9X M *30* код : 005071</v>
      </c>
      <c r="C58" s="26">
        <f>Накл!J65</f>
        <v>6</v>
      </c>
      <c r="D58" s="33" t="str">
        <f t="array" ref="D58">CONCATENATE(IFERROR(INDEX(Накл!$C$9:$C$550,SMALL(IF(Накл!$B$9:$B$550=A58,ROW(Накл!$B$9:$B$550)-ROW(Накл!$B$9)+1),ROW(D58)-ROW(A58)+1)),"")," ",IFERROR(INDEX(Накл!$C$9:$C$550,SMALL(IF(Накл!$B$9:$B$550=A58,ROW(Накл!$B$9:$B$550)-ROW(Накл!$B$9)+1),ROW(D59)-ROW(A58)+1)),"")," ",IFERROR(INDEX(Накл!$C$9:$C$550,SMALL(IF(Накл!$B$9:$B$550=A58,ROW(Накл!$B$9:$B$550)-ROW(Накл!$B$9)+1),ROW(D60)-ROW(A58)+1)),"")," ",IFERROR(INDEX(Накл!$C$9:$C$550,SMALL(IF(Накл!$B$9:$B$550=A58,ROW(Накл!$B$9:$B$550)-ROW(Накл!$B$9)+1),ROW(D61)-ROW(A58)+1)),"")," ",IFERROR(INDEX(Накл!$C$9:$C$550,SMALL(IF(Накл!$B$9:$B$550=A58,ROW(Накл!$B$9:$B$550)-ROW(Накл!$B$9)+1),ROW(D62)-ROW(A58)+1)),"")," ",IFERROR(INDEX(Накл!$C$9:$C$550,SMALL(IF(Накл!$B$9:$B$550=A58,ROW(Накл!$B$9:$B$550)-ROW(Накл!$B$9)+1),ROW(D63)-ROW(A58)+1)),"")," ",IFERROR(INDEX(Накл!$C$9:$C$550,SMALL(IF(Накл!$B$9:$B$550=A58,ROW(Накл!$B$9:$B$550)-ROW(Накл!$B$9)+1),ROW(D64)-ROW(A58)+1)),"")," ",IFERROR(INDEX(Накл!$C$9:$C$550,SMALL(IF(Накл!$B$9:$B$550=A58,ROW(Накл!$B$9:$B$550)-ROW(Накл!$B$9)+1),ROW(D65)-ROW(A58)+1)),"")," ",IFERROR(INDEX(Накл!$C$9:$C$550,SMALL(IF(Накл!$B$9:$B$550=A58,ROW(Накл!$B$9:$B$550)-ROW(Накл!$B$9)+1),ROW(D66)-ROW(A58)+1)),"")," ",IFERROR(INDEX(Накл!$C$9:$C$550,SMALL(IF(Накл!$B$9:$B$550=A58,ROW(Накл!$B$9:$B$550)-ROW(Накл!$B$9)+1),ROW(D67)-ROW(A58)+1)),""))</f>
        <v xml:space="preserve">196         </v>
      </c>
      <c r="E58" s="26" t="str">
        <f t="array" ref="E58">IF(LEN(D58)&lt;10,CONCATENATE(IFERROR(INDEX(Накл!$C$9:$C$550,SMALL(IF(Накл!$A$9:$A$550=VALUE(LEFT(A58,8)),ROW(Накл!$A$9:$A$550)-ROW(Накл!$A$9)+1),ROW(E58)-ROW(B58)+1)),"")," ",IFERROR(INDEX(Накл!$C$9:$C$550,SMALL(IF(Накл!$A$9:$A$550=VALUE(LEFT(A58,8)),ROW(Накл!$A$9:$A$550)-ROW(Накл!$A$9)+1),ROW(E59)-ROW(B58)+1)),"")," ",IFERROR(INDEX(Накл!$C$9:$C$550,SMALL(IF(Накл!$A$9:$A$550=VALUE(LEFT(A58,8)),ROW(Накл!$A$9:$A$550)-ROW(Накл!$A$9)+1),ROW(E60)-ROW(B58)+1)),"")," ",IFERROR(INDEX(Накл!$C$9:$C$550,SMALL(IF(Накл!$A$9:$A$550=VALUE(LEFT(A58,8)),ROW(Накл!$A$9:$A$550)-ROW(Накл!$A$9)+1),ROW(E61)-ROW(B58)+1)),"")),"")</f>
        <v/>
      </c>
    </row>
    <row r="59" spans="1:5">
      <c r="A59" s="26" t="str">
        <f>IFERROR(CONCATENATE(VALUE(SUBSTITUTE(SUBSTITUTE(LEFT(Накл!G66,11),".",""),"-",""))," ",Накл!J66),"-")</f>
        <v>40352850 1</v>
      </c>
      <c r="B59" s="26" t="str">
        <f>IFERROR(VLOOKUP(VALUE(LEFT(A59,8)),Накл!$A$9:$D$550,4,0),"-")</f>
        <v>Сливной шланг с покрытием из ПУ Karcher 4.035-285 код : 006204</v>
      </c>
      <c r="C59" s="26">
        <f>Накл!J66</f>
        <v>1</v>
      </c>
      <c r="D59" s="33" t="str">
        <f t="array" ref="D59">CONCATENATE(IFERROR(INDEX(Накл!$C$9:$C$550,SMALL(IF(Накл!$B$9:$B$550=A59,ROW(Накл!$B$9:$B$550)-ROW(Накл!$B$9)+1),ROW(D59)-ROW(A59)+1)),"")," ",IFERROR(INDEX(Накл!$C$9:$C$550,SMALL(IF(Накл!$B$9:$B$550=A59,ROW(Накл!$B$9:$B$550)-ROW(Накл!$B$9)+1),ROW(D60)-ROW(A59)+1)),"")," ",IFERROR(INDEX(Накл!$C$9:$C$550,SMALL(IF(Накл!$B$9:$B$550=A59,ROW(Накл!$B$9:$B$550)-ROW(Накл!$B$9)+1),ROW(D61)-ROW(A59)+1)),"")," ",IFERROR(INDEX(Накл!$C$9:$C$550,SMALL(IF(Накл!$B$9:$B$550=A59,ROW(Накл!$B$9:$B$550)-ROW(Накл!$B$9)+1),ROW(D62)-ROW(A59)+1)),"")," ",IFERROR(INDEX(Накл!$C$9:$C$550,SMALL(IF(Накл!$B$9:$B$550=A59,ROW(Накл!$B$9:$B$550)-ROW(Накл!$B$9)+1),ROW(D63)-ROW(A59)+1)),"")," ",IFERROR(INDEX(Накл!$C$9:$C$550,SMALL(IF(Накл!$B$9:$B$550=A59,ROW(Накл!$B$9:$B$550)-ROW(Накл!$B$9)+1),ROW(D64)-ROW(A59)+1)),"")," ",IFERROR(INDEX(Накл!$C$9:$C$550,SMALL(IF(Накл!$B$9:$B$550=A59,ROW(Накл!$B$9:$B$550)-ROW(Накл!$B$9)+1),ROW(D65)-ROW(A59)+1)),"")," ",IFERROR(INDEX(Накл!$C$9:$C$550,SMALL(IF(Накл!$B$9:$B$550=A59,ROW(Накл!$B$9:$B$550)-ROW(Накл!$B$9)+1),ROW(D66)-ROW(A59)+1)),"")," ",IFERROR(INDEX(Накл!$C$9:$C$550,SMALL(IF(Накл!$B$9:$B$550=A59,ROW(Накл!$B$9:$B$550)-ROW(Накл!$B$9)+1),ROW(D67)-ROW(A59)+1)),"")," ",IFERROR(INDEX(Накл!$C$9:$C$550,SMALL(IF(Накл!$B$9:$B$550=A59,ROW(Накл!$B$9:$B$550)-ROW(Накл!$B$9)+1),ROW(D68)-ROW(A59)+1)),""))</f>
        <v xml:space="preserve">150         </v>
      </c>
      <c r="E59" s="26" t="str">
        <f t="array" ref="E59">IF(LEN(D59)&lt;10,CONCATENATE(IFERROR(INDEX(Накл!$C$9:$C$550,SMALL(IF(Накл!$A$9:$A$550=VALUE(LEFT(A59,8)),ROW(Накл!$A$9:$A$550)-ROW(Накл!$A$9)+1),ROW(E59)-ROW(B59)+1)),"")," ",IFERROR(INDEX(Накл!$C$9:$C$550,SMALL(IF(Накл!$A$9:$A$550=VALUE(LEFT(A59,8)),ROW(Накл!$A$9:$A$550)-ROW(Накл!$A$9)+1),ROW(E60)-ROW(B59)+1)),"")," ",IFERROR(INDEX(Накл!$C$9:$C$550,SMALL(IF(Накл!$A$9:$A$550=VALUE(LEFT(A59,8)),ROW(Накл!$A$9:$A$550)-ROW(Накл!$A$9)+1),ROW(E61)-ROW(B59)+1)),"")," ",IFERROR(INDEX(Накл!$C$9:$C$550,SMALL(IF(Накл!$A$9:$A$550=VALUE(LEFT(A59,8)),ROW(Накл!$A$9:$A$550)-ROW(Накл!$A$9)+1),ROW(E62)-ROW(B59)+1)),"")),"")</f>
        <v/>
      </c>
    </row>
    <row r="60" spans="1:5">
      <c r="A60" s="26" t="str">
        <f>IFERROR(CONCATENATE(VALUE(SUBSTITUTE(SUBSTITUTE(LEFT(Накл!G67,11),".",""),"-",""))," ",Накл!J67),"-")</f>
        <v>26450420 4</v>
      </c>
      <c r="B60" s="26" t="str">
        <f>IFERROR(VLOOKUP(VALUE(LEFT(A60,8)),Накл!$A$9:$D$550,4,0),"-")</f>
        <v>Тележка для шланга HT80M Karcher 2.645-042 код : 020063</v>
      </c>
      <c r="C60" s="26">
        <f>Накл!J67</f>
        <v>4</v>
      </c>
      <c r="D60" s="33" t="str">
        <f t="array" ref="D60">CONCATENATE(IFERROR(INDEX(Накл!$C$9:$C$550,SMALL(IF(Накл!$B$9:$B$550=A60,ROW(Накл!$B$9:$B$550)-ROW(Накл!$B$9)+1),ROW(D60)-ROW(A60)+1)),"")," ",IFERROR(INDEX(Накл!$C$9:$C$550,SMALL(IF(Накл!$B$9:$B$550=A60,ROW(Накл!$B$9:$B$550)-ROW(Накл!$B$9)+1),ROW(D61)-ROW(A60)+1)),"")," ",IFERROR(INDEX(Накл!$C$9:$C$550,SMALL(IF(Накл!$B$9:$B$550=A60,ROW(Накл!$B$9:$B$550)-ROW(Накл!$B$9)+1),ROW(D62)-ROW(A60)+1)),"")," ",IFERROR(INDEX(Накл!$C$9:$C$550,SMALL(IF(Накл!$B$9:$B$550=A60,ROW(Накл!$B$9:$B$550)-ROW(Накл!$B$9)+1),ROW(D63)-ROW(A60)+1)),"")," ",IFERROR(INDEX(Накл!$C$9:$C$550,SMALL(IF(Накл!$B$9:$B$550=A60,ROW(Накл!$B$9:$B$550)-ROW(Накл!$B$9)+1),ROW(D64)-ROW(A60)+1)),"")," ",IFERROR(INDEX(Накл!$C$9:$C$550,SMALL(IF(Накл!$B$9:$B$550=A60,ROW(Накл!$B$9:$B$550)-ROW(Накл!$B$9)+1),ROW(D65)-ROW(A60)+1)),"")," ",IFERROR(INDEX(Накл!$C$9:$C$550,SMALL(IF(Накл!$B$9:$B$550=A60,ROW(Накл!$B$9:$B$550)-ROW(Накл!$B$9)+1),ROW(D66)-ROW(A60)+1)),"")," ",IFERROR(INDEX(Накл!$C$9:$C$550,SMALL(IF(Накл!$B$9:$B$550=A60,ROW(Накл!$B$9:$B$550)-ROW(Накл!$B$9)+1),ROW(D67)-ROW(A60)+1)),"")," ",IFERROR(INDEX(Накл!$C$9:$C$550,SMALL(IF(Накл!$B$9:$B$550=A60,ROW(Накл!$B$9:$B$550)-ROW(Накл!$B$9)+1),ROW(D68)-ROW(A60)+1)),"")," ",IFERROR(INDEX(Накл!$C$9:$C$550,SMALL(IF(Накл!$B$9:$B$550=A60,ROW(Накл!$B$9:$B$550)-ROW(Накл!$B$9)+1),ROW(D69)-ROW(A60)+1)),""))</f>
        <v xml:space="preserve">60         </v>
      </c>
      <c r="E60" s="26" t="str">
        <f t="array" ref="E60">IF(LEN(D60)&lt;10,CONCATENATE(IFERROR(INDEX(Накл!$C$9:$C$550,SMALL(IF(Накл!$A$9:$A$550=VALUE(LEFT(A60,8)),ROW(Накл!$A$9:$A$550)-ROW(Накл!$A$9)+1),ROW(E60)-ROW(B60)+1)),"")," ",IFERROR(INDEX(Накл!$C$9:$C$550,SMALL(IF(Накл!$A$9:$A$550=VALUE(LEFT(A60,8)),ROW(Накл!$A$9:$A$550)-ROW(Накл!$A$9)+1),ROW(E61)-ROW(B60)+1)),"")," ",IFERROR(INDEX(Накл!$C$9:$C$550,SMALL(IF(Накл!$A$9:$A$550=VALUE(LEFT(A60,8)),ROW(Накл!$A$9:$A$550)-ROW(Накл!$A$9)+1),ROW(E62)-ROW(B60)+1)),"")," ",IFERROR(INDEX(Накл!$C$9:$C$550,SMALL(IF(Накл!$A$9:$A$550=VALUE(LEFT(A60,8)),ROW(Накл!$A$9:$A$550)-ROW(Накл!$A$9)+1),ROW(E63)-ROW(B60)+1)),"")),"")</f>
        <v/>
      </c>
    </row>
    <row r="61" spans="1:5">
      <c r="A61" s="26" t="str">
        <f>IFERROR(CONCATENATE(VALUE(SUBSTITUTE(SUBSTITUTE(LEFT(Накл!G68,11),".",""),"-",""))," ",Накл!J68),"-")</f>
        <v>26451370 2</v>
      </c>
      <c r="B61" s="26" t="str">
        <f>IFERROR(VLOOKUP(VALUE(LEFT(A61,8)),Накл!$A$9:$D$550,4,0),"-")</f>
        <v>Распылитель на штанге Premium Karcher 2.645-137 код : 020051</v>
      </c>
      <c r="C61" s="26">
        <f>Накл!J68</f>
        <v>2</v>
      </c>
      <c r="D61" s="33" t="str">
        <f t="array" ref="D61">CONCATENATE(IFERROR(INDEX(Накл!$C$9:$C$550,SMALL(IF(Накл!$B$9:$B$550=A61,ROW(Накл!$B$9:$B$550)-ROW(Накл!$B$9)+1),ROW(D61)-ROW(A61)+1)),"")," ",IFERROR(INDEX(Накл!$C$9:$C$550,SMALL(IF(Накл!$B$9:$B$550=A61,ROW(Накл!$B$9:$B$550)-ROW(Накл!$B$9)+1),ROW(D62)-ROW(A61)+1)),"")," ",IFERROR(INDEX(Накл!$C$9:$C$550,SMALL(IF(Накл!$B$9:$B$550=A61,ROW(Накл!$B$9:$B$550)-ROW(Накл!$B$9)+1),ROW(D63)-ROW(A61)+1)),"")," ",IFERROR(INDEX(Накл!$C$9:$C$550,SMALL(IF(Накл!$B$9:$B$550=A61,ROW(Накл!$B$9:$B$550)-ROW(Накл!$B$9)+1),ROW(D64)-ROW(A61)+1)),"")," ",IFERROR(INDEX(Накл!$C$9:$C$550,SMALL(IF(Накл!$B$9:$B$550=A61,ROW(Накл!$B$9:$B$550)-ROW(Накл!$B$9)+1),ROW(D65)-ROW(A61)+1)),"")," ",IFERROR(INDEX(Накл!$C$9:$C$550,SMALL(IF(Накл!$B$9:$B$550=A61,ROW(Накл!$B$9:$B$550)-ROW(Накл!$B$9)+1),ROW(D66)-ROW(A61)+1)),"")," ",IFERROR(INDEX(Накл!$C$9:$C$550,SMALL(IF(Накл!$B$9:$B$550=A61,ROW(Накл!$B$9:$B$550)-ROW(Накл!$B$9)+1),ROW(D67)-ROW(A61)+1)),"")," ",IFERROR(INDEX(Накл!$C$9:$C$550,SMALL(IF(Накл!$B$9:$B$550=A61,ROW(Накл!$B$9:$B$550)-ROW(Накл!$B$9)+1),ROW(D68)-ROW(A61)+1)),"")," ",IFERROR(INDEX(Накл!$C$9:$C$550,SMALL(IF(Накл!$B$9:$B$550=A61,ROW(Накл!$B$9:$B$550)-ROW(Накл!$B$9)+1),ROW(D69)-ROW(A61)+1)),"")," ",IFERROR(INDEX(Накл!$C$9:$C$550,SMALL(IF(Накл!$B$9:$B$550=A61,ROW(Накл!$B$9:$B$550)-ROW(Накл!$B$9)+1),ROW(D70)-ROW(A61)+1)),""))</f>
        <v xml:space="preserve">142         </v>
      </c>
      <c r="E61" s="26" t="str">
        <f t="array" ref="E61">IF(LEN(D61)&lt;10,CONCATENATE(IFERROR(INDEX(Накл!$C$9:$C$550,SMALL(IF(Накл!$A$9:$A$550=VALUE(LEFT(A61,8)),ROW(Накл!$A$9:$A$550)-ROW(Накл!$A$9)+1),ROW(E61)-ROW(B61)+1)),"")," ",IFERROR(INDEX(Накл!$C$9:$C$550,SMALL(IF(Накл!$A$9:$A$550=VALUE(LEFT(A61,8)),ROW(Накл!$A$9:$A$550)-ROW(Накл!$A$9)+1),ROW(E62)-ROW(B61)+1)),"")," ",IFERROR(INDEX(Накл!$C$9:$C$550,SMALL(IF(Накл!$A$9:$A$550=VALUE(LEFT(A61,8)),ROW(Накл!$A$9:$A$550)-ROW(Накл!$A$9)+1),ROW(E63)-ROW(B61)+1)),"")," ",IFERROR(INDEX(Накл!$C$9:$C$550,SMALL(IF(Накл!$A$9:$A$550=VALUE(LEFT(A61,8)),ROW(Накл!$A$9:$A$550)-ROW(Накл!$A$9)+1),ROW(E64)-ROW(B61)+1)),"")),"")</f>
        <v/>
      </c>
    </row>
    <row r="62" spans="1:5">
      <c r="A62" s="26" t="str">
        <f>IFERROR(CONCATENATE(VALUE(SUBSTITUTE(SUBSTITUTE(LEFT(Накл!G69,11),".",""),"-",""))," ",Накл!J69),"-")</f>
        <v>96052860 2</v>
      </c>
      <c r="B62" s="26" t="str">
        <f>IFERROR(VLOOKUP(VALUE(LEFT(A62,8)),Накл!$A$9:$D$550,4,0),"-")</f>
        <v>K PARTS Средство для чистки полов 10л Karcher 9.605-286 код : 000883</v>
      </c>
      <c r="C62" s="26">
        <f>Накл!J69</f>
        <v>2</v>
      </c>
      <c r="D62" s="33" t="str">
        <f t="array" ref="D62">CONCATENATE(IFERROR(INDEX(Накл!$C$9:$C$550,SMALL(IF(Накл!$B$9:$B$550=A62,ROW(Накл!$B$9:$B$550)-ROW(Накл!$B$9)+1),ROW(D62)-ROW(A62)+1)),"")," ",IFERROR(INDEX(Накл!$C$9:$C$550,SMALL(IF(Накл!$B$9:$B$550=A62,ROW(Накл!$B$9:$B$550)-ROW(Накл!$B$9)+1),ROW(D63)-ROW(A62)+1)),"")," ",IFERROR(INDEX(Накл!$C$9:$C$550,SMALL(IF(Накл!$B$9:$B$550=A62,ROW(Накл!$B$9:$B$550)-ROW(Накл!$B$9)+1),ROW(D64)-ROW(A62)+1)),"")," ",IFERROR(INDEX(Накл!$C$9:$C$550,SMALL(IF(Накл!$B$9:$B$550=A62,ROW(Накл!$B$9:$B$550)-ROW(Накл!$B$9)+1),ROW(D65)-ROW(A62)+1)),"")," ",IFERROR(INDEX(Накл!$C$9:$C$550,SMALL(IF(Накл!$B$9:$B$550=A62,ROW(Накл!$B$9:$B$550)-ROW(Накл!$B$9)+1),ROW(D66)-ROW(A62)+1)),"")," ",IFERROR(INDEX(Накл!$C$9:$C$550,SMALL(IF(Накл!$B$9:$B$550=A62,ROW(Накл!$B$9:$B$550)-ROW(Накл!$B$9)+1),ROW(D67)-ROW(A62)+1)),"")," ",IFERROR(INDEX(Накл!$C$9:$C$550,SMALL(IF(Накл!$B$9:$B$550=A62,ROW(Накл!$B$9:$B$550)-ROW(Накл!$B$9)+1),ROW(D68)-ROW(A62)+1)),"")," ",IFERROR(INDEX(Накл!$C$9:$C$550,SMALL(IF(Накл!$B$9:$B$550=A62,ROW(Накл!$B$9:$B$550)-ROW(Накл!$B$9)+1),ROW(D69)-ROW(A62)+1)),"")," ",IFERROR(INDEX(Накл!$C$9:$C$550,SMALL(IF(Накл!$B$9:$B$550=A62,ROW(Накл!$B$9:$B$550)-ROW(Накл!$B$9)+1),ROW(D70)-ROW(A62)+1)),"")," ",IFERROR(INDEX(Накл!$C$9:$C$550,SMALL(IF(Накл!$B$9:$B$550=A62,ROW(Накл!$B$9:$B$550)-ROW(Накл!$B$9)+1),ROW(D71)-ROW(A62)+1)),""))</f>
        <v xml:space="preserve">205         </v>
      </c>
      <c r="E62" s="26" t="str">
        <f t="array" ref="E62">IF(LEN(D62)&lt;10,CONCATENATE(IFERROR(INDEX(Накл!$C$9:$C$550,SMALL(IF(Накл!$A$9:$A$550=VALUE(LEFT(A62,8)),ROW(Накл!$A$9:$A$550)-ROW(Накл!$A$9)+1),ROW(E62)-ROW(B62)+1)),"")," ",IFERROR(INDEX(Накл!$C$9:$C$550,SMALL(IF(Накл!$A$9:$A$550=VALUE(LEFT(A62,8)),ROW(Накл!$A$9:$A$550)-ROW(Накл!$A$9)+1),ROW(E63)-ROW(B62)+1)),"")," ",IFERROR(INDEX(Накл!$C$9:$C$550,SMALL(IF(Накл!$A$9:$A$550=VALUE(LEFT(A62,8)),ROW(Накл!$A$9:$A$550)-ROW(Накл!$A$9)+1),ROW(E64)-ROW(B62)+1)),"")," ",IFERROR(INDEX(Накл!$C$9:$C$550,SMALL(IF(Накл!$A$9:$A$550=VALUE(LEFT(A62,8)),ROW(Накл!$A$9:$A$550)-ROW(Накл!$A$9)+1),ROW(E65)-ROW(B62)+1)),"")),"")</f>
        <v/>
      </c>
    </row>
    <row r="63" spans="1:5">
      <c r="A63" s="26" t="str">
        <f>IFERROR(CONCATENATE(VALUE(SUBSTITUTE(SUBSTITUTE(LEFT(Накл!G70,11),".",""),"-",""))," ",Накл!J70),"-")</f>
        <v>66611290 2</v>
      </c>
      <c r="B63" s="26" t="str">
        <f>IFERROR(VLOOKUP(VALUE(LEFT(A63,8)),Накл!$A$9:$D$550,4,0),"-")</f>
        <v>6661129 Конденсатор HD 5/11.6/13    *1* код : 005096</v>
      </c>
      <c r="C63" s="26">
        <f>Накл!J70</f>
        <v>2</v>
      </c>
      <c r="D63" s="33" t="str">
        <f t="array" ref="D63">CONCATENATE(IFERROR(INDEX(Накл!$C$9:$C$550,SMALL(IF(Накл!$B$9:$B$550=A63,ROW(Накл!$B$9:$B$550)-ROW(Накл!$B$9)+1),ROW(D63)-ROW(A63)+1)),"")," ",IFERROR(INDEX(Накл!$C$9:$C$550,SMALL(IF(Накл!$B$9:$B$550=A63,ROW(Накл!$B$9:$B$550)-ROW(Накл!$B$9)+1),ROW(D64)-ROW(A63)+1)),"")," ",IFERROR(INDEX(Накл!$C$9:$C$550,SMALL(IF(Накл!$B$9:$B$550=A63,ROW(Накл!$B$9:$B$550)-ROW(Накл!$B$9)+1),ROW(D65)-ROW(A63)+1)),"")," ",IFERROR(INDEX(Накл!$C$9:$C$550,SMALL(IF(Накл!$B$9:$B$550=A63,ROW(Накл!$B$9:$B$550)-ROW(Накл!$B$9)+1),ROW(D66)-ROW(A63)+1)),"")," ",IFERROR(INDEX(Накл!$C$9:$C$550,SMALL(IF(Накл!$B$9:$B$550=A63,ROW(Накл!$B$9:$B$550)-ROW(Накл!$B$9)+1),ROW(D67)-ROW(A63)+1)),"")," ",IFERROR(INDEX(Накл!$C$9:$C$550,SMALL(IF(Накл!$B$9:$B$550=A63,ROW(Накл!$B$9:$B$550)-ROW(Накл!$B$9)+1),ROW(D68)-ROW(A63)+1)),"")," ",IFERROR(INDEX(Накл!$C$9:$C$550,SMALL(IF(Накл!$B$9:$B$550=A63,ROW(Накл!$B$9:$B$550)-ROW(Накл!$B$9)+1),ROW(D69)-ROW(A63)+1)),"")," ",IFERROR(INDEX(Накл!$C$9:$C$550,SMALL(IF(Накл!$B$9:$B$550=A63,ROW(Накл!$B$9:$B$550)-ROW(Накл!$B$9)+1),ROW(D70)-ROW(A63)+1)),"")," ",IFERROR(INDEX(Накл!$C$9:$C$550,SMALL(IF(Накл!$B$9:$B$550=A63,ROW(Накл!$B$9:$B$550)-ROW(Накл!$B$9)+1),ROW(D71)-ROW(A63)+1)),"")," ",IFERROR(INDEX(Накл!$C$9:$C$550,SMALL(IF(Накл!$B$9:$B$550=A63,ROW(Накл!$B$9:$B$550)-ROW(Накл!$B$9)+1),ROW(D72)-ROW(A63)+1)),""))</f>
        <v xml:space="preserve">190         </v>
      </c>
      <c r="E63" s="26" t="str">
        <f t="array" ref="E63">IF(LEN(D63)&lt;10,CONCATENATE(IFERROR(INDEX(Накл!$C$9:$C$550,SMALL(IF(Накл!$A$9:$A$550=VALUE(LEFT(A63,8)),ROW(Накл!$A$9:$A$550)-ROW(Накл!$A$9)+1),ROW(E63)-ROW(B63)+1)),"")," ",IFERROR(INDEX(Накл!$C$9:$C$550,SMALL(IF(Накл!$A$9:$A$550=VALUE(LEFT(A63,8)),ROW(Накл!$A$9:$A$550)-ROW(Накл!$A$9)+1),ROW(E64)-ROW(B63)+1)),"")," ",IFERROR(INDEX(Накл!$C$9:$C$550,SMALL(IF(Накл!$A$9:$A$550=VALUE(LEFT(A63,8)),ROW(Накл!$A$9:$A$550)-ROW(Накл!$A$9)+1),ROW(E65)-ROW(B63)+1)),"")," ",IFERROR(INDEX(Накл!$C$9:$C$550,SMALL(IF(Накл!$A$9:$A$550=VALUE(LEFT(A63,8)),ROW(Накл!$A$9:$A$550)-ROW(Накл!$A$9)+1),ROW(E66)-ROW(B63)+1)),"")),"")</f>
        <v/>
      </c>
    </row>
    <row r="64" spans="1:5">
      <c r="A64" s="26" t="str">
        <f>IFERROR(CONCATENATE(VALUE(SUBSTITUTE(SUBSTITUTE(LEFT(Накл!G71,11),".",""),"-",""))," ",Накл!J71),"-")</f>
        <v>45531970 1</v>
      </c>
      <c r="B64" s="26" t="str">
        <f>IFERROR(VLOOKUP(VALUE(LEFT(A64,8)),Накл!$A$9:$D$550,4,0),"-")</f>
        <v>4553197 Поршень микровыключателя HDS Karcher код : 030819</v>
      </c>
      <c r="C64" s="26">
        <f>Накл!J71</f>
        <v>1</v>
      </c>
      <c r="D64" s="33" t="str">
        <f t="array" ref="D64">CONCATENATE(IFERROR(INDEX(Накл!$C$9:$C$550,SMALL(IF(Накл!$B$9:$B$550=A64,ROW(Накл!$B$9:$B$550)-ROW(Накл!$B$9)+1),ROW(D64)-ROW(A64)+1)),"")," ",IFERROR(INDEX(Накл!$C$9:$C$550,SMALL(IF(Накл!$B$9:$B$550=A64,ROW(Накл!$B$9:$B$550)-ROW(Накл!$B$9)+1),ROW(D65)-ROW(A64)+1)),"")," ",IFERROR(INDEX(Накл!$C$9:$C$550,SMALL(IF(Накл!$B$9:$B$550=A64,ROW(Накл!$B$9:$B$550)-ROW(Накл!$B$9)+1),ROW(D66)-ROW(A64)+1)),"")," ",IFERROR(INDEX(Накл!$C$9:$C$550,SMALL(IF(Накл!$B$9:$B$550=A64,ROW(Накл!$B$9:$B$550)-ROW(Накл!$B$9)+1),ROW(D67)-ROW(A64)+1)),"")," ",IFERROR(INDEX(Накл!$C$9:$C$550,SMALL(IF(Накл!$B$9:$B$550=A64,ROW(Накл!$B$9:$B$550)-ROW(Накл!$B$9)+1),ROW(D68)-ROW(A64)+1)),"")," ",IFERROR(INDEX(Накл!$C$9:$C$550,SMALL(IF(Накл!$B$9:$B$550=A64,ROW(Накл!$B$9:$B$550)-ROW(Накл!$B$9)+1),ROW(D69)-ROW(A64)+1)),"")," ",IFERROR(INDEX(Накл!$C$9:$C$550,SMALL(IF(Накл!$B$9:$B$550=A64,ROW(Накл!$B$9:$B$550)-ROW(Накл!$B$9)+1),ROW(D70)-ROW(A64)+1)),"")," ",IFERROR(INDEX(Накл!$C$9:$C$550,SMALL(IF(Накл!$B$9:$B$550=A64,ROW(Накл!$B$9:$B$550)-ROW(Накл!$B$9)+1),ROW(D71)-ROW(A64)+1)),"")," ",IFERROR(INDEX(Накл!$C$9:$C$550,SMALL(IF(Накл!$B$9:$B$550=A64,ROW(Накл!$B$9:$B$550)-ROW(Накл!$B$9)+1),ROW(D72)-ROW(A64)+1)),"")," ",IFERROR(INDEX(Накл!$C$9:$C$550,SMALL(IF(Накл!$B$9:$B$550=A64,ROW(Накл!$B$9:$B$550)-ROW(Накл!$B$9)+1),ROW(D73)-ROW(A64)+1)),""))</f>
        <v xml:space="preserve">152         </v>
      </c>
      <c r="E64" s="26" t="str">
        <f t="array" ref="E64">IF(LEN(D64)&lt;10,CONCATENATE(IFERROR(INDEX(Накл!$C$9:$C$550,SMALL(IF(Накл!$A$9:$A$550=VALUE(LEFT(A64,8)),ROW(Накл!$A$9:$A$550)-ROW(Накл!$A$9)+1),ROW(E64)-ROW(B64)+1)),"")," ",IFERROR(INDEX(Накл!$C$9:$C$550,SMALL(IF(Накл!$A$9:$A$550=VALUE(LEFT(A64,8)),ROW(Накл!$A$9:$A$550)-ROW(Накл!$A$9)+1),ROW(E65)-ROW(B64)+1)),"")," ",IFERROR(INDEX(Накл!$C$9:$C$550,SMALL(IF(Накл!$A$9:$A$550=VALUE(LEFT(A64,8)),ROW(Накл!$A$9:$A$550)-ROW(Накл!$A$9)+1),ROW(E66)-ROW(B64)+1)),"")," ",IFERROR(INDEX(Накл!$C$9:$C$550,SMALL(IF(Накл!$A$9:$A$550=VALUE(LEFT(A64,8)),ROW(Накл!$A$9:$A$550)-ROW(Накл!$A$9)+1),ROW(E67)-ROW(B64)+1)),"")),"")</f>
        <v/>
      </c>
    </row>
    <row r="65" spans="1:5">
      <c r="A65" s="26" t="str">
        <f>IFERROR(CONCATENATE(VALUE(SUBSTITUTE(SUBSTITUTE(LEFT(Накл!G72,11),".",""),"-",""))," ",Накл!J72),"-")</f>
        <v>26452810 3</v>
      </c>
      <c r="B65" s="26" t="str">
        <f>IFERROR(VLOOKUP(VALUE(LEFT(A65,8)),Накл!$A$9:$D$550,4,0),"-")</f>
        <v>HR 4.525 Настенная катушка для шланга Karcher 2.645-281 код : 020116</v>
      </c>
      <c r="C65" s="26">
        <f>Накл!J72</f>
        <v>3</v>
      </c>
      <c r="D65" s="33" t="str">
        <f t="array" ref="D65">CONCATENATE(IFERROR(INDEX(Накл!$C$9:$C$550,SMALL(IF(Накл!$B$9:$B$550=A65,ROW(Накл!$B$9:$B$550)-ROW(Накл!$B$9)+1),ROW(D65)-ROW(A65)+1)),"")," ",IFERROR(INDEX(Накл!$C$9:$C$550,SMALL(IF(Накл!$B$9:$B$550=A65,ROW(Накл!$B$9:$B$550)-ROW(Накл!$B$9)+1),ROW(D66)-ROW(A65)+1)),"")," ",IFERROR(INDEX(Накл!$C$9:$C$550,SMALL(IF(Накл!$B$9:$B$550=A65,ROW(Накл!$B$9:$B$550)-ROW(Накл!$B$9)+1),ROW(D67)-ROW(A65)+1)),"")," ",IFERROR(INDEX(Накл!$C$9:$C$550,SMALL(IF(Накл!$B$9:$B$550=A65,ROW(Накл!$B$9:$B$550)-ROW(Накл!$B$9)+1),ROW(D68)-ROW(A65)+1)),"")," ",IFERROR(INDEX(Накл!$C$9:$C$550,SMALL(IF(Накл!$B$9:$B$550=A65,ROW(Накл!$B$9:$B$550)-ROW(Накл!$B$9)+1),ROW(D69)-ROW(A65)+1)),"")," ",IFERROR(INDEX(Накл!$C$9:$C$550,SMALL(IF(Накл!$B$9:$B$550=A65,ROW(Накл!$B$9:$B$550)-ROW(Накл!$B$9)+1),ROW(D70)-ROW(A65)+1)),"")," ",IFERROR(INDEX(Накл!$C$9:$C$550,SMALL(IF(Накл!$B$9:$B$550=A65,ROW(Накл!$B$9:$B$550)-ROW(Накл!$B$9)+1),ROW(D71)-ROW(A65)+1)),"")," ",IFERROR(INDEX(Накл!$C$9:$C$550,SMALL(IF(Накл!$B$9:$B$550=A65,ROW(Накл!$B$9:$B$550)-ROW(Накл!$B$9)+1),ROW(D72)-ROW(A65)+1)),"")," ",IFERROR(INDEX(Накл!$C$9:$C$550,SMALL(IF(Накл!$B$9:$B$550=A65,ROW(Накл!$B$9:$B$550)-ROW(Накл!$B$9)+1),ROW(D73)-ROW(A65)+1)),"")," ",IFERROR(INDEX(Накл!$C$9:$C$550,SMALL(IF(Накл!$B$9:$B$550=A65,ROW(Накл!$B$9:$B$550)-ROW(Накл!$B$9)+1),ROW(D74)-ROW(A65)+1)),""))</f>
        <v xml:space="preserve">61         </v>
      </c>
      <c r="E65" s="26" t="str">
        <f t="array" ref="E65">IF(LEN(D65)&lt;10,CONCATENATE(IFERROR(INDEX(Накл!$C$9:$C$550,SMALL(IF(Накл!$A$9:$A$550=VALUE(LEFT(A65,8)),ROW(Накл!$A$9:$A$550)-ROW(Накл!$A$9)+1),ROW(E65)-ROW(B65)+1)),"")," ",IFERROR(INDEX(Накл!$C$9:$C$550,SMALL(IF(Накл!$A$9:$A$550=VALUE(LEFT(A65,8)),ROW(Накл!$A$9:$A$550)-ROW(Накл!$A$9)+1),ROW(E66)-ROW(B65)+1)),"")," ",IFERROR(INDEX(Накл!$C$9:$C$550,SMALL(IF(Накл!$A$9:$A$550=VALUE(LEFT(A65,8)),ROW(Накл!$A$9:$A$550)-ROW(Накл!$A$9)+1),ROW(E67)-ROW(B65)+1)),"")," ",IFERROR(INDEX(Накл!$C$9:$C$550,SMALL(IF(Накл!$A$9:$A$550=VALUE(LEFT(A65,8)),ROW(Накл!$A$9:$A$550)-ROW(Накл!$A$9)+1),ROW(E68)-ROW(B65)+1)),"")),"")</f>
        <v/>
      </c>
    </row>
    <row r="66" spans="1:5">
      <c r="A66" s="26" t="str">
        <f>IFERROR(CONCATENATE(VALUE(SUBSTITUTE(SUBSTITUTE(LEFT(Накл!G73,11),".",""),"-",""))," ",Накл!J73),"-")</f>
        <v>63670510 1</v>
      </c>
      <c r="B66" s="26" t="str">
        <f>IFERROR(VLOOKUP(VALUE(LEFT(A66,8)),Накл!$A$9:$D$550,4,0),"-")</f>
        <v>Уплотнение вала Karcher 6.367-051 код : 005821</v>
      </c>
      <c r="C66" s="26">
        <f>Накл!J73</f>
        <v>1</v>
      </c>
      <c r="D66" s="33" t="str">
        <f t="array" ref="D66">CONCATENATE(IFERROR(INDEX(Накл!$C$9:$C$550,SMALL(IF(Накл!$B$9:$B$550=A66,ROW(Накл!$B$9:$B$550)-ROW(Накл!$B$9)+1),ROW(D66)-ROW(A66)+1)),"")," ",IFERROR(INDEX(Накл!$C$9:$C$550,SMALL(IF(Накл!$B$9:$B$550=A66,ROW(Накл!$B$9:$B$550)-ROW(Накл!$B$9)+1),ROW(D67)-ROW(A66)+1)),"")," ",IFERROR(INDEX(Накл!$C$9:$C$550,SMALL(IF(Накл!$B$9:$B$550=A66,ROW(Накл!$B$9:$B$550)-ROW(Накл!$B$9)+1),ROW(D68)-ROW(A66)+1)),"")," ",IFERROR(INDEX(Накл!$C$9:$C$550,SMALL(IF(Накл!$B$9:$B$550=A66,ROW(Накл!$B$9:$B$550)-ROW(Накл!$B$9)+1),ROW(D69)-ROW(A66)+1)),"")," ",IFERROR(INDEX(Накл!$C$9:$C$550,SMALL(IF(Накл!$B$9:$B$550=A66,ROW(Накл!$B$9:$B$550)-ROW(Накл!$B$9)+1),ROW(D70)-ROW(A66)+1)),"")," ",IFERROR(INDEX(Накл!$C$9:$C$550,SMALL(IF(Накл!$B$9:$B$550=A66,ROW(Накл!$B$9:$B$550)-ROW(Накл!$B$9)+1),ROW(D71)-ROW(A66)+1)),"")," ",IFERROR(INDEX(Накл!$C$9:$C$550,SMALL(IF(Накл!$B$9:$B$550=A66,ROW(Накл!$B$9:$B$550)-ROW(Накл!$B$9)+1),ROW(D72)-ROW(A66)+1)),"")," ",IFERROR(INDEX(Накл!$C$9:$C$550,SMALL(IF(Накл!$B$9:$B$550=A66,ROW(Накл!$B$9:$B$550)-ROW(Накл!$B$9)+1),ROW(D73)-ROW(A66)+1)),"")," ",IFERROR(INDEX(Накл!$C$9:$C$550,SMALL(IF(Накл!$B$9:$B$550=A66,ROW(Накл!$B$9:$B$550)-ROW(Накл!$B$9)+1),ROW(D74)-ROW(A66)+1)),"")," ",IFERROR(INDEX(Накл!$C$9:$C$550,SMALL(IF(Накл!$B$9:$B$550=A66,ROW(Накл!$B$9:$B$550)-ROW(Накл!$B$9)+1),ROW(D75)-ROW(A66)+1)),""))</f>
        <v xml:space="preserve">4         </v>
      </c>
      <c r="E66" s="26" t="str">
        <f t="array" ref="E66">IF(LEN(D66)&lt;10,CONCATENATE(IFERROR(INDEX(Накл!$C$9:$C$550,SMALL(IF(Накл!$A$9:$A$550=VALUE(LEFT(A66,8)),ROW(Накл!$A$9:$A$550)-ROW(Накл!$A$9)+1),ROW(E66)-ROW(B66)+1)),"")," ",IFERROR(INDEX(Накл!$C$9:$C$550,SMALL(IF(Накл!$A$9:$A$550=VALUE(LEFT(A66,8)),ROW(Накл!$A$9:$A$550)-ROW(Накл!$A$9)+1),ROW(E67)-ROW(B66)+1)),"")," ",IFERROR(INDEX(Накл!$C$9:$C$550,SMALL(IF(Накл!$A$9:$A$550=VALUE(LEFT(A66,8)),ROW(Накл!$A$9:$A$550)-ROW(Накл!$A$9)+1),ROW(E68)-ROW(B66)+1)),"")," ",IFERROR(INDEX(Накл!$C$9:$C$550,SMALL(IF(Накл!$A$9:$A$550=VALUE(LEFT(A66,8)),ROW(Накл!$A$9:$A$550)-ROW(Накл!$A$9)+1),ROW(E69)-ROW(B66)+1)),"")),"")</f>
        <v/>
      </c>
    </row>
    <row r="67" spans="1:5">
      <c r="A67" s="26" t="str">
        <f>IFERROR(CONCATENATE(VALUE(SUBSTITUTE(SUBSTITUTE(LEFT(Накл!G74,11),".",""),"-",""))," ",Накл!J74),"-")</f>
        <v>90020100 1</v>
      </c>
      <c r="B67" s="26" t="str">
        <f>IFERROR(VLOOKUP(VALUE(LEFT(A67,8)),Накл!$A$9:$D$550,4,0),"-")</f>
        <v>9002010 Запчасть Karcher *3* код : 005251</v>
      </c>
      <c r="C67" s="26">
        <f>Накл!J74</f>
        <v>1</v>
      </c>
      <c r="D67" s="33" t="str">
        <f t="array" ref="D67">CONCATENATE(IFERROR(INDEX(Накл!$C$9:$C$550,SMALL(IF(Накл!$B$9:$B$550=A67,ROW(Накл!$B$9:$B$550)-ROW(Накл!$B$9)+1),ROW(D67)-ROW(A67)+1)),"")," ",IFERROR(INDEX(Накл!$C$9:$C$550,SMALL(IF(Накл!$B$9:$B$550=A67,ROW(Накл!$B$9:$B$550)-ROW(Накл!$B$9)+1),ROW(D68)-ROW(A67)+1)),"")," ",IFERROR(INDEX(Накл!$C$9:$C$550,SMALL(IF(Накл!$B$9:$B$550=A67,ROW(Накл!$B$9:$B$550)-ROW(Накл!$B$9)+1),ROW(D69)-ROW(A67)+1)),"")," ",IFERROR(INDEX(Накл!$C$9:$C$550,SMALL(IF(Накл!$B$9:$B$550=A67,ROW(Накл!$B$9:$B$550)-ROW(Накл!$B$9)+1),ROW(D70)-ROW(A67)+1)),"")," ",IFERROR(INDEX(Накл!$C$9:$C$550,SMALL(IF(Накл!$B$9:$B$550=A67,ROW(Накл!$B$9:$B$550)-ROW(Накл!$B$9)+1),ROW(D71)-ROW(A67)+1)),"")," ",IFERROR(INDEX(Накл!$C$9:$C$550,SMALL(IF(Накл!$B$9:$B$550=A67,ROW(Накл!$B$9:$B$550)-ROW(Накл!$B$9)+1),ROW(D72)-ROW(A67)+1)),"")," ",IFERROR(INDEX(Накл!$C$9:$C$550,SMALL(IF(Накл!$B$9:$B$550=A67,ROW(Накл!$B$9:$B$550)-ROW(Накл!$B$9)+1),ROW(D73)-ROW(A67)+1)),"")," ",IFERROR(INDEX(Накл!$C$9:$C$550,SMALL(IF(Накл!$B$9:$B$550=A67,ROW(Накл!$B$9:$B$550)-ROW(Накл!$B$9)+1),ROW(D74)-ROW(A67)+1)),"")," ",IFERROR(INDEX(Накл!$C$9:$C$550,SMALL(IF(Накл!$B$9:$B$550=A67,ROW(Накл!$B$9:$B$550)-ROW(Накл!$B$9)+1),ROW(D75)-ROW(A67)+1)),"")," ",IFERROR(INDEX(Накл!$C$9:$C$550,SMALL(IF(Накл!$B$9:$B$550=A67,ROW(Накл!$B$9:$B$550)-ROW(Накл!$B$9)+1),ROW(D76)-ROW(A67)+1)),""))</f>
        <v xml:space="preserve">95         </v>
      </c>
      <c r="E67" s="26" t="str">
        <f t="array" ref="E67">IF(LEN(D67)&lt;10,CONCATENATE(IFERROR(INDEX(Накл!$C$9:$C$550,SMALL(IF(Накл!$A$9:$A$550=VALUE(LEFT(A67,8)),ROW(Накл!$A$9:$A$550)-ROW(Накл!$A$9)+1),ROW(E67)-ROW(B67)+1)),"")," ",IFERROR(INDEX(Накл!$C$9:$C$550,SMALL(IF(Накл!$A$9:$A$550=VALUE(LEFT(A67,8)),ROW(Накл!$A$9:$A$550)-ROW(Накл!$A$9)+1),ROW(E68)-ROW(B67)+1)),"")," ",IFERROR(INDEX(Накл!$C$9:$C$550,SMALL(IF(Накл!$A$9:$A$550=VALUE(LEFT(A67,8)),ROW(Накл!$A$9:$A$550)-ROW(Накл!$A$9)+1),ROW(E69)-ROW(B67)+1)),"")," ",IFERROR(INDEX(Накл!$C$9:$C$550,SMALL(IF(Накл!$A$9:$A$550=VALUE(LEFT(A67,8)),ROW(Накл!$A$9:$A$550)-ROW(Накл!$A$9)+1),ROW(E70)-ROW(B67)+1)),"")),"")</f>
        <v/>
      </c>
    </row>
    <row r="68" spans="1:5">
      <c r="A68" s="26" t="str">
        <f>IFERROR(CONCATENATE(VALUE(SUBSTITUTE(SUBSTITUTE(LEFT(Накл!G75,11),".",""),"-",""))," ",Накл!J75),"-")</f>
        <v>28892170 3</v>
      </c>
      <c r="B68" s="26" t="str">
        <f>IFERROR(VLOOKUP(VALUE(LEFT(A68,8)),Накл!$A$9:$D$550,4,0),"-")</f>
        <v>Фильтр-мешки флисовые для NT22 (5шт) Karcher 2.889-217 код : 000681</v>
      </c>
      <c r="C68" s="26">
        <f>Накл!J75</f>
        <v>3</v>
      </c>
      <c r="D68" s="33" t="str">
        <f t="array" ref="D68">CONCATENATE(IFERROR(INDEX(Накл!$C$9:$C$550,SMALL(IF(Накл!$B$9:$B$550=A68,ROW(Накл!$B$9:$B$550)-ROW(Накл!$B$9)+1),ROW(D68)-ROW(A68)+1)),"")," ",IFERROR(INDEX(Накл!$C$9:$C$550,SMALL(IF(Накл!$B$9:$B$550=A68,ROW(Накл!$B$9:$B$550)-ROW(Накл!$B$9)+1),ROW(D69)-ROW(A68)+1)),"")," ",IFERROR(INDEX(Накл!$C$9:$C$550,SMALL(IF(Накл!$B$9:$B$550=A68,ROW(Накл!$B$9:$B$550)-ROW(Накл!$B$9)+1),ROW(D70)-ROW(A68)+1)),"")," ",IFERROR(INDEX(Накл!$C$9:$C$550,SMALL(IF(Накл!$B$9:$B$550=A68,ROW(Накл!$B$9:$B$550)-ROW(Накл!$B$9)+1),ROW(D71)-ROW(A68)+1)),"")," ",IFERROR(INDEX(Накл!$C$9:$C$550,SMALL(IF(Накл!$B$9:$B$550=A68,ROW(Накл!$B$9:$B$550)-ROW(Накл!$B$9)+1),ROW(D72)-ROW(A68)+1)),"")," ",IFERROR(INDEX(Накл!$C$9:$C$550,SMALL(IF(Накл!$B$9:$B$550=A68,ROW(Накл!$B$9:$B$550)-ROW(Накл!$B$9)+1),ROW(D73)-ROW(A68)+1)),"")," ",IFERROR(INDEX(Накл!$C$9:$C$550,SMALL(IF(Накл!$B$9:$B$550=A68,ROW(Накл!$B$9:$B$550)-ROW(Накл!$B$9)+1),ROW(D74)-ROW(A68)+1)),"")," ",IFERROR(INDEX(Накл!$C$9:$C$550,SMALL(IF(Накл!$B$9:$B$550=A68,ROW(Накл!$B$9:$B$550)-ROW(Накл!$B$9)+1),ROW(D75)-ROW(A68)+1)),"")," ",IFERROR(INDEX(Накл!$C$9:$C$550,SMALL(IF(Накл!$B$9:$B$550=A68,ROW(Накл!$B$9:$B$550)-ROW(Накл!$B$9)+1),ROW(D76)-ROW(A68)+1)),"")," ",IFERROR(INDEX(Накл!$C$9:$C$550,SMALL(IF(Накл!$B$9:$B$550=A68,ROW(Накл!$B$9:$B$550)-ROW(Накл!$B$9)+1),ROW(D77)-ROW(A68)+1)),""))</f>
        <v xml:space="preserve">105         </v>
      </c>
      <c r="E68" s="26" t="str">
        <f t="array" ref="E68">IF(LEN(D68)&lt;10,CONCATENATE(IFERROR(INDEX(Накл!$C$9:$C$550,SMALL(IF(Накл!$A$9:$A$550=VALUE(LEFT(A68,8)),ROW(Накл!$A$9:$A$550)-ROW(Накл!$A$9)+1),ROW(E68)-ROW(B68)+1)),"")," ",IFERROR(INDEX(Накл!$C$9:$C$550,SMALL(IF(Накл!$A$9:$A$550=VALUE(LEFT(A68,8)),ROW(Накл!$A$9:$A$550)-ROW(Накл!$A$9)+1),ROW(E69)-ROW(B68)+1)),"")," ",IFERROR(INDEX(Накл!$C$9:$C$550,SMALL(IF(Накл!$A$9:$A$550=VALUE(LEFT(A68,8)),ROW(Накл!$A$9:$A$550)-ROW(Накл!$A$9)+1),ROW(E70)-ROW(B68)+1)),"")," ",IFERROR(INDEX(Накл!$C$9:$C$550,SMALL(IF(Накл!$A$9:$A$550=VALUE(LEFT(A68,8)),ROW(Накл!$A$9:$A$550)-ROW(Накл!$A$9)+1),ROW(E71)-ROW(B68)+1)),"")),"")</f>
        <v/>
      </c>
    </row>
    <row r="69" spans="1:5">
      <c r="A69" s="26" t="str">
        <f>IFERROR(CONCATENATE(VALUE(SUBSTITUTE(SUBSTITUTE(LEFT(Накл!G76,11),".",""),"-",""))," ",Накл!J76),"-")</f>
        <v>47450430 1</v>
      </c>
      <c r="B69" s="26" t="str">
        <f>IFERROR(VLOOKUP(VALUE(LEFT(A69,8)),Накл!$A$9:$D$550,4,0),"-")</f>
        <v>Соединительный элемент Karcher 4.745-043 код : 030052</v>
      </c>
      <c r="C69" s="26">
        <f>Накл!J76</f>
        <v>1</v>
      </c>
      <c r="D69" s="33" t="str">
        <f t="array" ref="D69">CONCATENATE(IFERROR(INDEX(Накл!$C$9:$C$550,SMALL(IF(Накл!$B$9:$B$550=A69,ROW(Накл!$B$9:$B$550)-ROW(Накл!$B$9)+1),ROW(D69)-ROW(A69)+1)),"")," ",IFERROR(INDEX(Накл!$C$9:$C$550,SMALL(IF(Накл!$B$9:$B$550=A69,ROW(Накл!$B$9:$B$550)-ROW(Накл!$B$9)+1),ROW(D70)-ROW(A69)+1)),"")," ",IFERROR(INDEX(Накл!$C$9:$C$550,SMALL(IF(Накл!$B$9:$B$550=A69,ROW(Накл!$B$9:$B$550)-ROW(Накл!$B$9)+1),ROW(D71)-ROW(A69)+1)),"")," ",IFERROR(INDEX(Накл!$C$9:$C$550,SMALL(IF(Накл!$B$9:$B$550=A69,ROW(Накл!$B$9:$B$550)-ROW(Накл!$B$9)+1),ROW(D72)-ROW(A69)+1)),"")," ",IFERROR(INDEX(Накл!$C$9:$C$550,SMALL(IF(Накл!$B$9:$B$550=A69,ROW(Накл!$B$9:$B$550)-ROW(Накл!$B$9)+1),ROW(D73)-ROW(A69)+1)),"")," ",IFERROR(INDEX(Накл!$C$9:$C$550,SMALL(IF(Накл!$B$9:$B$550=A69,ROW(Накл!$B$9:$B$550)-ROW(Накл!$B$9)+1),ROW(D74)-ROW(A69)+1)),"")," ",IFERROR(INDEX(Накл!$C$9:$C$550,SMALL(IF(Накл!$B$9:$B$550=A69,ROW(Накл!$B$9:$B$550)-ROW(Накл!$B$9)+1),ROW(D75)-ROW(A69)+1)),"")," ",IFERROR(INDEX(Накл!$C$9:$C$550,SMALL(IF(Накл!$B$9:$B$550=A69,ROW(Накл!$B$9:$B$550)-ROW(Накл!$B$9)+1),ROW(D76)-ROW(A69)+1)),"")," ",IFERROR(INDEX(Накл!$C$9:$C$550,SMALL(IF(Накл!$B$9:$B$550=A69,ROW(Накл!$B$9:$B$550)-ROW(Накл!$B$9)+1),ROW(D77)-ROW(A69)+1)),"")," ",IFERROR(INDEX(Накл!$C$9:$C$550,SMALL(IF(Накл!$B$9:$B$550=A69,ROW(Накл!$B$9:$B$550)-ROW(Накл!$B$9)+1),ROW(D78)-ROW(A69)+1)),""))</f>
        <v xml:space="preserve">160         </v>
      </c>
      <c r="E69" s="26" t="str">
        <f t="array" ref="E69">IF(LEN(D69)&lt;10,CONCATENATE(IFERROR(INDEX(Накл!$C$9:$C$550,SMALL(IF(Накл!$A$9:$A$550=VALUE(LEFT(A69,8)),ROW(Накл!$A$9:$A$550)-ROW(Накл!$A$9)+1),ROW(E69)-ROW(B69)+1)),"")," ",IFERROR(INDEX(Накл!$C$9:$C$550,SMALL(IF(Накл!$A$9:$A$550=VALUE(LEFT(A69,8)),ROW(Накл!$A$9:$A$550)-ROW(Накл!$A$9)+1),ROW(E70)-ROW(B69)+1)),"")," ",IFERROR(INDEX(Накл!$C$9:$C$550,SMALL(IF(Накл!$A$9:$A$550=VALUE(LEFT(A69,8)),ROW(Накл!$A$9:$A$550)-ROW(Накл!$A$9)+1),ROW(E71)-ROW(B69)+1)),"")," ",IFERROR(INDEX(Накл!$C$9:$C$550,SMALL(IF(Накл!$A$9:$A$550=VALUE(LEFT(A69,8)),ROW(Накл!$A$9:$A$550)-ROW(Накл!$A$9)+1),ROW(E72)-ROW(B69)+1)),"")),"")</f>
        <v/>
      </c>
    </row>
    <row r="70" spans="1:5">
      <c r="A70" s="26" t="str">
        <f>IFERROR(CONCATENATE(VALUE(SUBSTITUTE(SUBSTITUTE(LEFT(Накл!G77,11),".",""),"-",""))," ",Накл!J77),"-")</f>
        <v>62730230 1</v>
      </c>
      <c r="B70" s="26" t="str">
        <f>IFERROR(VLOOKUP(VALUE(LEFT(A70,8)),Накл!$A$9:$D$550,4,0),"-")</f>
        <v>6273023 Полоски ребр д/V-балки 900мм Karcher код : 030815</v>
      </c>
      <c r="C70" s="26">
        <f>Накл!J77</f>
        <v>1</v>
      </c>
      <c r="D70" s="33" t="str">
        <f t="array" ref="D70">CONCATENATE(IFERROR(INDEX(Накл!$C$9:$C$550,SMALL(IF(Накл!$B$9:$B$550=A70,ROW(Накл!$B$9:$B$550)-ROW(Накл!$B$9)+1),ROW(D70)-ROW(A70)+1)),"")," ",IFERROR(INDEX(Накл!$C$9:$C$550,SMALL(IF(Накл!$B$9:$B$550=A70,ROW(Накл!$B$9:$B$550)-ROW(Накл!$B$9)+1),ROW(D71)-ROW(A70)+1)),"")," ",IFERROR(INDEX(Накл!$C$9:$C$550,SMALL(IF(Накл!$B$9:$B$550=A70,ROW(Накл!$B$9:$B$550)-ROW(Накл!$B$9)+1),ROW(D72)-ROW(A70)+1)),"")," ",IFERROR(INDEX(Накл!$C$9:$C$550,SMALL(IF(Накл!$B$9:$B$550=A70,ROW(Накл!$B$9:$B$550)-ROW(Накл!$B$9)+1),ROW(D73)-ROW(A70)+1)),"")," ",IFERROR(INDEX(Накл!$C$9:$C$550,SMALL(IF(Накл!$B$9:$B$550=A70,ROW(Накл!$B$9:$B$550)-ROW(Накл!$B$9)+1),ROW(D74)-ROW(A70)+1)),"")," ",IFERROR(INDEX(Накл!$C$9:$C$550,SMALL(IF(Накл!$B$9:$B$550=A70,ROW(Накл!$B$9:$B$550)-ROW(Накл!$B$9)+1),ROW(D75)-ROW(A70)+1)),"")," ",IFERROR(INDEX(Накл!$C$9:$C$550,SMALL(IF(Накл!$B$9:$B$550=A70,ROW(Накл!$B$9:$B$550)-ROW(Накл!$B$9)+1),ROW(D76)-ROW(A70)+1)),"")," ",IFERROR(INDEX(Накл!$C$9:$C$550,SMALL(IF(Накл!$B$9:$B$550=A70,ROW(Накл!$B$9:$B$550)-ROW(Накл!$B$9)+1),ROW(D77)-ROW(A70)+1)),"")," ",IFERROR(INDEX(Накл!$C$9:$C$550,SMALL(IF(Накл!$B$9:$B$550=A70,ROW(Накл!$B$9:$B$550)-ROW(Накл!$B$9)+1),ROW(D78)-ROW(A70)+1)),"")," ",IFERROR(INDEX(Накл!$C$9:$C$550,SMALL(IF(Накл!$B$9:$B$550=A70,ROW(Накл!$B$9:$B$550)-ROW(Накл!$B$9)+1),ROW(D79)-ROW(A70)+1)),""))</f>
        <v xml:space="preserve">173         </v>
      </c>
      <c r="E70" s="26" t="str">
        <f t="array" ref="E70">IF(LEN(D70)&lt;10,CONCATENATE(IFERROR(INDEX(Накл!$C$9:$C$550,SMALL(IF(Накл!$A$9:$A$550=VALUE(LEFT(A70,8)),ROW(Накл!$A$9:$A$550)-ROW(Накл!$A$9)+1),ROW(E70)-ROW(B70)+1)),"")," ",IFERROR(INDEX(Накл!$C$9:$C$550,SMALL(IF(Накл!$A$9:$A$550=VALUE(LEFT(A70,8)),ROW(Накл!$A$9:$A$550)-ROW(Накл!$A$9)+1),ROW(E71)-ROW(B70)+1)),"")," ",IFERROR(INDEX(Накл!$C$9:$C$550,SMALL(IF(Накл!$A$9:$A$550=VALUE(LEFT(A70,8)),ROW(Накл!$A$9:$A$550)-ROW(Накл!$A$9)+1),ROW(E72)-ROW(B70)+1)),"")," ",IFERROR(INDEX(Накл!$C$9:$C$550,SMALL(IF(Накл!$A$9:$A$550=VALUE(LEFT(A70,8)),ROW(Накл!$A$9:$A$550)-ROW(Накл!$A$9)+1),ROW(E73)-ROW(B70)+1)),"")),"")</f>
        <v/>
      </c>
    </row>
    <row r="71" spans="1:5">
      <c r="A71" s="26" t="str">
        <f>IFERROR(CONCATENATE(VALUE(SUBSTITUTE(SUBSTITUTE(LEFT(Накл!G78,11),".",""),"-",""))," ",Накл!J78),"-")</f>
        <v>63636330 11</v>
      </c>
      <c r="B71" s="26" t="str">
        <f>IFERROR(VLOOKUP(VALUE(LEFT(A71,8)),Накл!$A$9:$D$550,4,0),"-")</f>
        <v>6363633 З/ч Karcher *6* код : 005325</v>
      </c>
      <c r="C71" s="26">
        <f>Накл!J78</f>
        <v>11</v>
      </c>
      <c r="D71" s="33" t="str">
        <f t="array" ref="D71">CONCATENATE(IFERROR(INDEX(Накл!$C$9:$C$550,SMALL(IF(Накл!$B$9:$B$550=A71,ROW(Накл!$B$9:$B$550)-ROW(Накл!$B$9)+1),ROW(D71)-ROW(A71)+1)),"")," ",IFERROR(INDEX(Накл!$C$9:$C$550,SMALL(IF(Накл!$B$9:$B$550=A71,ROW(Накл!$B$9:$B$550)-ROW(Накл!$B$9)+1),ROW(D72)-ROW(A71)+1)),"")," ",IFERROR(INDEX(Накл!$C$9:$C$550,SMALL(IF(Накл!$B$9:$B$550=A71,ROW(Накл!$B$9:$B$550)-ROW(Накл!$B$9)+1),ROW(D73)-ROW(A71)+1)),"")," ",IFERROR(INDEX(Накл!$C$9:$C$550,SMALL(IF(Накл!$B$9:$B$550=A71,ROW(Накл!$B$9:$B$550)-ROW(Накл!$B$9)+1),ROW(D74)-ROW(A71)+1)),"")," ",IFERROR(INDEX(Накл!$C$9:$C$550,SMALL(IF(Накл!$B$9:$B$550=A71,ROW(Накл!$B$9:$B$550)-ROW(Накл!$B$9)+1),ROW(D75)-ROW(A71)+1)),"")," ",IFERROR(INDEX(Накл!$C$9:$C$550,SMALL(IF(Накл!$B$9:$B$550=A71,ROW(Накл!$B$9:$B$550)-ROW(Накл!$B$9)+1),ROW(D76)-ROW(A71)+1)),"")," ",IFERROR(INDEX(Накл!$C$9:$C$550,SMALL(IF(Накл!$B$9:$B$550=A71,ROW(Накл!$B$9:$B$550)-ROW(Накл!$B$9)+1),ROW(D77)-ROW(A71)+1)),"")," ",IFERROR(INDEX(Накл!$C$9:$C$550,SMALL(IF(Накл!$B$9:$B$550=A71,ROW(Накл!$B$9:$B$550)-ROW(Накл!$B$9)+1),ROW(D78)-ROW(A71)+1)),"")," ",IFERROR(INDEX(Накл!$C$9:$C$550,SMALL(IF(Накл!$B$9:$B$550=A71,ROW(Накл!$B$9:$B$550)-ROW(Накл!$B$9)+1),ROW(D79)-ROW(A71)+1)),"")," ",IFERROR(INDEX(Накл!$C$9:$C$550,SMALL(IF(Накл!$B$9:$B$550=A71,ROW(Накл!$B$9:$B$550)-ROW(Накл!$B$9)+1),ROW(D80)-ROW(A71)+1)),""))</f>
        <v xml:space="preserve">         </v>
      </c>
      <c r="E71" s="26" t="str">
        <f t="array" ref="E71">IF(LEN(D71)&lt;10,CONCATENATE(IFERROR(INDEX(Накл!$C$9:$C$550,SMALL(IF(Накл!$A$9:$A$550=VALUE(LEFT(A71,8)),ROW(Накл!$A$9:$A$550)-ROW(Накл!$A$9)+1),ROW(E71)-ROW(B71)+1)),"")," ",IFERROR(INDEX(Накл!$C$9:$C$550,SMALL(IF(Накл!$A$9:$A$550=VALUE(LEFT(A71,8)),ROW(Накл!$A$9:$A$550)-ROW(Накл!$A$9)+1),ROW(E72)-ROW(B71)+1)),"")," ",IFERROR(INDEX(Накл!$C$9:$C$550,SMALL(IF(Накл!$A$9:$A$550=VALUE(LEFT(A71,8)),ROW(Накл!$A$9:$A$550)-ROW(Накл!$A$9)+1),ROW(E73)-ROW(B71)+1)),"")," ",IFERROR(INDEX(Накл!$C$9:$C$550,SMALL(IF(Накл!$A$9:$A$550=VALUE(LEFT(A71,8)),ROW(Накл!$A$9:$A$550)-ROW(Накл!$A$9)+1),ROW(E74)-ROW(B71)+1)),"")),"")</f>
        <v xml:space="preserve">36 179  </v>
      </c>
    </row>
    <row r="72" spans="1:5">
      <c r="A72" s="26" t="str">
        <f>IFERROR(CONCATENATE(VALUE(SUBSTITUTE(SUBSTITUTE(LEFT(Накл!G79,11),".",""),"-",""))," ",Накл!J79),"-")</f>
        <v>14394200 1</v>
      </c>
      <c r="B72" s="26" t="str">
        <f>IFERROR(VLOOKUP(VALUE(LEFT(A72,8)),Накл!$A$9:$D$550,4,0),"-")</f>
        <v>SV 7 (White)*EU Паропылесос Karcher 1.439-420 код : 000235</v>
      </c>
      <c r="C72" s="26">
        <f>Накл!J79</f>
        <v>1</v>
      </c>
      <c r="D72" s="33" t="str">
        <f t="array" ref="D72">CONCATENATE(IFERROR(INDEX(Накл!$C$9:$C$550,SMALL(IF(Накл!$B$9:$B$550=A72,ROW(Накл!$B$9:$B$550)-ROW(Накл!$B$9)+1),ROW(D72)-ROW(A72)+1)),"")," ",IFERROR(INDEX(Накл!$C$9:$C$550,SMALL(IF(Накл!$B$9:$B$550=A72,ROW(Накл!$B$9:$B$550)-ROW(Накл!$B$9)+1),ROW(D73)-ROW(A72)+1)),"")," ",IFERROR(INDEX(Накл!$C$9:$C$550,SMALL(IF(Накл!$B$9:$B$550=A72,ROW(Накл!$B$9:$B$550)-ROW(Накл!$B$9)+1),ROW(D74)-ROW(A72)+1)),"")," ",IFERROR(INDEX(Накл!$C$9:$C$550,SMALL(IF(Накл!$B$9:$B$550=A72,ROW(Накл!$B$9:$B$550)-ROW(Накл!$B$9)+1),ROW(D75)-ROW(A72)+1)),"")," ",IFERROR(INDEX(Накл!$C$9:$C$550,SMALL(IF(Накл!$B$9:$B$550=A72,ROW(Накл!$B$9:$B$550)-ROW(Накл!$B$9)+1),ROW(D76)-ROW(A72)+1)),"")," ",IFERROR(INDEX(Накл!$C$9:$C$550,SMALL(IF(Накл!$B$9:$B$550=A72,ROW(Накл!$B$9:$B$550)-ROW(Накл!$B$9)+1),ROW(D77)-ROW(A72)+1)),"")," ",IFERROR(INDEX(Накл!$C$9:$C$550,SMALL(IF(Накл!$B$9:$B$550=A72,ROW(Накл!$B$9:$B$550)-ROW(Накл!$B$9)+1),ROW(D78)-ROW(A72)+1)),"")," ",IFERROR(INDEX(Накл!$C$9:$C$550,SMALL(IF(Накл!$B$9:$B$550=A72,ROW(Накл!$B$9:$B$550)-ROW(Накл!$B$9)+1),ROW(D79)-ROW(A72)+1)),"")," ",IFERROR(INDEX(Накл!$C$9:$C$550,SMALL(IF(Накл!$B$9:$B$550=A72,ROW(Накл!$B$9:$B$550)-ROW(Накл!$B$9)+1),ROW(D80)-ROW(A72)+1)),"")," ",IFERROR(INDEX(Накл!$C$9:$C$550,SMALL(IF(Накл!$B$9:$B$550=A72,ROW(Накл!$B$9:$B$550)-ROW(Накл!$B$9)+1),ROW(D81)-ROW(A72)+1)),""))</f>
        <v xml:space="preserve">125         </v>
      </c>
      <c r="E72" s="26" t="str">
        <f t="array" ref="E72">IF(LEN(D72)&lt;10,CONCATENATE(IFERROR(INDEX(Накл!$C$9:$C$550,SMALL(IF(Накл!$A$9:$A$550=VALUE(LEFT(A72,8)),ROW(Накл!$A$9:$A$550)-ROW(Накл!$A$9)+1),ROW(E72)-ROW(B72)+1)),"")," ",IFERROR(INDEX(Накл!$C$9:$C$550,SMALL(IF(Накл!$A$9:$A$550=VALUE(LEFT(A72,8)),ROW(Накл!$A$9:$A$550)-ROW(Накл!$A$9)+1),ROW(E73)-ROW(B72)+1)),"")," ",IFERROR(INDEX(Накл!$C$9:$C$550,SMALL(IF(Накл!$A$9:$A$550=VALUE(LEFT(A72,8)),ROW(Накл!$A$9:$A$550)-ROW(Накл!$A$9)+1),ROW(E74)-ROW(B72)+1)),"")," ",IFERROR(INDEX(Накл!$C$9:$C$550,SMALL(IF(Накл!$A$9:$A$550=VALUE(LEFT(A72,8)),ROW(Накл!$A$9:$A$550)-ROW(Накл!$A$9)+1),ROW(E75)-ROW(B72)+1)),"")),"")</f>
        <v/>
      </c>
    </row>
    <row r="73" spans="1:5">
      <c r="A73" s="26" t="str">
        <f>IFERROR(CONCATENATE(VALUE(SUBSTITUTE(SUBSTITUTE(LEFT(Накл!G80,11),".",""),"-",""))," ",Накл!J80),"-")</f>
        <v>16283600 2</v>
      </c>
      <c r="B73" s="26" t="str">
        <f>IFERROR(VLOOKUP(VALUE(LEFT(A73,8)),Накл!$A$9:$D$550,4,0),"-")</f>
        <v>WD 6 P S V-30/6/22/T (YSY)*EU Хозяйственный пылесос Karcher 1.628-360 код : 000149</v>
      </c>
      <c r="C73" s="26">
        <f>Накл!J80</f>
        <v>2</v>
      </c>
      <c r="D73" s="33" t="str">
        <f t="array" ref="D73">CONCATENATE(IFERROR(INDEX(Накл!$C$9:$C$550,SMALL(IF(Накл!$B$9:$B$550=A73,ROW(Накл!$B$9:$B$550)-ROW(Накл!$B$9)+1),ROW(D73)-ROW(A73)+1)),"")," ",IFERROR(INDEX(Накл!$C$9:$C$550,SMALL(IF(Накл!$B$9:$B$550=A73,ROW(Накл!$B$9:$B$550)-ROW(Накл!$B$9)+1),ROW(D74)-ROW(A73)+1)),"")," ",IFERROR(INDEX(Накл!$C$9:$C$550,SMALL(IF(Накл!$B$9:$B$550=A73,ROW(Накл!$B$9:$B$550)-ROW(Накл!$B$9)+1),ROW(D75)-ROW(A73)+1)),"")," ",IFERROR(INDEX(Накл!$C$9:$C$550,SMALL(IF(Накл!$B$9:$B$550=A73,ROW(Накл!$B$9:$B$550)-ROW(Накл!$B$9)+1),ROW(D76)-ROW(A73)+1)),"")," ",IFERROR(INDEX(Накл!$C$9:$C$550,SMALL(IF(Накл!$B$9:$B$550=A73,ROW(Накл!$B$9:$B$550)-ROW(Накл!$B$9)+1),ROW(D77)-ROW(A73)+1)),"")," ",IFERROR(INDEX(Накл!$C$9:$C$550,SMALL(IF(Накл!$B$9:$B$550=A73,ROW(Накл!$B$9:$B$550)-ROW(Накл!$B$9)+1),ROW(D78)-ROW(A73)+1)),"")," ",IFERROR(INDEX(Накл!$C$9:$C$550,SMALL(IF(Накл!$B$9:$B$550=A73,ROW(Накл!$B$9:$B$550)-ROW(Накл!$B$9)+1),ROW(D79)-ROW(A73)+1)),"")," ",IFERROR(INDEX(Накл!$C$9:$C$550,SMALL(IF(Накл!$B$9:$B$550=A73,ROW(Накл!$B$9:$B$550)-ROW(Накл!$B$9)+1),ROW(D80)-ROW(A73)+1)),"")," ",IFERROR(INDEX(Накл!$C$9:$C$550,SMALL(IF(Накл!$B$9:$B$550=A73,ROW(Накл!$B$9:$B$550)-ROW(Накл!$B$9)+1),ROW(D81)-ROW(A73)+1)),"")," ",IFERROR(INDEX(Накл!$C$9:$C$550,SMALL(IF(Накл!$B$9:$B$550=A73,ROW(Накл!$B$9:$B$550)-ROW(Накл!$B$9)+1),ROW(D82)-ROW(A73)+1)),""))</f>
        <v xml:space="preserve">133         </v>
      </c>
      <c r="E73" s="26" t="str">
        <f t="array" ref="E73">IF(LEN(D73)&lt;10,CONCATENATE(IFERROR(INDEX(Накл!$C$9:$C$550,SMALL(IF(Накл!$A$9:$A$550=VALUE(LEFT(A73,8)),ROW(Накл!$A$9:$A$550)-ROW(Накл!$A$9)+1),ROW(E73)-ROW(B73)+1)),"")," ",IFERROR(INDEX(Накл!$C$9:$C$550,SMALL(IF(Накл!$A$9:$A$550=VALUE(LEFT(A73,8)),ROW(Накл!$A$9:$A$550)-ROW(Накл!$A$9)+1),ROW(E74)-ROW(B73)+1)),"")," ",IFERROR(INDEX(Накл!$C$9:$C$550,SMALL(IF(Накл!$A$9:$A$550=VALUE(LEFT(A73,8)),ROW(Накл!$A$9:$A$550)-ROW(Накл!$A$9)+1),ROW(E75)-ROW(B73)+1)),"")," ",IFERROR(INDEX(Накл!$C$9:$C$550,SMALL(IF(Накл!$A$9:$A$550=VALUE(LEFT(A73,8)),ROW(Накл!$A$9:$A$550)-ROW(Накл!$A$9)+1),ROW(E76)-ROW(B73)+1)),"")),"")</f>
        <v/>
      </c>
    </row>
    <row r="74" spans="1:5">
      <c r="A74" s="26" t="str">
        <f>IFERROR(CONCATENATE(VALUE(SUBSTITUTE(SUBSTITUTE(LEFT(Накл!G81,11),".",""),"-",""))," ",Накл!J81),"-")</f>
        <v>14442400 1</v>
      </c>
      <c r="B74" s="26" t="str">
        <f>IFERROR(VLOOKUP(VALUE(LEFT(A74,8)),Накл!$A$9:$D$550,4,0),"-")</f>
        <v>HGE 18-50 Battery Кусторез Karcher 1.444-240 код : 000256</v>
      </c>
      <c r="C74" s="26">
        <f>Накл!J81</f>
        <v>1</v>
      </c>
      <c r="D74" s="33" t="str">
        <f t="array" ref="D74">CONCATENATE(IFERROR(INDEX(Накл!$C$9:$C$550,SMALL(IF(Накл!$B$9:$B$550=A74,ROW(Накл!$B$9:$B$550)-ROW(Накл!$B$9)+1),ROW(D74)-ROW(A74)+1)),"")," ",IFERROR(INDEX(Накл!$C$9:$C$550,SMALL(IF(Накл!$B$9:$B$550=A74,ROW(Накл!$B$9:$B$550)-ROW(Накл!$B$9)+1),ROW(D75)-ROW(A74)+1)),"")," ",IFERROR(INDEX(Накл!$C$9:$C$550,SMALL(IF(Накл!$B$9:$B$550=A74,ROW(Накл!$B$9:$B$550)-ROW(Накл!$B$9)+1),ROW(D76)-ROW(A74)+1)),"")," ",IFERROR(INDEX(Накл!$C$9:$C$550,SMALL(IF(Накл!$B$9:$B$550=A74,ROW(Накл!$B$9:$B$550)-ROW(Накл!$B$9)+1),ROW(D77)-ROW(A74)+1)),"")," ",IFERROR(INDEX(Накл!$C$9:$C$550,SMALL(IF(Накл!$B$9:$B$550=A74,ROW(Накл!$B$9:$B$550)-ROW(Накл!$B$9)+1),ROW(D78)-ROW(A74)+1)),"")," ",IFERROR(INDEX(Накл!$C$9:$C$550,SMALL(IF(Накл!$B$9:$B$550=A74,ROW(Накл!$B$9:$B$550)-ROW(Накл!$B$9)+1),ROW(D79)-ROW(A74)+1)),"")," ",IFERROR(INDEX(Накл!$C$9:$C$550,SMALL(IF(Накл!$B$9:$B$550=A74,ROW(Накл!$B$9:$B$550)-ROW(Накл!$B$9)+1),ROW(D80)-ROW(A74)+1)),"")," ",IFERROR(INDEX(Накл!$C$9:$C$550,SMALL(IF(Накл!$B$9:$B$550=A74,ROW(Накл!$B$9:$B$550)-ROW(Накл!$B$9)+1),ROW(D81)-ROW(A74)+1)),"")," ",IFERROR(INDEX(Накл!$C$9:$C$550,SMALL(IF(Накл!$B$9:$B$550=A74,ROW(Накл!$B$9:$B$550)-ROW(Накл!$B$9)+1),ROW(D82)-ROW(A74)+1)),"")," ",IFERROR(INDEX(Накл!$C$9:$C$550,SMALL(IF(Накл!$B$9:$B$550=A74,ROW(Накл!$B$9:$B$550)-ROW(Накл!$B$9)+1),ROW(D83)-ROW(A74)+1)),""))</f>
        <v xml:space="preserve">128         </v>
      </c>
      <c r="E74" s="26" t="str">
        <f t="array" ref="E74">IF(LEN(D74)&lt;10,CONCATENATE(IFERROR(INDEX(Накл!$C$9:$C$550,SMALL(IF(Накл!$A$9:$A$550=VALUE(LEFT(A74,8)),ROW(Накл!$A$9:$A$550)-ROW(Накл!$A$9)+1),ROW(E74)-ROW(B74)+1)),"")," ",IFERROR(INDEX(Накл!$C$9:$C$550,SMALL(IF(Накл!$A$9:$A$550=VALUE(LEFT(A74,8)),ROW(Накл!$A$9:$A$550)-ROW(Накл!$A$9)+1),ROW(E75)-ROW(B74)+1)),"")," ",IFERROR(INDEX(Накл!$C$9:$C$550,SMALL(IF(Накл!$A$9:$A$550=VALUE(LEFT(A74,8)),ROW(Накл!$A$9:$A$550)-ROW(Накл!$A$9)+1),ROW(E76)-ROW(B74)+1)),"")," ",IFERROR(INDEX(Накл!$C$9:$C$550,SMALL(IF(Накл!$A$9:$A$550=VALUE(LEFT(A74,8)),ROW(Накл!$A$9:$A$550)-ROW(Накл!$A$9)+1),ROW(E77)-ROW(B74)+1)),"")),"")</f>
        <v/>
      </c>
    </row>
    <row r="75" spans="1:5">
      <c r="A75" s="26" t="str">
        <f>IFERROR(CONCATENATE(VALUE(SUBSTITUTE(SUBSTITUTE(LEFT(Накл!G82,11),".",""),"-",""))," ",Накл!J82),"-")</f>
        <v>16455350 1</v>
      </c>
      <c r="B75" s="26" t="str">
        <f>IFERROR(VLOOKUP(VALUE(LEFT(A75,8)),Накл!$A$9:$D$550,4,0),"-")</f>
        <v>SP 3 Dirt House Set*EU Погружной насос Karcher 1.645-535 код : 000274</v>
      </c>
      <c r="C75" s="26">
        <f>Накл!J82</f>
        <v>1</v>
      </c>
      <c r="D75" s="33" t="str">
        <f t="array" ref="D75">CONCATENATE(IFERROR(INDEX(Накл!$C$9:$C$550,SMALL(IF(Накл!$B$9:$B$550=A75,ROW(Накл!$B$9:$B$550)-ROW(Накл!$B$9)+1),ROW(D75)-ROW(A75)+1)),"")," ",IFERROR(INDEX(Накл!$C$9:$C$550,SMALL(IF(Накл!$B$9:$B$550=A75,ROW(Накл!$B$9:$B$550)-ROW(Накл!$B$9)+1),ROW(D76)-ROW(A75)+1)),"")," ",IFERROR(INDEX(Накл!$C$9:$C$550,SMALL(IF(Накл!$B$9:$B$550=A75,ROW(Накл!$B$9:$B$550)-ROW(Накл!$B$9)+1),ROW(D77)-ROW(A75)+1)),"")," ",IFERROR(INDEX(Накл!$C$9:$C$550,SMALL(IF(Накл!$B$9:$B$550=A75,ROW(Накл!$B$9:$B$550)-ROW(Накл!$B$9)+1),ROW(D78)-ROW(A75)+1)),"")," ",IFERROR(INDEX(Накл!$C$9:$C$550,SMALL(IF(Накл!$B$9:$B$550=A75,ROW(Накл!$B$9:$B$550)-ROW(Накл!$B$9)+1),ROW(D79)-ROW(A75)+1)),"")," ",IFERROR(INDEX(Накл!$C$9:$C$550,SMALL(IF(Накл!$B$9:$B$550=A75,ROW(Накл!$B$9:$B$550)-ROW(Накл!$B$9)+1),ROW(D80)-ROW(A75)+1)),"")," ",IFERROR(INDEX(Накл!$C$9:$C$550,SMALL(IF(Накл!$B$9:$B$550=A75,ROW(Накл!$B$9:$B$550)-ROW(Накл!$B$9)+1),ROW(D81)-ROW(A75)+1)),"")," ",IFERROR(INDEX(Накл!$C$9:$C$550,SMALL(IF(Накл!$B$9:$B$550=A75,ROW(Накл!$B$9:$B$550)-ROW(Накл!$B$9)+1),ROW(D82)-ROW(A75)+1)),"")," ",IFERROR(INDEX(Накл!$C$9:$C$550,SMALL(IF(Накл!$B$9:$B$550=A75,ROW(Накл!$B$9:$B$550)-ROW(Накл!$B$9)+1),ROW(D83)-ROW(A75)+1)),"")," ",IFERROR(INDEX(Накл!$C$9:$C$550,SMALL(IF(Накл!$B$9:$B$550=A75,ROW(Накл!$B$9:$B$550)-ROW(Накл!$B$9)+1),ROW(D84)-ROW(A75)+1)),""))</f>
        <v xml:space="preserve">135         </v>
      </c>
      <c r="E75" s="26" t="str">
        <f t="array" ref="E75">IF(LEN(D75)&lt;10,CONCATENATE(IFERROR(INDEX(Накл!$C$9:$C$550,SMALL(IF(Накл!$A$9:$A$550=VALUE(LEFT(A75,8)),ROW(Накл!$A$9:$A$550)-ROW(Накл!$A$9)+1),ROW(E75)-ROW(B75)+1)),"")," ",IFERROR(INDEX(Накл!$C$9:$C$550,SMALL(IF(Накл!$A$9:$A$550=VALUE(LEFT(A75,8)),ROW(Накл!$A$9:$A$550)-ROW(Накл!$A$9)+1),ROW(E76)-ROW(B75)+1)),"")," ",IFERROR(INDEX(Накл!$C$9:$C$550,SMALL(IF(Накл!$A$9:$A$550=VALUE(LEFT(A75,8)),ROW(Накл!$A$9:$A$550)-ROW(Накл!$A$9)+1),ROW(E77)-ROW(B75)+1)),"")," ",IFERROR(INDEX(Накл!$C$9:$C$550,SMALL(IF(Накл!$A$9:$A$550=VALUE(LEFT(A75,8)),ROW(Накл!$A$9:$A$550)-ROW(Накл!$A$9)+1),ROW(E78)-ROW(B75)+1)),"")),"")</f>
        <v/>
      </c>
    </row>
    <row r="76" spans="1:5">
      <c r="A76" s="26" t="str">
        <f>IFERROR(CONCATENATE(VALUE(SUBSTITUTE(SUBSTITUTE(LEFT(Накл!G83,11),".",""),"-",""))," ",Накл!J83),"-")</f>
        <v>10811380 2</v>
      </c>
      <c r="B76" s="26" t="str">
        <f>IFERROR(VLOOKUP(VALUE(LEFT(A76,8)),Накл!$A$9:$D$550,4,0),"-")</f>
        <v>SE 4001 Plus Limited Edition Моющий пылесос Karcher 1.081-138 код : 000153</v>
      </c>
      <c r="C76" s="26">
        <f>Накл!J83</f>
        <v>2</v>
      </c>
      <c r="D76" s="33" t="str">
        <f t="array" ref="D76">CONCATENATE(IFERROR(INDEX(Накл!$C$9:$C$550,SMALL(IF(Накл!$B$9:$B$550=A76,ROW(Накл!$B$9:$B$550)-ROW(Накл!$B$9)+1),ROW(D76)-ROW(A76)+1)),"")," ",IFERROR(INDEX(Накл!$C$9:$C$550,SMALL(IF(Накл!$B$9:$B$550=A76,ROW(Накл!$B$9:$B$550)-ROW(Накл!$B$9)+1),ROW(D77)-ROW(A76)+1)),"")," ",IFERROR(INDEX(Накл!$C$9:$C$550,SMALL(IF(Накл!$B$9:$B$550=A76,ROW(Накл!$B$9:$B$550)-ROW(Накл!$B$9)+1),ROW(D78)-ROW(A76)+1)),"")," ",IFERROR(INDEX(Накл!$C$9:$C$550,SMALL(IF(Накл!$B$9:$B$550=A76,ROW(Накл!$B$9:$B$550)-ROW(Накл!$B$9)+1),ROW(D79)-ROW(A76)+1)),"")," ",IFERROR(INDEX(Накл!$C$9:$C$550,SMALL(IF(Накл!$B$9:$B$550=A76,ROW(Накл!$B$9:$B$550)-ROW(Накл!$B$9)+1),ROW(D80)-ROW(A76)+1)),"")," ",IFERROR(INDEX(Накл!$C$9:$C$550,SMALL(IF(Накл!$B$9:$B$550=A76,ROW(Накл!$B$9:$B$550)-ROW(Накл!$B$9)+1),ROW(D81)-ROW(A76)+1)),"")," ",IFERROR(INDEX(Накл!$C$9:$C$550,SMALL(IF(Накл!$B$9:$B$550=A76,ROW(Накл!$B$9:$B$550)-ROW(Накл!$B$9)+1),ROW(D82)-ROW(A76)+1)),"")," ",IFERROR(INDEX(Накл!$C$9:$C$550,SMALL(IF(Накл!$B$9:$B$550=A76,ROW(Накл!$B$9:$B$550)-ROW(Накл!$B$9)+1),ROW(D83)-ROW(A76)+1)),"")," ",IFERROR(INDEX(Накл!$C$9:$C$550,SMALL(IF(Накл!$B$9:$B$550=A76,ROW(Накл!$B$9:$B$550)-ROW(Накл!$B$9)+1),ROW(D84)-ROW(A76)+1)),"")," ",IFERROR(INDEX(Накл!$C$9:$C$550,SMALL(IF(Накл!$B$9:$B$550=A76,ROW(Накл!$B$9:$B$550)-ROW(Накл!$B$9)+1),ROW(D85)-ROW(A76)+1)),""))</f>
        <v xml:space="preserve">119         </v>
      </c>
      <c r="E76" s="26" t="str">
        <f t="array" ref="E76">IF(LEN(D76)&lt;10,CONCATENATE(IFERROR(INDEX(Накл!$C$9:$C$550,SMALL(IF(Накл!$A$9:$A$550=VALUE(LEFT(A76,8)),ROW(Накл!$A$9:$A$550)-ROW(Накл!$A$9)+1),ROW(E76)-ROW(B76)+1)),"")," ",IFERROR(INDEX(Накл!$C$9:$C$550,SMALL(IF(Накл!$A$9:$A$550=VALUE(LEFT(A76,8)),ROW(Накл!$A$9:$A$550)-ROW(Накл!$A$9)+1),ROW(E77)-ROW(B76)+1)),"")," ",IFERROR(INDEX(Накл!$C$9:$C$550,SMALL(IF(Накл!$A$9:$A$550=VALUE(LEFT(A76,8)),ROW(Накл!$A$9:$A$550)-ROW(Накл!$A$9)+1),ROW(E78)-ROW(B76)+1)),"")," ",IFERROR(INDEX(Накл!$C$9:$C$550,SMALL(IF(Накл!$A$9:$A$550=VALUE(LEFT(A76,8)),ROW(Накл!$A$9:$A$550)-ROW(Накл!$A$9)+1),ROW(E79)-ROW(B76)+1)),"")),"")</f>
        <v/>
      </c>
    </row>
    <row r="77" spans="1:5">
      <c r="A77" s="26" t="str">
        <f>IFERROR(CONCATENATE(VALUE(SUBSTITUTE(SUBSTITUTE(LEFT(Накл!G84,11),".",""),"-",""))," ",Накл!J84),"-")</f>
        <v>13789820 3</v>
      </c>
      <c r="B77" s="26" t="str">
        <f>IFERROR(VLOOKUP(VALUE(LEFT(A77,8)),Накл!$A$9:$D$550,4,0),"-")</f>
        <v>NT 22/1 Ap Te L*EU Промышленный пылесос + мешки Karcher 1.378-982 код : 000512</v>
      </c>
      <c r="C77" s="26">
        <f>Накл!J84</f>
        <v>3</v>
      </c>
      <c r="D77" s="33" t="str">
        <f t="array" ref="D77">CONCATENATE(IFERROR(INDEX(Накл!$C$9:$C$550,SMALL(IF(Накл!$B$9:$B$550=A77,ROW(Накл!$B$9:$B$550)-ROW(Накл!$B$9)+1),ROW(D77)-ROW(A77)+1)),"")," ",IFERROR(INDEX(Накл!$C$9:$C$550,SMALL(IF(Накл!$B$9:$B$550=A77,ROW(Накл!$B$9:$B$550)-ROW(Накл!$B$9)+1),ROW(D78)-ROW(A77)+1)),"")," ",IFERROR(INDEX(Накл!$C$9:$C$550,SMALL(IF(Накл!$B$9:$B$550=A77,ROW(Накл!$B$9:$B$550)-ROW(Накл!$B$9)+1),ROW(D79)-ROW(A77)+1)),"")," ",IFERROR(INDEX(Накл!$C$9:$C$550,SMALL(IF(Накл!$B$9:$B$550=A77,ROW(Накл!$B$9:$B$550)-ROW(Накл!$B$9)+1),ROW(D80)-ROW(A77)+1)),"")," ",IFERROR(INDEX(Накл!$C$9:$C$550,SMALL(IF(Накл!$B$9:$B$550=A77,ROW(Накл!$B$9:$B$550)-ROW(Накл!$B$9)+1),ROW(D81)-ROW(A77)+1)),"")," ",IFERROR(INDEX(Накл!$C$9:$C$550,SMALL(IF(Накл!$B$9:$B$550=A77,ROW(Накл!$B$9:$B$550)-ROW(Накл!$B$9)+1),ROW(D82)-ROW(A77)+1)),"")," ",IFERROR(INDEX(Накл!$C$9:$C$550,SMALL(IF(Накл!$B$9:$B$550=A77,ROW(Накл!$B$9:$B$550)-ROW(Накл!$B$9)+1),ROW(D83)-ROW(A77)+1)),"")," ",IFERROR(INDEX(Накл!$C$9:$C$550,SMALL(IF(Накл!$B$9:$B$550=A77,ROW(Накл!$B$9:$B$550)-ROW(Накл!$B$9)+1),ROW(D84)-ROW(A77)+1)),"")," ",IFERROR(INDEX(Накл!$C$9:$C$550,SMALL(IF(Накл!$B$9:$B$550=A77,ROW(Накл!$B$9:$B$550)-ROW(Накл!$B$9)+1),ROW(D85)-ROW(A77)+1)),"")," ",IFERROR(INDEX(Накл!$C$9:$C$550,SMALL(IF(Накл!$B$9:$B$550=A77,ROW(Накл!$B$9:$B$550)-ROW(Накл!$B$9)+1),ROW(D86)-ROW(A77)+1)),""))</f>
        <v xml:space="preserve">124         </v>
      </c>
      <c r="E77" s="26" t="str">
        <f t="array" ref="E77">IF(LEN(D77)&lt;10,CONCATENATE(IFERROR(INDEX(Накл!$C$9:$C$550,SMALL(IF(Накл!$A$9:$A$550=VALUE(LEFT(A77,8)),ROW(Накл!$A$9:$A$550)-ROW(Накл!$A$9)+1),ROW(E77)-ROW(B77)+1)),"")," ",IFERROR(INDEX(Накл!$C$9:$C$550,SMALL(IF(Накл!$A$9:$A$550=VALUE(LEFT(A77,8)),ROW(Накл!$A$9:$A$550)-ROW(Накл!$A$9)+1),ROW(E78)-ROW(B77)+1)),"")," ",IFERROR(INDEX(Накл!$C$9:$C$550,SMALL(IF(Накл!$A$9:$A$550=VALUE(LEFT(A77,8)),ROW(Накл!$A$9:$A$550)-ROW(Накл!$A$9)+1),ROW(E79)-ROW(B77)+1)),"")," ",IFERROR(INDEX(Накл!$C$9:$C$550,SMALL(IF(Накл!$A$9:$A$550=VALUE(LEFT(A77,8)),ROW(Накл!$A$9:$A$550)-ROW(Накл!$A$9)+1),ROW(E80)-ROW(B77)+1)),"")),"")</f>
        <v/>
      </c>
    </row>
    <row r="78" spans="1:5">
      <c r="A78" s="26" t="str">
        <f>IFERROR(CONCATENATE(VALUE(SUBSTITUTE(SUBSTITUTE(LEFT(Накл!G85,11),".",""),"-",""))," ",Накл!J85),"-")</f>
        <v>11981350 3</v>
      </c>
      <c r="B78" s="26" t="str">
        <f>IFERROR(VLOOKUP(VALUE(LEFT(A78,8)),Накл!$A$9:$D$550,4,0),"-")</f>
        <v>VC 3 Premium (white) *EU-I Пылесос Karcher 1.198-135 код : 000107</v>
      </c>
      <c r="C78" s="26">
        <f>Накл!J85</f>
        <v>3</v>
      </c>
      <c r="D78" s="33" t="str">
        <f t="array" ref="D78">CONCATENATE(IFERROR(INDEX(Накл!$C$9:$C$550,SMALL(IF(Накл!$B$9:$B$550=A78,ROW(Накл!$B$9:$B$550)-ROW(Накл!$B$9)+1),ROW(D78)-ROW(A78)+1)),"")," ",IFERROR(INDEX(Накл!$C$9:$C$550,SMALL(IF(Накл!$B$9:$B$550=A78,ROW(Накл!$B$9:$B$550)-ROW(Накл!$B$9)+1),ROW(D79)-ROW(A78)+1)),"")," ",IFERROR(INDEX(Накл!$C$9:$C$550,SMALL(IF(Накл!$B$9:$B$550=A78,ROW(Накл!$B$9:$B$550)-ROW(Накл!$B$9)+1),ROW(D80)-ROW(A78)+1)),"")," ",IFERROR(INDEX(Накл!$C$9:$C$550,SMALL(IF(Накл!$B$9:$B$550=A78,ROW(Накл!$B$9:$B$550)-ROW(Накл!$B$9)+1),ROW(D81)-ROW(A78)+1)),"")," ",IFERROR(INDEX(Накл!$C$9:$C$550,SMALL(IF(Накл!$B$9:$B$550=A78,ROW(Накл!$B$9:$B$550)-ROW(Накл!$B$9)+1),ROW(D82)-ROW(A78)+1)),"")," ",IFERROR(INDEX(Накл!$C$9:$C$550,SMALL(IF(Накл!$B$9:$B$550=A78,ROW(Накл!$B$9:$B$550)-ROW(Накл!$B$9)+1),ROW(D83)-ROW(A78)+1)),"")," ",IFERROR(INDEX(Накл!$C$9:$C$550,SMALL(IF(Накл!$B$9:$B$550=A78,ROW(Накл!$B$9:$B$550)-ROW(Накл!$B$9)+1),ROW(D84)-ROW(A78)+1)),"")," ",IFERROR(INDEX(Накл!$C$9:$C$550,SMALL(IF(Накл!$B$9:$B$550=A78,ROW(Накл!$B$9:$B$550)-ROW(Накл!$B$9)+1),ROW(D85)-ROW(A78)+1)),"")," ",IFERROR(INDEX(Накл!$C$9:$C$550,SMALL(IF(Накл!$B$9:$B$550=A78,ROW(Накл!$B$9:$B$550)-ROW(Накл!$B$9)+1),ROW(D86)-ROW(A78)+1)),"")," ",IFERROR(INDEX(Накл!$C$9:$C$550,SMALL(IF(Накл!$B$9:$B$550=A78,ROW(Накл!$B$9:$B$550)-ROW(Накл!$B$9)+1),ROW(D87)-ROW(A78)+1)),""))</f>
        <v xml:space="preserve">122         </v>
      </c>
      <c r="E78" s="26" t="str">
        <f t="array" ref="E78">IF(LEN(D78)&lt;10,CONCATENATE(IFERROR(INDEX(Накл!$C$9:$C$550,SMALL(IF(Накл!$A$9:$A$550=VALUE(LEFT(A78,8)),ROW(Накл!$A$9:$A$550)-ROW(Накл!$A$9)+1),ROW(E78)-ROW(B78)+1)),"")," ",IFERROR(INDEX(Накл!$C$9:$C$550,SMALL(IF(Накл!$A$9:$A$550=VALUE(LEFT(A78,8)),ROW(Накл!$A$9:$A$550)-ROW(Накл!$A$9)+1),ROW(E79)-ROW(B78)+1)),"")," ",IFERROR(INDEX(Накл!$C$9:$C$550,SMALL(IF(Накл!$A$9:$A$550=VALUE(LEFT(A78,8)),ROW(Накл!$A$9:$A$550)-ROW(Накл!$A$9)+1),ROW(E80)-ROW(B78)+1)),"")," ",IFERROR(INDEX(Накл!$C$9:$C$550,SMALL(IF(Накл!$A$9:$A$550=VALUE(LEFT(A78,8)),ROW(Накл!$A$9:$A$550)-ROW(Накл!$A$9)+1),ROW(E81)-ROW(B78)+1)),"")),"")</f>
        <v/>
      </c>
    </row>
    <row r="79" spans="1:5">
      <c r="A79" s="26" t="str">
        <f>IFERROR(CONCATENATE(VALUE(SUBSTITUTE(SUBSTITUTE(LEFT(Накл!G86,11),".",""),"-",""))," ",Накл!J86),"-")</f>
        <v>15131270 3</v>
      </c>
      <c r="B79" s="26" t="str">
        <f>IFERROR(VLOOKUP(VALUE(LEFT(A79,8)),Накл!$A$9:$D$550,4,0),"-")</f>
        <v>SC 3 EasyFix LE *EU Пароочиститель Karcher 1.513-127 код : 000238</v>
      </c>
      <c r="C79" s="26">
        <f>Накл!J86</f>
        <v>3</v>
      </c>
      <c r="D79" s="33" t="str">
        <f t="array" ref="D79">CONCATENATE(IFERROR(INDEX(Накл!$C$9:$C$550,SMALL(IF(Накл!$B$9:$B$550=A79,ROW(Накл!$B$9:$B$550)-ROW(Накл!$B$9)+1),ROW(D79)-ROW(A79)+1)),"")," ",IFERROR(INDEX(Накл!$C$9:$C$550,SMALL(IF(Накл!$B$9:$B$550=A79,ROW(Накл!$B$9:$B$550)-ROW(Накл!$B$9)+1),ROW(D80)-ROW(A79)+1)),"")," ",IFERROR(INDEX(Накл!$C$9:$C$550,SMALL(IF(Накл!$B$9:$B$550=A79,ROW(Накл!$B$9:$B$550)-ROW(Накл!$B$9)+1),ROW(D81)-ROW(A79)+1)),"")," ",IFERROR(INDEX(Накл!$C$9:$C$550,SMALL(IF(Накл!$B$9:$B$550=A79,ROW(Накл!$B$9:$B$550)-ROW(Накл!$B$9)+1),ROW(D82)-ROW(A79)+1)),"")," ",IFERROR(INDEX(Накл!$C$9:$C$550,SMALL(IF(Накл!$B$9:$B$550=A79,ROW(Накл!$B$9:$B$550)-ROW(Накл!$B$9)+1),ROW(D83)-ROW(A79)+1)),"")," ",IFERROR(INDEX(Накл!$C$9:$C$550,SMALL(IF(Накл!$B$9:$B$550=A79,ROW(Накл!$B$9:$B$550)-ROW(Накл!$B$9)+1),ROW(D84)-ROW(A79)+1)),"")," ",IFERROR(INDEX(Накл!$C$9:$C$550,SMALL(IF(Накл!$B$9:$B$550=A79,ROW(Накл!$B$9:$B$550)-ROW(Накл!$B$9)+1),ROW(D85)-ROW(A79)+1)),"")," ",IFERROR(INDEX(Накл!$C$9:$C$550,SMALL(IF(Накл!$B$9:$B$550=A79,ROW(Накл!$B$9:$B$550)-ROW(Накл!$B$9)+1),ROW(D86)-ROW(A79)+1)),"")," ",IFERROR(INDEX(Накл!$C$9:$C$550,SMALL(IF(Накл!$B$9:$B$550=A79,ROW(Накл!$B$9:$B$550)-ROW(Накл!$B$9)+1),ROW(D87)-ROW(A79)+1)),"")," ",IFERROR(INDEX(Накл!$C$9:$C$550,SMALL(IF(Накл!$B$9:$B$550=A79,ROW(Накл!$B$9:$B$550)-ROW(Накл!$B$9)+1),ROW(D88)-ROW(A79)+1)),""))</f>
        <v xml:space="preserve">131         </v>
      </c>
      <c r="E79" s="26" t="str">
        <f t="array" ref="E79">IF(LEN(D79)&lt;10,CONCATENATE(IFERROR(INDEX(Накл!$C$9:$C$550,SMALL(IF(Накл!$A$9:$A$550=VALUE(LEFT(A79,8)),ROW(Накл!$A$9:$A$550)-ROW(Накл!$A$9)+1),ROW(E79)-ROW(B79)+1)),"")," ",IFERROR(INDEX(Накл!$C$9:$C$550,SMALL(IF(Накл!$A$9:$A$550=VALUE(LEFT(A79,8)),ROW(Накл!$A$9:$A$550)-ROW(Накл!$A$9)+1),ROW(E80)-ROW(B79)+1)),"")," ",IFERROR(INDEX(Накл!$C$9:$C$550,SMALL(IF(Накл!$A$9:$A$550=VALUE(LEFT(A79,8)),ROW(Накл!$A$9:$A$550)-ROW(Накл!$A$9)+1),ROW(E81)-ROW(B79)+1)),"")," ",IFERROR(INDEX(Накл!$C$9:$C$550,SMALL(IF(Накл!$A$9:$A$550=VALUE(LEFT(A79,8)),ROW(Накл!$A$9:$A$550)-ROW(Накл!$A$9)+1),ROW(E82)-ROW(B79)+1)),"")),"")</f>
        <v/>
      </c>
    </row>
    <row r="80" spans="1:5">
      <c r="A80" s="26" t="str">
        <f>IFERROR(CONCATENATE(VALUE(SUBSTITUTE(SUBSTITUTE(LEFT(Накл!G87,11),".",""),"-",""))," ",Накл!J87),"-")</f>
        <v>14443130 1</v>
      </c>
      <c r="B80" s="26" t="str">
        <f>IFERROR(VLOOKUP(VALUE(LEFT(A80,8)),Накл!$A$9:$D$550,4,0),"-")</f>
        <v>LTR 18-30 Battery Limited Edition Триммер Karcher 1.444-313 код : 000265</v>
      </c>
      <c r="C80" s="26">
        <f>Накл!J87</f>
        <v>1</v>
      </c>
      <c r="D80" s="33" t="str">
        <f t="array" ref="D80">CONCATENATE(IFERROR(INDEX(Накл!$C$9:$C$550,SMALL(IF(Накл!$B$9:$B$550=A80,ROW(Накл!$B$9:$B$550)-ROW(Накл!$B$9)+1),ROW(D80)-ROW(A80)+1)),"")," ",IFERROR(INDEX(Накл!$C$9:$C$550,SMALL(IF(Накл!$B$9:$B$550=A80,ROW(Накл!$B$9:$B$550)-ROW(Накл!$B$9)+1),ROW(D81)-ROW(A80)+1)),"")," ",IFERROR(INDEX(Накл!$C$9:$C$550,SMALL(IF(Накл!$B$9:$B$550=A80,ROW(Накл!$B$9:$B$550)-ROW(Накл!$B$9)+1),ROW(D82)-ROW(A80)+1)),"")," ",IFERROR(INDEX(Накл!$C$9:$C$550,SMALL(IF(Накл!$B$9:$B$550=A80,ROW(Накл!$B$9:$B$550)-ROW(Накл!$B$9)+1),ROW(D83)-ROW(A80)+1)),"")," ",IFERROR(INDEX(Накл!$C$9:$C$550,SMALL(IF(Накл!$B$9:$B$550=A80,ROW(Накл!$B$9:$B$550)-ROW(Накл!$B$9)+1),ROW(D84)-ROW(A80)+1)),"")," ",IFERROR(INDEX(Накл!$C$9:$C$550,SMALL(IF(Накл!$B$9:$B$550=A80,ROW(Накл!$B$9:$B$550)-ROW(Накл!$B$9)+1),ROW(D85)-ROW(A80)+1)),"")," ",IFERROR(INDEX(Накл!$C$9:$C$550,SMALL(IF(Накл!$B$9:$B$550=A80,ROW(Накл!$B$9:$B$550)-ROW(Накл!$B$9)+1),ROW(D86)-ROW(A80)+1)),"")," ",IFERROR(INDEX(Накл!$C$9:$C$550,SMALL(IF(Накл!$B$9:$B$550=A80,ROW(Накл!$B$9:$B$550)-ROW(Накл!$B$9)+1),ROW(D87)-ROW(A80)+1)),"")," ",IFERROR(INDEX(Накл!$C$9:$C$550,SMALL(IF(Накл!$B$9:$B$550=A80,ROW(Накл!$B$9:$B$550)-ROW(Накл!$B$9)+1),ROW(D88)-ROW(A80)+1)),"")," ",IFERROR(INDEX(Накл!$C$9:$C$550,SMALL(IF(Накл!$B$9:$B$550=A80,ROW(Накл!$B$9:$B$550)-ROW(Накл!$B$9)+1),ROW(D89)-ROW(A80)+1)),""))</f>
        <v xml:space="preserve">130         </v>
      </c>
      <c r="E80" s="26" t="str">
        <f t="array" ref="E80">IF(LEN(D80)&lt;10,CONCATENATE(IFERROR(INDEX(Накл!$C$9:$C$550,SMALL(IF(Накл!$A$9:$A$550=VALUE(LEFT(A80,8)),ROW(Накл!$A$9:$A$550)-ROW(Накл!$A$9)+1),ROW(E80)-ROW(B80)+1)),"")," ",IFERROR(INDEX(Накл!$C$9:$C$550,SMALL(IF(Накл!$A$9:$A$550=VALUE(LEFT(A80,8)),ROW(Накл!$A$9:$A$550)-ROW(Накл!$A$9)+1),ROW(E81)-ROW(B80)+1)),"")," ",IFERROR(INDEX(Накл!$C$9:$C$550,SMALL(IF(Накл!$A$9:$A$550=VALUE(LEFT(A80,8)),ROW(Накл!$A$9:$A$550)-ROW(Накл!$A$9)+1),ROW(E82)-ROW(B80)+1)),"")," ",IFERROR(INDEX(Накл!$C$9:$C$550,SMALL(IF(Накл!$A$9:$A$550=VALUE(LEFT(A80,8)),ROW(Накл!$A$9:$A$550)-ROW(Накл!$A$9)+1),ROW(E83)-ROW(B80)+1)),"")),"")</f>
        <v/>
      </c>
    </row>
    <row r="81" spans="1:5">
      <c r="A81" s="26" t="str">
        <f>IFERROR(CONCATENATE(VALUE(SUBSTITUTE(SUBSTITUTE(LEFT(Накл!G88,11),".",""),"-",""))," ",Накл!J88),"-")</f>
        <v>14443110 2</v>
      </c>
      <c r="B81" s="26" t="str">
        <f>IFERROR(VLOOKUP(VALUE(LEFT(A81,8)),Накл!$A$9:$D$550,4,0),"-")</f>
        <v>LTR 18-30 Battery* Set Триммер Karcher 1.444-311 код : 000262</v>
      </c>
      <c r="C81" s="26">
        <f>Накл!J88</f>
        <v>2</v>
      </c>
      <c r="D81" s="33" t="str">
        <f t="array" ref="D81">CONCATENATE(IFERROR(INDEX(Накл!$C$9:$C$550,SMALL(IF(Накл!$B$9:$B$550=A81,ROW(Накл!$B$9:$B$550)-ROW(Накл!$B$9)+1),ROW(D81)-ROW(A81)+1)),"")," ",IFERROR(INDEX(Накл!$C$9:$C$550,SMALL(IF(Накл!$B$9:$B$550=A81,ROW(Накл!$B$9:$B$550)-ROW(Накл!$B$9)+1),ROW(D82)-ROW(A81)+1)),"")," ",IFERROR(INDEX(Накл!$C$9:$C$550,SMALL(IF(Накл!$B$9:$B$550=A81,ROW(Накл!$B$9:$B$550)-ROW(Накл!$B$9)+1),ROW(D83)-ROW(A81)+1)),"")," ",IFERROR(INDEX(Накл!$C$9:$C$550,SMALL(IF(Накл!$B$9:$B$550=A81,ROW(Накл!$B$9:$B$550)-ROW(Накл!$B$9)+1),ROW(D84)-ROW(A81)+1)),"")," ",IFERROR(INDEX(Накл!$C$9:$C$550,SMALL(IF(Накл!$B$9:$B$550=A81,ROW(Накл!$B$9:$B$550)-ROW(Накл!$B$9)+1),ROW(D85)-ROW(A81)+1)),"")," ",IFERROR(INDEX(Накл!$C$9:$C$550,SMALL(IF(Накл!$B$9:$B$550=A81,ROW(Накл!$B$9:$B$550)-ROW(Накл!$B$9)+1),ROW(D86)-ROW(A81)+1)),"")," ",IFERROR(INDEX(Накл!$C$9:$C$550,SMALL(IF(Накл!$B$9:$B$550=A81,ROW(Накл!$B$9:$B$550)-ROW(Накл!$B$9)+1),ROW(D87)-ROW(A81)+1)),"")," ",IFERROR(INDEX(Накл!$C$9:$C$550,SMALL(IF(Накл!$B$9:$B$550=A81,ROW(Накл!$B$9:$B$550)-ROW(Накл!$B$9)+1),ROW(D88)-ROW(A81)+1)),"")," ",IFERROR(INDEX(Накл!$C$9:$C$550,SMALL(IF(Накл!$B$9:$B$550=A81,ROW(Накл!$B$9:$B$550)-ROW(Накл!$B$9)+1),ROW(D89)-ROW(A81)+1)),"")," ",IFERROR(INDEX(Накл!$C$9:$C$550,SMALL(IF(Накл!$B$9:$B$550=A81,ROW(Накл!$B$9:$B$550)-ROW(Накл!$B$9)+1),ROW(D90)-ROW(A81)+1)),""))</f>
        <v xml:space="preserve">129         </v>
      </c>
      <c r="E81" s="26" t="str">
        <f t="array" ref="E81">IF(LEN(D81)&lt;10,CONCATENATE(IFERROR(INDEX(Накл!$C$9:$C$550,SMALL(IF(Накл!$A$9:$A$550=VALUE(LEFT(A81,8)),ROW(Накл!$A$9:$A$550)-ROW(Накл!$A$9)+1),ROW(E81)-ROW(B81)+1)),"")," ",IFERROR(INDEX(Накл!$C$9:$C$550,SMALL(IF(Накл!$A$9:$A$550=VALUE(LEFT(A81,8)),ROW(Накл!$A$9:$A$550)-ROW(Накл!$A$9)+1),ROW(E82)-ROW(B81)+1)),"")," ",IFERROR(INDEX(Накл!$C$9:$C$550,SMALL(IF(Накл!$A$9:$A$550=VALUE(LEFT(A81,8)),ROW(Накл!$A$9:$A$550)-ROW(Накл!$A$9)+1),ROW(E83)-ROW(B81)+1)),"")," ",IFERROR(INDEX(Накл!$C$9:$C$550,SMALL(IF(Накл!$A$9:$A$550=VALUE(LEFT(A81,8)),ROW(Накл!$A$9:$A$550)-ROW(Накл!$A$9)+1),ROW(E84)-ROW(B81)+1)),"")),"")</f>
        <v/>
      </c>
    </row>
    <row r="82" spans="1:5">
      <c r="A82" s="26" t="str">
        <f>IFERROR(CONCATENATE(VALUE(SUBSTITUTE(SUBSTITUTE(LEFT(Накл!G89,11),".",""),"-",""))," ",Накл!J89),"-")</f>
        <v>11685080 3</v>
      </c>
      <c r="B82" s="26" t="str">
        <f>IFERROR(VLOOKUP(VALUE(LEFT(A82,8)),Накл!$A$9:$D$550,4,0),"-")</f>
        <v>К 6 Special *EU Аппарат высокого давления Karcher 1.168-508 код : 000066</v>
      </c>
      <c r="C82" s="26">
        <f>Накл!J89</f>
        <v>3</v>
      </c>
      <c r="D82" s="33" t="str">
        <f t="array" ref="D82">CONCATENATE(IFERROR(INDEX(Накл!$C$9:$C$550,SMALL(IF(Накл!$B$9:$B$550=A82,ROW(Накл!$B$9:$B$550)-ROW(Накл!$B$9)+1),ROW(D82)-ROW(A82)+1)),"")," ",IFERROR(INDEX(Накл!$C$9:$C$550,SMALL(IF(Накл!$B$9:$B$550=A82,ROW(Накл!$B$9:$B$550)-ROW(Накл!$B$9)+1),ROW(D83)-ROW(A82)+1)),"")," ",IFERROR(INDEX(Накл!$C$9:$C$550,SMALL(IF(Накл!$B$9:$B$550=A82,ROW(Накл!$B$9:$B$550)-ROW(Накл!$B$9)+1),ROW(D84)-ROW(A82)+1)),"")," ",IFERROR(INDEX(Накл!$C$9:$C$550,SMALL(IF(Накл!$B$9:$B$550=A82,ROW(Накл!$B$9:$B$550)-ROW(Накл!$B$9)+1),ROW(D85)-ROW(A82)+1)),"")," ",IFERROR(INDEX(Накл!$C$9:$C$550,SMALL(IF(Накл!$B$9:$B$550=A82,ROW(Накл!$B$9:$B$550)-ROW(Накл!$B$9)+1),ROW(D86)-ROW(A82)+1)),"")," ",IFERROR(INDEX(Накл!$C$9:$C$550,SMALL(IF(Накл!$B$9:$B$550=A82,ROW(Накл!$B$9:$B$550)-ROW(Накл!$B$9)+1),ROW(D87)-ROW(A82)+1)),"")," ",IFERROR(INDEX(Накл!$C$9:$C$550,SMALL(IF(Накл!$B$9:$B$550=A82,ROW(Накл!$B$9:$B$550)-ROW(Накл!$B$9)+1),ROW(D88)-ROW(A82)+1)),"")," ",IFERROR(INDEX(Накл!$C$9:$C$550,SMALL(IF(Накл!$B$9:$B$550=A82,ROW(Накл!$B$9:$B$550)-ROW(Накл!$B$9)+1),ROW(D89)-ROW(A82)+1)),"")," ",IFERROR(INDEX(Накл!$C$9:$C$550,SMALL(IF(Накл!$B$9:$B$550=A82,ROW(Накл!$B$9:$B$550)-ROW(Накл!$B$9)+1),ROW(D90)-ROW(A82)+1)),"")," ",IFERROR(INDEX(Накл!$C$9:$C$550,SMALL(IF(Накл!$B$9:$B$550=A82,ROW(Накл!$B$9:$B$550)-ROW(Накл!$B$9)+1),ROW(D91)-ROW(A82)+1)),""))</f>
        <v xml:space="preserve">121         </v>
      </c>
      <c r="E82" s="26" t="str">
        <f t="array" ref="E82">IF(LEN(D82)&lt;10,CONCATENATE(IFERROR(INDEX(Накл!$C$9:$C$550,SMALL(IF(Накл!$A$9:$A$550=VALUE(LEFT(A82,8)),ROW(Накл!$A$9:$A$550)-ROW(Накл!$A$9)+1),ROW(E82)-ROW(B82)+1)),"")," ",IFERROR(INDEX(Накл!$C$9:$C$550,SMALL(IF(Накл!$A$9:$A$550=VALUE(LEFT(A82,8)),ROW(Накл!$A$9:$A$550)-ROW(Накл!$A$9)+1),ROW(E83)-ROW(B82)+1)),"")," ",IFERROR(INDEX(Накл!$C$9:$C$550,SMALL(IF(Накл!$A$9:$A$550=VALUE(LEFT(A82,8)),ROW(Накл!$A$9:$A$550)-ROW(Накл!$A$9)+1),ROW(E84)-ROW(B82)+1)),"")," ",IFERROR(INDEX(Накл!$C$9:$C$550,SMALL(IF(Накл!$A$9:$A$550=VALUE(LEFT(A82,8)),ROW(Накл!$A$9:$A$550)-ROW(Накл!$A$9)+1),ROW(E85)-ROW(B82)+1)),"")),"")</f>
        <v/>
      </c>
    </row>
    <row r="83" spans="1:5">
      <c r="A83" s="26" t="str">
        <f>IFERROR(CONCATENATE(VALUE(SUBSTITUTE(SUBSTITUTE(LEFT(Накл!G90,11),".",""),"-",""))," ",Накл!J90),"-")</f>
        <v>10554600 1</v>
      </c>
      <c r="B83" s="26" t="str">
        <f>IFERROR(VLOOKUP(VALUE(LEFT(A83,8)),Накл!$A$9:$D$550,4,0),"-")</f>
        <v>FC 5 *Premium (white) Аппарат для влажной уборки Karcher 1.055-460 код : 000174</v>
      </c>
      <c r="C83" s="26">
        <f>Накл!J90</f>
        <v>1</v>
      </c>
      <c r="D83" s="33" t="str">
        <f t="array" ref="D83">CONCATENATE(IFERROR(INDEX(Накл!$C$9:$C$550,SMALL(IF(Накл!$B$9:$B$550=A83,ROW(Накл!$B$9:$B$550)-ROW(Накл!$B$9)+1),ROW(D83)-ROW(A83)+1)),"")," ",IFERROR(INDEX(Накл!$C$9:$C$550,SMALL(IF(Накл!$B$9:$B$550=A83,ROW(Накл!$B$9:$B$550)-ROW(Накл!$B$9)+1),ROW(D84)-ROW(A83)+1)),"")," ",IFERROR(INDEX(Накл!$C$9:$C$550,SMALL(IF(Накл!$B$9:$B$550=A83,ROW(Накл!$B$9:$B$550)-ROW(Накл!$B$9)+1),ROW(D85)-ROW(A83)+1)),"")," ",IFERROR(INDEX(Накл!$C$9:$C$550,SMALL(IF(Накл!$B$9:$B$550=A83,ROW(Накл!$B$9:$B$550)-ROW(Накл!$B$9)+1),ROW(D86)-ROW(A83)+1)),"")," ",IFERROR(INDEX(Накл!$C$9:$C$550,SMALL(IF(Накл!$B$9:$B$550=A83,ROW(Накл!$B$9:$B$550)-ROW(Накл!$B$9)+1),ROW(D87)-ROW(A83)+1)),"")," ",IFERROR(INDEX(Накл!$C$9:$C$550,SMALL(IF(Накл!$B$9:$B$550=A83,ROW(Накл!$B$9:$B$550)-ROW(Накл!$B$9)+1),ROW(D88)-ROW(A83)+1)),"")," ",IFERROR(INDEX(Накл!$C$9:$C$550,SMALL(IF(Накл!$B$9:$B$550=A83,ROW(Накл!$B$9:$B$550)-ROW(Накл!$B$9)+1),ROW(D89)-ROW(A83)+1)),"")," ",IFERROR(INDEX(Накл!$C$9:$C$550,SMALL(IF(Накл!$B$9:$B$550=A83,ROW(Накл!$B$9:$B$550)-ROW(Накл!$B$9)+1),ROW(D90)-ROW(A83)+1)),"")," ",IFERROR(INDEX(Накл!$C$9:$C$550,SMALL(IF(Накл!$B$9:$B$550=A83,ROW(Накл!$B$9:$B$550)-ROW(Накл!$B$9)+1),ROW(D91)-ROW(A83)+1)),"")," ",IFERROR(INDEX(Накл!$C$9:$C$550,SMALL(IF(Накл!$B$9:$B$550=A83,ROW(Накл!$B$9:$B$550)-ROW(Накл!$B$9)+1),ROW(D92)-ROW(A83)+1)),""))</f>
        <v xml:space="preserve">118         </v>
      </c>
      <c r="E83" s="26" t="str">
        <f t="array" ref="E83">IF(LEN(D83)&lt;10,CONCATENATE(IFERROR(INDEX(Накл!$C$9:$C$550,SMALL(IF(Накл!$A$9:$A$550=VALUE(LEFT(A83,8)),ROW(Накл!$A$9:$A$550)-ROW(Накл!$A$9)+1),ROW(E83)-ROW(B83)+1)),"")," ",IFERROR(INDEX(Накл!$C$9:$C$550,SMALL(IF(Накл!$A$9:$A$550=VALUE(LEFT(A83,8)),ROW(Накл!$A$9:$A$550)-ROW(Накл!$A$9)+1),ROW(E84)-ROW(B83)+1)),"")," ",IFERROR(INDEX(Накл!$C$9:$C$550,SMALL(IF(Накл!$A$9:$A$550=VALUE(LEFT(A83,8)),ROW(Накл!$A$9:$A$550)-ROW(Накл!$A$9)+1),ROW(E85)-ROW(B83)+1)),"")," ",IFERROR(INDEX(Накл!$C$9:$C$550,SMALL(IF(Накл!$A$9:$A$550=VALUE(LEFT(A83,8)),ROW(Накл!$A$9:$A$550)-ROW(Накл!$A$9)+1),ROW(E86)-ROW(B83)+1)),"")),"")</f>
        <v/>
      </c>
    </row>
    <row r="84" spans="1:5">
      <c r="A84" s="26" t="str">
        <f>IFERROR(CONCATENATE(VALUE(SUBSTITUTE(SUBSTITUTE(LEFT(Накл!G91,11),".",""),"-",""))," ",Накл!J91),"-")</f>
        <v>16284460 6</v>
      </c>
      <c r="B84" s="26" t="str">
        <f>IFERROR(VLOOKUP(VALUE(LEFT(A84,8)),Накл!$A$9:$D$550,4,0),"-")</f>
        <v>KWD 3 S V-15/4/20 (BSY) LE  *EU-I хозяйственный пылесос Karcher 1.628-446 код : 000130</v>
      </c>
      <c r="C84" s="26">
        <f>Накл!J91</f>
        <v>6</v>
      </c>
      <c r="D84" s="33" t="str">
        <f t="array" ref="D84">CONCATENATE(IFERROR(INDEX(Накл!$C$9:$C$550,SMALL(IF(Накл!$B$9:$B$550=A84,ROW(Накл!$B$9:$B$550)-ROW(Накл!$B$9)+1),ROW(D84)-ROW(A84)+1)),"")," ",IFERROR(INDEX(Накл!$C$9:$C$550,SMALL(IF(Накл!$B$9:$B$550=A84,ROW(Накл!$B$9:$B$550)-ROW(Накл!$B$9)+1),ROW(D85)-ROW(A84)+1)),"")," ",IFERROR(INDEX(Накл!$C$9:$C$550,SMALL(IF(Накл!$B$9:$B$550=A84,ROW(Накл!$B$9:$B$550)-ROW(Накл!$B$9)+1),ROW(D86)-ROW(A84)+1)),"")," ",IFERROR(INDEX(Накл!$C$9:$C$550,SMALL(IF(Накл!$B$9:$B$550=A84,ROW(Накл!$B$9:$B$550)-ROW(Накл!$B$9)+1),ROW(D87)-ROW(A84)+1)),"")," ",IFERROR(INDEX(Накл!$C$9:$C$550,SMALL(IF(Накл!$B$9:$B$550=A84,ROW(Накл!$B$9:$B$550)-ROW(Накл!$B$9)+1),ROW(D88)-ROW(A84)+1)),"")," ",IFERROR(INDEX(Накл!$C$9:$C$550,SMALL(IF(Накл!$B$9:$B$550=A84,ROW(Накл!$B$9:$B$550)-ROW(Накл!$B$9)+1),ROW(D89)-ROW(A84)+1)),"")," ",IFERROR(INDEX(Накл!$C$9:$C$550,SMALL(IF(Накл!$B$9:$B$550=A84,ROW(Накл!$B$9:$B$550)-ROW(Накл!$B$9)+1),ROW(D90)-ROW(A84)+1)),"")," ",IFERROR(INDEX(Накл!$C$9:$C$550,SMALL(IF(Накл!$B$9:$B$550=A84,ROW(Накл!$B$9:$B$550)-ROW(Накл!$B$9)+1),ROW(D91)-ROW(A84)+1)),"")," ",IFERROR(INDEX(Накл!$C$9:$C$550,SMALL(IF(Накл!$B$9:$B$550=A84,ROW(Накл!$B$9:$B$550)-ROW(Накл!$B$9)+1),ROW(D92)-ROW(A84)+1)),"")," ",IFERROR(INDEX(Накл!$C$9:$C$550,SMALL(IF(Накл!$B$9:$B$550=A84,ROW(Накл!$B$9:$B$550)-ROW(Накл!$B$9)+1),ROW(D93)-ROW(A84)+1)),""))</f>
        <v xml:space="preserve">134         </v>
      </c>
      <c r="E84" s="26" t="str">
        <f t="array" ref="E84">IF(LEN(D84)&lt;10,CONCATENATE(IFERROR(INDEX(Накл!$C$9:$C$550,SMALL(IF(Накл!$A$9:$A$550=VALUE(LEFT(A84,8)),ROW(Накл!$A$9:$A$550)-ROW(Накл!$A$9)+1),ROW(E84)-ROW(B84)+1)),"")," ",IFERROR(INDEX(Накл!$C$9:$C$550,SMALL(IF(Накл!$A$9:$A$550=VALUE(LEFT(A84,8)),ROW(Накл!$A$9:$A$550)-ROW(Накл!$A$9)+1),ROW(E85)-ROW(B84)+1)),"")," ",IFERROR(INDEX(Накл!$C$9:$C$550,SMALL(IF(Накл!$A$9:$A$550=VALUE(LEFT(A84,8)),ROW(Накл!$A$9:$A$550)-ROW(Накл!$A$9)+1),ROW(E86)-ROW(B84)+1)),"")," ",IFERROR(INDEX(Накл!$C$9:$C$550,SMALL(IF(Накл!$A$9:$A$550=VALUE(LEFT(A84,8)),ROW(Накл!$A$9:$A$550)-ROW(Накл!$A$9)+1),ROW(E87)-ROW(B84)+1)),"")),"")</f>
        <v/>
      </c>
    </row>
    <row r="85" spans="1:5">
      <c r="A85" s="26" t="str">
        <f>IFERROR(CONCATENATE(VALUE(SUBSTITUTE(SUBSTITUTE(LEFT(Накл!G92,11),".",""),"-",""))," ",Накл!J92),"-")</f>
        <v>13171700 1</v>
      </c>
      <c r="B85" s="26" t="str">
        <f>IFERROR(VLOOKUP(VALUE(LEFT(A85,8)),Накл!$A$9:$D$550,4,0),"-")</f>
        <v>К 7 Premium Power Аппарат высокого давления Karcher 1.317-170 код : 000077</v>
      </c>
      <c r="C85" s="26">
        <f>Накл!J92</f>
        <v>1</v>
      </c>
      <c r="D85" s="33" t="str">
        <f t="array" ref="D85">CONCATENATE(IFERROR(INDEX(Накл!$C$9:$C$550,SMALL(IF(Накл!$B$9:$B$550=A85,ROW(Накл!$B$9:$B$550)-ROW(Накл!$B$9)+1),ROW(D85)-ROW(A85)+1)),"")," ",IFERROR(INDEX(Накл!$C$9:$C$550,SMALL(IF(Накл!$B$9:$B$550=A85,ROW(Накл!$B$9:$B$550)-ROW(Накл!$B$9)+1),ROW(D86)-ROW(A85)+1)),"")," ",IFERROR(INDEX(Накл!$C$9:$C$550,SMALL(IF(Накл!$B$9:$B$550=A85,ROW(Накл!$B$9:$B$550)-ROW(Накл!$B$9)+1),ROW(D87)-ROW(A85)+1)),"")," ",IFERROR(INDEX(Накл!$C$9:$C$550,SMALL(IF(Накл!$B$9:$B$550=A85,ROW(Накл!$B$9:$B$550)-ROW(Накл!$B$9)+1),ROW(D88)-ROW(A85)+1)),"")," ",IFERROR(INDEX(Накл!$C$9:$C$550,SMALL(IF(Накл!$B$9:$B$550=A85,ROW(Накл!$B$9:$B$550)-ROW(Накл!$B$9)+1),ROW(D89)-ROW(A85)+1)),"")," ",IFERROR(INDEX(Накл!$C$9:$C$550,SMALL(IF(Накл!$B$9:$B$550=A85,ROW(Накл!$B$9:$B$550)-ROW(Накл!$B$9)+1),ROW(D90)-ROW(A85)+1)),"")," ",IFERROR(INDEX(Накл!$C$9:$C$550,SMALL(IF(Накл!$B$9:$B$550=A85,ROW(Накл!$B$9:$B$550)-ROW(Накл!$B$9)+1),ROW(D91)-ROW(A85)+1)),"")," ",IFERROR(INDEX(Накл!$C$9:$C$550,SMALL(IF(Накл!$B$9:$B$550=A85,ROW(Накл!$B$9:$B$550)-ROW(Накл!$B$9)+1),ROW(D92)-ROW(A85)+1)),"")," ",IFERROR(INDEX(Накл!$C$9:$C$550,SMALL(IF(Накл!$B$9:$B$550=A85,ROW(Накл!$B$9:$B$550)-ROW(Накл!$B$9)+1),ROW(D93)-ROW(A85)+1)),"")," ",IFERROR(INDEX(Накл!$C$9:$C$550,SMALL(IF(Накл!$B$9:$B$550=A85,ROW(Накл!$B$9:$B$550)-ROW(Накл!$B$9)+1),ROW(D94)-ROW(A85)+1)),""))</f>
        <v xml:space="preserve">115         </v>
      </c>
      <c r="E85" s="26" t="str">
        <f t="array" ref="E85">IF(LEN(D85)&lt;10,CONCATENATE(IFERROR(INDEX(Накл!$C$9:$C$550,SMALL(IF(Накл!$A$9:$A$550=VALUE(LEFT(A85,8)),ROW(Накл!$A$9:$A$550)-ROW(Накл!$A$9)+1),ROW(E85)-ROW(B85)+1)),"")," ",IFERROR(INDEX(Накл!$C$9:$C$550,SMALL(IF(Накл!$A$9:$A$550=VALUE(LEFT(A85,8)),ROW(Накл!$A$9:$A$550)-ROW(Накл!$A$9)+1),ROW(E86)-ROW(B85)+1)),"")," ",IFERROR(INDEX(Накл!$C$9:$C$550,SMALL(IF(Накл!$A$9:$A$550=VALUE(LEFT(A85,8)),ROW(Накл!$A$9:$A$550)-ROW(Накл!$A$9)+1),ROW(E87)-ROW(B85)+1)),"")," ",IFERROR(INDEX(Накл!$C$9:$C$550,SMALL(IF(Накл!$A$9:$A$550=VALUE(LEFT(A85,8)),ROW(Накл!$A$9:$A$550)-ROW(Накл!$A$9)+1),ROW(E88)-ROW(B85)+1)),"")),"")</f>
        <v/>
      </c>
    </row>
    <row r="86" spans="1:5">
      <c r="A86" s="26" t="str">
        <f>IFERROR(CONCATENATE(VALUE(SUBSTITUTE(SUBSTITUTE(LEFT(Накл!G93,11),".",""),"-",""))," ",Накл!J93),"-")</f>
        <v>14441000 2</v>
      </c>
      <c r="B86" s="26" t="str">
        <f>IFERROR(VLOOKUP(VALUE(LEFT(A86,8)),Накл!$A$9:$D$550,4,0),"-")</f>
        <v>BLV 18-200 Battery*INT Воздуходувка Karcher 1.444-100 код : 000266</v>
      </c>
      <c r="C86" s="26">
        <f>Накл!J93</f>
        <v>2</v>
      </c>
      <c r="D86" s="33" t="str">
        <f t="array" ref="D86">CONCATENATE(IFERROR(INDEX(Накл!$C$9:$C$550,SMALL(IF(Накл!$B$9:$B$550=A86,ROW(Накл!$B$9:$B$550)-ROW(Накл!$B$9)+1),ROW(D86)-ROW(A86)+1)),"")," ",IFERROR(INDEX(Накл!$C$9:$C$550,SMALL(IF(Накл!$B$9:$B$550=A86,ROW(Накл!$B$9:$B$550)-ROW(Накл!$B$9)+1),ROW(D87)-ROW(A86)+1)),"")," ",IFERROR(INDEX(Накл!$C$9:$C$550,SMALL(IF(Накл!$B$9:$B$550=A86,ROW(Накл!$B$9:$B$550)-ROW(Накл!$B$9)+1),ROW(D88)-ROW(A86)+1)),"")," ",IFERROR(INDEX(Накл!$C$9:$C$550,SMALL(IF(Накл!$B$9:$B$550=A86,ROW(Накл!$B$9:$B$550)-ROW(Накл!$B$9)+1),ROW(D89)-ROW(A86)+1)),"")," ",IFERROR(INDEX(Накл!$C$9:$C$550,SMALL(IF(Накл!$B$9:$B$550=A86,ROW(Накл!$B$9:$B$550)-ROW(Накл!$B$9)+1),ROW(D90)-ROW(A86)+1)),"")," ",IFERROR(INDEX(Накл!$C$9:$C$550,SMALL(IF(Накл!$B$9:$B$550=A86,ROW(Накл!$B$9:$B$550)-ROW(Накл!$B$9)+1),ROW(D91)-ROW(A86)+1)),"")," ",IFERROR(INDEX(Накл!$C$9:$C$550,SMALL(IF(Накл!$B$9:$B$550=A86,ROW(Накл!$B$9:$B$550)-ROW(Накл!$B$9)+1),ROW(D92)-ROW(A86)+1)),"")," ",IFERROR(INDEX(Накл!$C$9:$C$550,SMALL(IF(Накл!$B$9:$B$550=A86,ROW(Накл!$B$9:$B$550)-ROW(Накл!$B$9)+1),ROW(D93)-ROW(A86)+1)),"")," ",IFERROR(INDEX(Накл!$C$9:$C$550,SMALL(IF(Накл!$B$9:$B$550=A86,ROW(Накл!$B$9:$B$550)-ROW(Накл!$B$9)+1),ROW(D94)-ROW(A86)+1)),"")," ",IFERROR(INDEX(Накл!$C$9:$C$550,SMALL(IF(Накл!$B$9:$B$550=A86,ROW(Накл!$B$9:$B$550)-ROW(Накл!$B$9)+1),ROW(D95)-ROW(A86)+1)),""))</f>
        <v xml:space="preserve">126         </v>
      </c>
      <c r="E86" s="26" t="str">
        <f t="array" ref="E86">IF(LEN(D86)&lt;10,CONCATENATE(IFERROR(INDEX(Накл!$C$9:$C$550,SMALL(IF(Накл!$A$9:$A$550=VALUE(LEFT(A86,8)),ROW(Накл!$A$9:$A$550)-ROW(Накл!$A$9)+1),ROW(E86)-ROW(B86)+1)),"")," ",IFERROR(INDEX(Накл!$C$9:$C$550,SMALL(IF(Накл!$A$9:$A$550=VALUE(LEFT(A86,8)),ROW(Накл!$A$9:$A$550)-ROW(Накл!$A$9)+1),ROW(E87)-ROW(B86)+1)),"")," ",IFERROR(INDEX(Накл!$C$9:$C$550,SMALL(IF(Накл!$A$9:$A$550=VALUE(LEFT(A86,8)),ROW(Накл!$A$9:$A$550)-ROW(Накл!$A$9)+1),ROW(E88)-ROW(B86)+1)),"")," ",IFERROR(INDEX(Накл!$C$9:$C$550,SMALL(IF(Накл!$A$9:$A$550=VALUE(LEFT(A86,8)),ROW(Накл!$A$9:$A$550)-ROW(Накл!$A$9)+1),ROW(E89)-ROW(B86)+1)),"")),"")</f>
        <v/>
      </c>
    </row>
    <row r="87" spans="1:5">
      <c r="A87" s="26" t="str">
        <f>IFERROR(CONCATENATE(VALUE(SUBSTITUTE(SUBSTITUTE(LEFT(Накл!G94,11),".",""),"-",""))," ",Накл!J94),"-")</f>
        <v>10812200 2</v>
      </c>
      <c r="B87" s="26" t="str">
        <f>IFERROR(VLOOKUP(VALUE(LEFT(A87,8)),Накл!$A$9:$D$550,4,0),"-")</f>
        <v>SE 6.100 Моющий пылесос Karcher 1.081-220 код : 000155</v>
      </c>
      <c r="C87" s="26">
        <f>Накл!J94</f>
        <v>2</v>
      </c>
      <c r="D87" s="33" t="str">
        <f t="array" ref="D87">CONCATENATE(IFERROR(INDEX(Накл!$C$9:$C$550,SMALL(IF(Накл!$B$9:$B$550=A87,ROW(Накл!$B$9:$B$550)-ROW(Накл!$B$9)+1),ROW(D87)-ROW(A87)+1)),"")," ",IFERROR(INDEX(Накл!$C$9:$C$550,SMALL(IF(Накл!$B$9:$B$550=A87,ROW(Накл!$B$9:$B$550)-ROW(Накл!$B$9)+1),ROW(D88)-ROW(A87)+1)),"")," ",IFERROR(INDEX(Накл!$C$9:$C$550,SMALL(IF(Накл!$B$9:$B$550=A87,ROW(Накл!$B$9:$B$550)-ROW(Накл!$B$9)+1),ROW(D89)-ROW(A87)+1)),"")," ",IFERROR(INDEX(Накл!$C$9:$C$550,SMALL(IF(Накл!$B$9:$B$550=A87,ROW(Накл!$B$9:$B$550)-ROW(Накл!$B$9)+1),ROW(D90)-ROW(A87)+1)),"")," ",IFERROR(INDEX(Накл!$C$9:$C$550,SMALL(IF(Накл!$B$9:$B$550=A87,ROW(Накл!$B$9:$B$550)-ROW(Накл!$B$9)+1),ROW(D91)-ROW(A87)+1)),"")," ",IFERROR(INDEX(Накл!$C$9:$C$550,SMALL(IF(Накл!$B$9:$B$550=A87,ROW(Накл!$B$9:$B$550)-ROW(Накл!$B$9)+1),ROW(D92)-ROW(A87)+1)),"")," ",IFERROR(INDEX(Накл!$C$9:$C$550,SMALL(IF(Накл!$B$9:$B$550=A87,ROW(Накл!$B$9:$B$550)-ROW(Накл!$B$9)+1),ROW(D93)-ROW(A87)+1)),"")," ",IFERROR(INDEX(Накл!$C$9:$C$550,SMALL(IF(Накл!$B$9:$B$550=A87,ROW(Накл!$B$9:$B$550)-ROW(Накл!$B$9)+1),ROW(D94)-ROW(A87)+1)),"")," ",IFERROR(INDEX(Накл!$C$9:$C$550,SMALL(IF(Накл!$B$9:$B$550=A87,ROW(Накл!$B$9:$B$550)-ROW(Накл!$B$9)+1),ROW(D95)-ROW(A87)+1)),"")," ",IFERROR(INDEX(Накл!$C$9:$C$550,SMALL(IF(Накл!$B$9:$B$550=A87,ROW(Накл!$B$9:$B$550)-ROW(Накл!$B$9)+1),ROW(D96)-ROW(A87)+1)),""))</f>
        <v xml:space="preserve">120         </v>
      </c>
      <c r="E87" s="26" t="str">
        <f t="array" ref="E87">IF(LEN(D87)&lt;10,CONCATENATE(IFERROR(INDEX(Накл!$C$9:$C$550,SMALL(IF(Накл!$A$9:$A$550=VALUE(LEFT(A87,8)),ROW(Накл!$A$9:$A$550)-ROW(Накл!$A$9)+1),ROW(E87)-ROW(B87)+1)),"")," ",IFERROR(INDEX(Накл!$C$9:$C$550,SMALL(IF(Накл!$A$9:$A$550=VALUE(LEFT(A87,8)),ROW(Накл!$A$9:$A$550)-ROW(Накл!$A$9)+1),ROW(E88)-ROW(B87)+1)),"")," ",IFERROR(INDEX(Накл!$C$9:$C$550,SMALL(IF(Накл!$A$9:$A$550=VALUE(LEFT(A87,8)),ROW(Накл!$A$9:$A$550)-ROW(Накл!$A$9)+1),ROW(E89)-ROW(B87)+1)),"")," ",IFERROR(INDEX(Накл!$C$9:$C$550,SMALL(IF(Накл!$A$9:$A$550=VALUE(LEFT(A87,8)),ROW(Накл!$A$9:$A$550)-ROW(Накл!$A$9)+1),ROW(E90)-ROW(B87)+1)),"")),"")</f>
        <v/>
      </c>
    </row>
    <row r="88" spans="1:5">
      <c r="A88" s="26" t="str">
        <f>IFERROR(CONCATENATE(VALUE(SUBSTITUTE(SUBSTITUTE(LEFT(Накл!G95,11),".",""),"-",""))," ",Накл!J95),"-")</f>
        <v>13673060 1</v>
      </c>
      <c r="B88" s="26" t="str">
        <f>IFERROR(VLOOKUP(VALUE(LEFT(A88,8)),Накл!$A$9:$D$550,4,0),"-")</f>
        <v>HD 6/15-4 Classic Профи мойка ВД без нагрева Karcher 1.367-306 код : 000316</v>
      </c>
      <c r="C88" s="26">
        <f>Накл!J95</f>
        <v>1</v>
      </c>
      <c r="D88" s="33" t="str">
        <f t="array" ref="D88">CONCATENATE(IFERROR(INDEX(Накл!$C$9:$C$550,SMALL(IF(Накл!$B$9:$B$550=A88,ROW(Накл!$B$9:$B$550)-ROW(Накл!$B$9)+1),ROW(D88)-ROW(A88)+1)),"")," ",IFERROR(INDEX(Накл!$C$9:$C$550,SMALL(IF(Накл!$B$9:$B$550=A88,ROW(Накл!$B$9:$B$550)-ROW(Накл!$B$9)+1),ROW(D89)-ROW(A88)+1)),"")," ",IFERROR(INDEX(Накл!$C$9:$C$550,SMALL(IF(Накл!$B$9:$B$550=A88,ROW(Накл!$B$9:$B$550)-ROW(Накл!$B$9)+1),ROW(D90)-ROW(A88)+1)),"")," ",IFERROR(INDEX(Накл!$C$9:$C$550,SMALL(IF(Накл!$B$9:$B$550=A88,ROW(Накл!$B$9:$B$550)-ROW(Накл!$B$9)+1),ROW(D91)-ROW(A88)+1)),"")," ",IFERROR(INDEX(Накл!$C$9:$C$550,SMALL(IF(Накл!$B$9:$B$550=A88,ROW(Накл!$B$9:$B$550)-ROW(Накл!$B$9)+1),ROW(D92)-ROW(A88)+1)),"")," ",IFERROR(INDEX(Накл!$C$9:$C$550,SMALL(IF(Накл!$B$9:$B$550=A88,ROW(Накл!$B$9:$B$550)-ROW(Накл!$B$9)+1),ROW(D93)-ROW(A88)+1)),"")," ",IFERROR(INDEX(Накл!$C$9:$C$550,SMALL(IF(Накл!$B$9:$B$550=A88,ROW(Накл!$B$9:$B$550)-ROW(Накл!$B$9)+1),ROW(D94)-ROW(A88)+1)),"")," ",IFERROR(INDEX(Накл!$C$9:$C$550,SMALL(IF(Накл!$B$9:$B$550=A88,ROW(Накл!$B$9:$B$550)-ROW(Накл!$B$9)+1),ROW(D95)-ROW(A88)+1)),"")," ",IFERROR(INDEX(Накл!$C$9:$C$550,SMALL(IF(Накл!$B$9:$B$550=A88,ROW(Накл!$B$9:$B$550)-ROW(Накл!$B$9)+1),ROW(D96)-ROW(A88)+1)),"")," ",IFERROR(INDEX(Накл!$C$9:$C$550,SMALL(IF(Накл!$B$9:$B$550=A88,ROW(Накл!$B$9:$B$550)-ROW(Накл!$B$9)+1),ROW(D97)-ROW(A88)+1)),""))</f>
        <v xml:space="preserve">123         </v>
      </c>
      <c r="E88" s="26" t="str">
        <f t="array" ref="E88">IF(LEN(D88)&lt;10,CONCATENATE(IFERROR(INDEX(Накл!$C$9:$C$550,SMALL(IF(Накл!$A$9:$A$550=VALUE(LEFT(A88,8)),ROW(Накл!$A$9:$A$550)-ROW(Накл!$A$9)+1),ROW(E88)-ROW(B88)+1)),"")," ",IFERROR(INDEX(Накл!$C$9:$C$550,SMALL(IF(Накл!$A$9:$A$550=VALUE(LEFT(A88,8)),ROW(Накл!$A$9:$A$550)-ROW(Накл!$A$9)+1),ROW(E89)-ROW(B88)+1)),"")," ",IFERROR(INDEX(Накл!$C$9:$C$550,SMALL(IF(Накл!$A$9:$A$550=VALUE(LEFT(A88,8)),ROW(Накл!$A$9:$A$550)-ROW(Накл!$A$9)+1),ROW(E90)-ROW(B88)+1)),"")," ",IFERROR(INDEX(Накл!$C$9:$C$550,SMALL(IF(Накл!$A$9:$A$550=VALUE(LEFT(A88,8)),ROW(Накл!$A$9:$A$550)-ROW(Накл!$A$9)+1),ROW(E91)-ROW(B88)+1)),"")),"")</f>
        <v/>
      </c>
    </row>
    <row r="89" spans="1:5">
      <c r="A89" s="26" t="str">
        <f>IFERROR(CONCATENATE(VALUE(SUBSTITUTE(SUBSTITUTE(LEFT(Накл!G96,11),".",""),"-",""))," ",Накл!J96),"-")</f>
        <v>14441700 1</v>
      </c>
      <c r="B89" s="26" t="str">
        <f>IFERROR(VLOOKUP(VALUE(LEFT(A89,8)),Накл!$A$9:$D$550,4,0),"-")</f>
        <v>BLV 36-240 Battery*INT Воздуходувка Karcher 1.444-170 код : 000252</v>
      </c>
      <c r="C89" s="26">
        <f>Накл!J96</f>
        <v>1</v>
      </c>
      <c r="D89" s="33" t="str">
        <f t="array" ref="D89">CONCATENATE(IFERROR(INDEX(Накл!$C$9:$C$550,SMALL(IF(Накл!$B$9:$B$550=A89,ROW(Накл!$B$9:$B$550)-ROW(Накл!$B$9)+1),ROW(D89)-ROW(A89)+1)),"")," ",IFERROR(INDEX(Накл!$C$9:$C$550,SMALL(IF(Накл!$B$9:$B$550=A89,ROW(Накл!$B$9:$B$550)-ROW(Накл!$B$9)+1),ROW(D90)-ROW(A89)+1)),"")," ",IFERROR(INDEX(Накл!$C$9:$C$550,SMALL(IF(Накл!$B$9:$B$550=A89,ROW(Накл!$B$9:$B$550)-ROW(Накл!$B$9)+1),ROW(D91)-ROW(A89)+1)),"")," ",IFERROR(INDEX(Накл!$C$9:$C$550,SMALL(IF(Накл!$B$9:$B$550=A89,ROW(Накл!$B$9:$B$550)-ROW(Накл!$B$9)+1),ROW(D92)-ROW(A89)+1)),"")," ",IFERROR(INDEX(Накл!$C$9:$C$550,SMALL(IF(Накл!$B$9:$B$550=A89,ROW(Накл!$B$9:$B$550)-ROW(Накл!$B$9)+1),ROW(D93)-ROW(A89)+1)),"")," ",IFERROR(INDEX(Накл!$C$9:$C$550,SMALL(IF(Накл!$B$9:$B$550=A89,ROW(Накл!$B$9:$B$550)-ROW(Накл!$B$9)+1),ROW(D94)-ROW(A89)+1)),"")," ",IFERROR(INDEX(Накл!$C$9:$C$550,SMALL(IF(Накл!$B$9:$B$550=A89,ROW(Накл!$B$9:$B$550)-ROW(Накл!$B$9)+1),ROW(D95)-ROW(A89)+1)),"")," ",IFERROR(INDEX(Накл!$C$9:$C$550,SMALL(IF(Накл!$B$9:$B$550=A89,ROW(Накл!$B$9:$B$550)-ROW(Накл!$B$9)+1),ROW(D96)-ROW(A89)+1)),"")," ",IFERROR(INDEX(Накл!$C$9:$C$550,SMALL(IF(Накл!$B$9:$B$550=A89,ROW(Накл!$B$9:$B$550)-ROW(Накл!$B$9)+1),ROW(D97)-ROW(A89)+1)),"")," ",IFERROR(INDEX(Накл!$C$9:$C$550,SMALL(IF(Накл!$B$9:$B$550=A89,ROW(Накл!$B$9:$B$550)-ROW(Накл!$B$9)+1),ROW(D98)-ROW(A89)+1)),""))</f>
        <v xml:space="preserve">127         </v>
      </c>
      <c r="E89" s="26" t="str">
        <f t="array" ref="E89">IF(LEN(D89)&lt;10,CONCATENATE(IFERROR(INDEX(Накл!$C$9:$C$550,SMALL(IF(Накл!$A$9:$A$550=VALUE(LEFT(A89,8)),ROW(Накл!$A$9:$A$550)-ROW(Накл!$A$9)+1),ROW(E89)-ROW(B89)+1)),"")," ",IFERROR(INDEX(Накл!$C$9:$C$550,SMALL(IF(Накл!$A$9:$A$550=VALUE(LEFT(A89,8)),ROW(Накл!$A$9:$A$550)-ROW(Накл!$A$9)+1),ROW(E90)-ROW(B89)+1)),"")," ",IFERROR(INDEX(Накл!$C$9:$C$550,SMALL(IF(Накл!$A$9:$A$550=VALUE(LEFT(A89,8)),ROW(Накл!$A$9:$A$550)-ROW(Накл!$A$9)+1),ROW(E91)-ROW(B89)+1)),"")," ",IFERROR(INDEX(Накл!$C$9:$C$550,SMALL(IF(Накл!$A$9:$A$550=VALUE(LEFT(A89,8)),ROW(Накл!$A$9:$A$550)-ROW(Накл!$A$9)+1),ROW(E92)-ROW(B89)+1)),"")),"")</f>
        <v/>
      </c>
    </row>
    <row r="90" spans="1:5">
      <c r="A90" s="26" t="str">
        <f>IFERROR(CONCATENATE(VALUE(SUBSTITUTE(SUBSTITUTE(LEFT(Накл!G97,11),".",""),"-",""))," ",Накл!J97),"-")</f>
        <v>-</v>
      </c>
      <c r="B90" s="26" t="str">
        <f>IFERROR(VLOOKUP(VALUE(LEFT(A90,8)),Накл!$A$9:$D$550,4,0),"-")</f>
        <v>-</v>
      </c>
      <c r="C90" s="26">
        <f>Накл!J97</f>
        <v>0</v>
      </c>
      <c r="D90" s="33" t="str">
        <f t="array" ref="D90">CONCATENATE(IFERROR(INDEX(Накл!$C$9:$C$550,SMALL(IF(Накл!$B$9:$B$550=A90,ROW(Накл!$B$9:$B$550)-ROW(Накл!$B$9)+1),ROW(D90)-ROW(A90)+1)),"")," ",IFERROR(INDEX(Накл!$C$9:$C$550,SMALL(IF(Накл!$B$9:$B$550=A90,ROW(Накл!$B$9:$B$550)-ROW(Накл!$B$9)+1),ROW(D91)-ROW(A90)+1)),"")," ",IFERROR(INDEX(Накл!$C$9:$C$550,SMALL(IF(Накл!$B$9:$B$550=A90,ROW(Накл!$B$9:$B$550)-ROW(Накл!$B$9)+1),ROW(D92)-ROW(A90)+1)),"")," ",IFERROR(INDEX(Накл!$C$9:$C$550,SMALL(IF(Накл!$B$9:$B$550=A90,ROW(Накл!$B$9:$B$550)-ROW(Накл!$B$9)+1),ROW(D93)-ROW(A90)+1)),"")," ",IFERROR(INDEX(Накл!$C$9:$C$550,SMALL(IF(Накл!$B$9:$B$550=A90,ROW(Накл!$B$9:$B$550)-ROW(Накл!$B$9)+1),ROW(D94)-ROW(A90)+1)),"")," ",IFERROR(INDEX(Накл!$C$9:$C$550,SMALL(IF(Накл!$B$9:$B$550=A90,ROW(Накл!$B$9:$B$550)-ROW(Накл!$B$9)+1),ROW(D95)-ROW(A90)+1)),"")," ",IFERROR(INDEX(Накл!$C$9:$C$550,SMALL(IF(Накл!$B$9:$B$550=A90,ROW(Накл!$B$9:$B$550)-ROW(Накл!$B$9)+1),ROW(D96)-ROW(A90)+1)),"")," ",IFERROR(INDEX(Накл!$C$9:$C$550,SMALL(IF(Накл!$B$9:$B$550=A90,ROW(Накл!$B$9:$B$550)-ROW(Накл!$B$9)+1),ROW(D97)-ROW(A90)+1)),"")," ",IFERROR(INDEX(Накл!$C$9:$C$550,SMALL(IF(Накл!$B$9:$B$550=A90,ROW(Накл!$B$9:$B$550)-ROW(Накл!$B$9)+1),ROW(D98)-ROW(A90)+1)),"")," ",IFERROR(INDEX(Накл!$C$9:$C$550,SMALL(IF(Накл!$B$9:$B$550=A90,ROW(Накл!$B$9:$B$550)-ROW(Накл!$B$9)+1),ROW(D99)-ROW(A90)+1)),""))</f>
        <v xml:space="preserve">         </v>
      </c>
      <c r="E90" s="26" t="str">
        <f t="array" ref="E90">IF(LEN(D90)&lt;10,CONCATENATE(IFERROR(INDEX(Накл!$C$9:$C$550,SMALL(IF(Накл!$A$9:$A$550=VALUE(LEFT(A90,8)),ROW(Накл!$A$9:$A$550)-ROW(Накл!$A$9)+1),ROW(E90)-ROW(B90)+1)),"")," ",IFERROR(INDEX(Накл!$C$9:$C$550,SMALL(IF(Накл!$A$9:$A$550=VALUE(LEFT(A90,8)),ROW(Накл!$A$9:$A$550)-ROW(Накл!$A$9)+1),ROW(E91)-ROW(B90)+1)),"")," ",IFERROR(INDEX(Накл!$C$9:$C$550,SMALL(IF(Накл!$A$9:$A$550=VALUE(LEFT(A90,8)),ROW(Накл!$A$9:$A$550)-ROW(Накл!$A$9)+1),ROW(E92)-ROW(B90)+1)),"")," ",IFERROR(INDEX(Накл!$C$9:$C$550,SMALL(IF(Накл!$A$9:$A$550=VALUE(LEFT(A90,8)),ROW(Накл!$A$9:$A$550)-ROW(Накл!$A$9)+1),ROW(E93)-ROW(B90)+1)),"")),"")</f>
        <v xml:space="preserve">   </v>
      </c>
    </row>
    <row r="91" spans="1:5">
      <c r="A91" s="26" t="str">
        <f>IFERROR(CONCATENATE(VALUE(SUBSTITUTE(SUBSTITUTE(LEFT(Накл!G98,11),".",""),"-",""))," ",Накл!J98),"-")</f>
        <v>-</v>
      </c>
      <c r="B91" s="26" t="str">
        <f>IFERROR(VLOOKUP(VALUE(LEFT(A91,8)),Накл!$A$9:$D$550,4,0),"-")</f>
        <v>-</v>
      </c>
      <c r="C91" s="26">
        <f>Накл!J98</f>
        <v>0</v>
      </c>
      <c r="D91" s="33" t="str">
        <f t="array" ref="D91">CONCATENATE(IFERROR(INDEX(Накл!$C$9:$C$550,SMALL(IF(Накл!$B$9:$B$550=A91,ROW(Накл!$B$9:$B$550)-ROW(Накл!$B$9)+1),ROW(D91)-ROW(A91)+1)),"")," ",IFERROR(INDEX(Накл!$C$9:$C$550,SMALL(IF(Накл!$B$9:$B$550=A91,ROW(Накл!$B$9:$B$550)-ROW(Накл!$B$9)+1),ROW(D92)-ROW(A91)+1)),"")," ",IFERROR(INDEX(Накл!$C$9:$C$550,SMALL(IF(Накл!$B$9:$B$550=A91,ROW(Накл!$B$9:$B$550)-ROW(Накл!$B$9)+1),ROW(D93)-ROW(A91)+1)),"")," ",IFERROR(INDEX(Накл!$C$9:$C$550,SMALL(IF(Накл!$B$9:$B$550=A91,ROW(Накл!$B$9:$B$550)-ROW(Накл!$B$9)+1),ROW(D94)-ROW(A91)+1)),"")," ",IFERROR(INDEX(Накл!$C$9:$C$550,SMALL(IF(Накл!$B$9:$B$550=A91,ROW(Накл!$B$9:$B$550)-ROW(Накл!$B$9)+1),ROW(D95)-ROW(A91)+1)),"")," ",IFERROR(INDEX(Накл!$C$9:$C$550,SMALL(IF(Накл!$B$9:$B$550=A91,ROW(Накл!$B$9:$B$550)-ROW(Накл!$B$9)+1),ROW(D96)-ROW(A91)+1)),"")," ",IFERROR(INDEX(Накл!$C$9:$C$550,SMALL(IF(Накл!$B$9:$B$550=A91,ROW(Накл!$B$9:$B$550)-ROW(Накл!$B$9)+1),ROW(D97)-ROW(A91)+1)),"")," ",IFERROR(INDEX(Накл!$C$9:$C$550,SMALL(IF(Накл!$B$9:$B$550=A91,ROW(Накл!$B$9:$B$550)-ROW(Накл!$B$9)+1),ROW(D98)-ROW(A91)+1)),"")," ",IFERROR(INDEX(Накл!$C$9:$C$550,SMALL(IF(Накл!$B$9:$B$550=A91,ROW(Накл!$B$9:$B$550)-ROW(Накл!$B$9)+1),ROW(D99)-ROW(A91)+1)),"")," ",IFERROR(INDEX(Накл!$C$9:$C$550,SMALL(IF(Накл!$B$9:$B$550=A91,ROW(Накл!$B$9:$B$550)-ROW(Накл!$B$9)+1),ROW(D100)-ROW(A91)+1)),""))</f>
        <v xml:space="preserve">         </v>
      </c>
      <c r="E91" s="26" t="str">
        <f t="array" ref="E91">IF(LEN(D91)&lt;10,CONCATENATE(IFERROR(INDEX(Накл!$C$9:$C$550,SMALL(IF(Накл!$A$9:$A$550=VALUE(LEFT(A91,8)),ROW(Накл!$A$9:$A$550)-ROW(Накл!$A$9)+1),ROW(E91)-ROW(B91)+1)),"")," ",IFERROR(INDEX(Накл!$C$9:$C$550,SMALL(IF(Накл!$A$9:$A$550=VALUE(LEFT(A91,8)),ROW(Накл!$A$9:$A$550)-ROW(Накл!$A$9)+1),ROW(E92)-ROW(B91)+1)),"")," ",IFERROR(INDEX(Накл!$C$9:$C$550,SMALL(IF(Накл!$A$9:$A$550=VALUE(LEFT(A91,8)),ROW(Накл!$A$9:$A$550)-ROW(Накл!$A$9)+1),ROW(E93)-ROW(B91)+1)),"")," ",IFERROR(INDEX(Накл!$C$9:$C$550,SMALL(IF(Накл!$A$9:$A$550=VALUE(LEFT(A91,8)),ROW(Накл!$A$9:$A$550)-ROW(Накл!$A$9)+1),ROW(E94)-ROW(B91)+1)),"")),"")</f>
        <v xml:space="preserve">   </v>
      </c>
    </row>
    <row r="92" spans="1:5">
      <c r="A92" s="26" t="str">
        <f>IFERROR(CONCATENATE(VALUE(SUBSTITUTE(SUBSTITUTE(LEFT(Накл!G99,11),".",""),"-",""))," ",Накл!J99),"-")</f>
        <v>-</v>
      </c>
      <c r="B92" s="26" t="str">
        <f>IFERROR(VLOOKUP(VALUE(LEFT(A92,8)),Накл!$A$9:$D$550,4,0),"-")</f>
        <v>-</v>
      </c>
      <c r="C92" s="26">
        <f>Накл!J99</f>
        <v>0</v>
      </c>
      <c r="D92" s="33" t="str">
        <f t="array" ref="D92">CONCATENATE(IFERROR(INDEX(Накл!$C$9:$C$550,SMALL(IF(Накл!$B$9:$B$550=A92,ROW(Накл!$B$9:$B$550)-ROW(Накл!$B$9)+1),ROW(D92)-ROW(A92)+1)),"")," ",IFERROR(INDEX(Накл!$C$9:$C$550,SMALL(IF(Накл!$B$9:$B$550=A92,ROW(Накл!$B$9:$B$550)-ROW(Накл!$B$9)+1),ROW(D93)-ROW(A92)+1)),"")," ",IFERROR(INDEX(Накл!$C$9:$C$550,SMALL(IF(Накл!$B$9:$B$550=A92,ROW(Накл!$B$9:$B$550)-ROW(Накл!$B$9)+1),ROW(D94)-ROW(A92)+1)),"")," ",IFERROR(INDEX(Накл!$C$9:$C$550,SMALL(IF(Накл!$B$9:$B$550=A92,ROW(Накл!$B$9:$B$550)-ROW(Накл!$B$9)+1),ROW(D95)-ROW(A92)+1)),"")," ",IFERROR(INDEX(Накл!$C$9:$C$550,SMALL(IF(Накл!$B$9:$B$550=A92,ROW(Накл!$B$9:$B$550)-ROW(Накл!$B$9)+1),ROW(D96)-ROW(A92)+1)),"")," ",IFERROR(INDEX(Накл!$C$9:$C$550,SMALL(IF(Накл!$B$9:$B$550=A92,ROW(Накл!$B$9:$B$550)-ROW(Накл!$B$9)+1),ROW(D97)-ROW(A92)+1)),"")," ",IFERROR(INDEX(Накл!$C$9:$C$550,SMALL(IF(Накл!$B$9:$B$550=A92,ROW(Накл!$B$9:$B$550)-ROW(Накл!$B$9)+1),ROW(D98)-ROW(A92)+1)),"")," ",IFERROR(INDEX(Накл!$C$9:$C$550,SMALL(IF(Накл!$B$9:$B$550=A92,ROW(Накл!$B$9:$B$550)-ROW(Накл!$B$9)+1),ROW(D99)-ROW(A92)+1)),"")," ",IFERROR(INDEX(Накл!$C$9:$C$550,SMALL(IF(Накл!$B$9:$B$550=A92,ROW(Накл!$B$9:$B$550)-ROW(Накл!$B$9)+1),ROW(D100)-ROW(A92)+1)),"")," ",IFERROR(INDEX(Накл!$C$9:$C$550,SMALL(IF(Накл!$B$9:$B$550=A92,ROW(Накл!$B$9:$B$550)-ROW(Накл!$B$9)+1),ROW(D101)-ROW(A92)+1)),""))</f>
        <v xml:space="preserve">         </v>
      </c>
      <c r="E92" s="26" t="str">
        <f t="array" ref="E92">IF(LEN(D92)&lt;10,CONCATENATE(IFERROR(INDEX(Накл!$C$9:$C$550,SMALL(IF(Накл!$A$9:$A$550=VALUE(LEFT(A92,8)),ROW(Накл!$A$9:$A$550)-ROW(Накл!$A$9)+1),ROW(E92)-ROW(B92)+1)),"")," ",IFERROR(INDEX(Накл!$C$9:$C$550,SMALL(IF(Накл!$A$9:$A$550=VALUE(LEFT(A92,8)),ROW(Накл!$A$9:$A$550)-ROW(Накл!$A$9)+1),ROW(E93)-ROW(B92)+1)),"")," ",IFERROR(INDEX(Накл!$C$9:$C$550,SMALL(IF(Накл!$A$9:$A$550=VALUE(LEFT(A92,8)),ROW(Накл!$A$9:$A$550)-ROW(Накл!$A$9)+1),ROW(E94)-ROW(B92)+1)),"")," ",IFERROR(INDEX(Накл!$C$9:$C$550,SMALL(IF(Накл!$A$9:$A$550=VALUE(LEFT(A92,8)),ROW(Накл!$A$9:$A$550)-ROW(Накл!$A$9)+1),ROW(E95)-ROW(B92)+1)),"")),"")</f>
        <v xml:space="preserve">   </v>
      </c>
    </row>
    <row r="93" spans="1:5">
      <c r="A93" s="26" t="str">
        <f>IFERROR(CONCATENATE(VALUE(SUBSTITUTE(SUBSTITUTE(LEFT(Накл!G100,11),".",""),"-",""))," ",Накл!J100),"-")</f>
        <v>-</v>
      </c>
      <c r="B93" s="26" t="str">
        <f>IFERROR(VLOOKUP(VALUE(LEFT(A93,8)),Накл!$A$9:$D$550,4,0),"-")</f>
        <v>-</v>
      </c>
      <c r="C93" s="26">
        <f>Накл!J100</f>
        <v>0</v>
      </c>
      <c r="D93" s="33" t="str">
        <f t="array" ref="D93">CONCATENATE(IFERROR(INDEX(Накл!$C$9:$C$550,SMALL(IF(Накл!$B$9:$B$550=A93,ROW(Накл!$B$9:$B$550)-ROW(Накл!$B$9)+1),ROW(D93)-ROW(A93)+1)),"")," ",IFERROR(INDEX(Накл!$C$9:$C$550,SMALL(IF(Накл!$B$9:$B$550=A93,ROW(Накл!$B$9:$B$550)-ROW(Накл!$B$9)+1),ROW(D94)-ROW(A93)+1)),"")," ",IFERROR(INDEX(Накл!$C$9:$C$550,SMALL(IF(Накл!$B$9:$B$550=A93,ROW(Накл!$B$9:$B$550)-ROW(Накл!$B$9)+1),ROW(D95)-ROW(A93)+1)),"")," ",IFERROR(INDEX(Накл!$C$9:$C$550,SMALL(IF(Накл!$B$9:$B$550=A93,ROW(Накл!$B$9:$B$550)-ROW(Накл!$B$9)+1),ROW(D96)-ROW(A93)+1)),"")," ",IFERROR(INDEX(Накл!$C$9:$C$550,SMALL(IF(Накл!$B$9:$B$550=A93,ROW(Накл!$B$9:$B$550)-ROW(Накл!$B$9)+1),ROW(D97)-ROW(A93)+1)),"")," ",IFERROR(INDEX(Накл!$C$9:$C$550,SMALL(IF(Накл!$B$9:$B$550=A93,ROW(Накл!$B$9:$B$550)-ROW(Накл!$B$9)+1),ROW(D98)-ROW(A93)+1)),"")," ",IFERROR(INDEX(Накл!$C$9:$C$550,SMALL(IF(Накл!$B$9:$B$550=A93,ROW(Накл!$B$9:$B$550)-ROW(Накл!$B$9)+1),ROW(D99)-ROW(A93)+1)),"")," ",IFERROR(INDEX(Накл!$C$9:$C$550,SMALL(IF(Накл!$B$9:$B$550=A93,ROW(Накл!$B$9:$B$550)-ROW(Накл!$B$9)+1),ROW(D100)-ROW(A93)+1)),"")," ",IFERROR(INDEX(Накл!$C$9:$C$550,SMALL(IF(Накл!$B$9:$B$550=A93,ROW(Накл!$B$9:$B$550)-ROW(Накл!$B$9)+1),ROW(D101)-ROW(A93)+1)),"")," ",IFERROR(INDEX(Накл!$C$9:$C$550,SMALL(IF(Накл!$B$9:$B$550=A93,ROW(Накл!$B$9:$B$550)-ROW(Накл!$B$9)+1),ROW(D102)-ROW(A93)+1)),""))</f>
        <v xml:space="preserve">         </v>
      </c>
      <c r="E93" s="26" t="str">
        <f t="array" ref="E93">IF(LEN(D93)&lt;10,CONCATENATE(IFERROR(INDEX(Накл!$C$9:$C$550,SMALL(IF(Накл!$A$9:$A$550=VALUE(LEFT(A93,8)),ROW(Накл!$A$9:$A$550)-ROW(Накл!$A$9)+1),ROW(E93)-ROW(B93)+1)),"")," ",IFERROR(INDEX(Накл!$C$9:$C$550,SMALL(IF(Накл!$A$9:$A$550=VALUE(LEFT(A93,8)),ROW(Накл!$A$9:$A$550)-ROW(Накл!$A$9)+1),ROW(E94)-ROW(B93)+1)),"")," ",IFERROR(INDEX(Накл!$C$9:$C$550,SMALL(IF(Накл!$A$9:$A$550=VALUE(LEFT(A93,8)),ROW(Накл!$A$9:$A$550)-ROW(Накл!$A$9)+1),ROW(E95)-ROW(B93)+1)),"")," ",IFERROR(INDEX(Накл!$C$9:$C$550,SMALL(IF(Накл!$A$9:$A$550=VALUE(LEFT(A93,8)),ROW(Накл!$A$9:$A$550)-ROW(Накл!$A$9)+1),ROW(E96)-ROW(B93)+1)),"")),"")</f>
        <v xml:space="preserve">   </v>
      </c>
    </row>
    <row r="94" spans="1:5">
      <c r="A94" s="26" t="str">
        <f>IFERROR(CONCATENATE(VALUE(SUBSTITUTE(SUBSTITUTE(LEFT(Накл!G101,11),".",""),"-",""))," ",Накл!J101),"-")</f>
        <v>-</v>
      </c>
      <c r="B94" s="26" t="str">
        <f>IFERROR(VLOOKUP(VALUE(LEFT(A94,8)),Накл!$A$9:$D$550,4,0),"-")</f>
        <v>-</v>
      </c>
      <c r="C94" s="26">
        <f>Накл!J101</f>
        <v>0</v>
      </c>
      <c r="D94" s="33" t="str">
        <f t="array" ref="D94">CONCATENATE(IFERROR(INDEX(Накл!$C$9:$C$550,SMALL(IF(Накл!$B$9:$B$550=A94,ROW(Накл!$B$9:$B$550)-ROW(Накл!$B$9)+1),ROW(D94)-ROW(A94)+1)),"")," ",IFERROR(INDEX(Накл!$C$9:$C$550,SMALL(IF(Накл!$B$9:$B$550=A94,ROW(Накл!$B$9:$B$550)-ROW(Накл!$B$9)+1),ROW(D95)-ROW(A94)+1)),"")," ",IFERROR(INDEX(Накл!$C$9:$C$550,SMALL(IF(Накл!$B$9:$B$550=A94,ROW(Накл!$B$9:$B$550)-ROW(Накл!$B$9)+1),ROW(D96)-ROW(A94)+1)),"")," ",IFERROR(INDEX(Накл!$C$9:$C$550,SMALL(IF(Накл!$B$9:$B$550=A94,ROW(Накл!$B$9:$B$550)-ROW(Накл!$B$9)+1),ROW(D97)-ROW(A94)+1)),"")," ",IFERROR(INDEX(Накл!$C$9:$C$550,SMALL(IF(Накл!$B$9:$B$550=A94,ROW(Накл!$B$9:$B$550)-ROW(Накл!$B$9)+1),ROW(D98)-ROW(A94)+1)),"")," ",IFERROR(INDEX(Накл!$C$9:$C$550,SMALL(IF(Накл!$B$9:$B$550=A94,ROW(Накл!$B$9:$B$550)-ROW(Накл!$B$9)+1),ROW(D99)-ROW(A94)+1)),"")," ",IFERROR(INDEX(Накл!$C$9:$C$550,SMALL(IF(Накл!$B$9:$B$550=A94,ROW(Накл!$B$9:$B$550)-ROW(Накл!$B$9)+1),ROW(D100)-ROW(A94)+1)),"")," ",IFERROR(INDEX(Накл!$C$9:$C$550,SMALL(IF(Накл!$B$9:$B$550=A94,ROW(Накл!$B$9:$B$550)-ROW(Накл!$B$9)+1),ROW(D101)-ROW(A94)+1)),"")," ",IFERROR(INDEX(Накл!$C$9:$C$550,SMALL(IF(Накл!$B$9:$B$550=A94,ROW(Накл!$B$9:$B$550)-ROW(Накл!$B$9)+1),ROW(D102)-ROW(A94)+1)),"")," ",IFERROR(INDEX(Накл!$C$9:$C$550,SMALL(IF(Накл!$B$9:$B$550=A94,ROW(Накл!$B$9:$B$550)-ROW(Накл!$B$9)+1),ROW(D103)-ROW(A94)+1)),""))</f>
        <v xml:space="preserve">         </v>
      </c>
      <c r="E94" s="26" t="str">
        <f t="array" ref="E94">IF(LEN(D94)&lt;10,CONCATENATE(IFERROR(INDEX(Накл!$C$9:$C$550,SMALL(IF(Накл!$A$9:$A$550=VALUE(LEFT(A94,8)),ROW(Накл!$A$9:$A$550)-ROW(Накл!$A$9)+1),ROW(E94)-ROW(B94)+1)),"")," ",IFERROR(INDEX(Накл!$C$9:$C$550,SMALL(IF(Накл!$A$9:$A$550=VALUE(LEFT(A94,8)),ROW(Накл!$A$9:$A$550)-ROW(Накл!$A$9)+1),ROW(E95)-ROW(B94)+1)),"")," ",IFERROR(INDEX(Накл!$C$9:$C$550,SMALL(IF(Накл!$A$9:$A$550=VALUE(LEFT(A94,8)),ROW(Накл!$A$9:$A$550)-ROW(Накл!$A$9)+1),ROW(E96)-ROW(B94)+1)),"")," ",IFERROR(INDEX(Накл!$C$9:$C$550,SMALL(IF(Накл!$A$9:$A$550=VALUE(LEFT(A94,8)),ROW(Накл!$A$9:$A$550)-ROW(Накл!$A$9)+1),ROW(E97)-ROW(B94)+1)),"")),"")</f>
        <v xml:space="preserve">   </v>
      </c>
    </row>
    <row r="95" spans="1:5">
      <c r="A95" s="26" t="str">
        <f>IFERROR(CONCATENATE(VALUE(SUBSTITUTE(SUBSTITUTE(LEFT(Накл!G102,11),".",""),"-",""))," ",Накл!J102),"-")</f>
        <v>-</v>
      </c>
      <c r="B95" s="26" t="str">
        <f>IFERROR(VLOOKUP(VALUE(LEFT(A95,8)),Накл!$A$9:$D$550,4,0),"-")</f>
        <v>-</v>
      </c>
      <c r="C95" s="26">
        <f>Накл!J102</f>
        <v>0</v>
      </c>
      <c r="D95" s="33" t="str">
        <f t="array" ref="D95">CONCATENATE(IFERROR(INDEX(Накл!$C$9:$C$550,SMALL(IF(Накл!$B$9:$B$550=A95,ROW(Накл!$B$9:$B$550)-ROW(Накл!$B$9)+1),ROW(D95)-ROW(A95)+1)),"")," ",IFERROR(INDEX(Накл!$C$9:$C$550,SMALL(IF(Накл!$B$9:$B$550=A95,ROW(Накл!$B$9:$B$550)-ROW(Накл!$B$9)+1),ROW(D96)-ROW(A95)+1)),"")," ",IFERROR(INDEX(Накл!$C$9:$C$550,SMALL(IF(Накл!$B$9:$B$550=A95,ROW(Накл!$B$9:$B$550)-ROW(Накл!$B$9)+1),ROW(D97)-ROW(A95)+1)),"")," ",IFERROR(INDEX(Накл!$C$9:$C$550,SMALL(IF(Накл!$B$9:$B$550=A95,ROW(Накл!$B$9:$B$550)-ROW(Накл!$B$9)+1),ROW(D98)-ROW(A95)+1)),"")," ",IFERROR(INDEX(Накл!$C$9:$C$550,SMALL(IF(Накл!$B$9:$B$550=A95,ROW(Накл!$B$9:$B$550)-ROW(Накл!$B$9)+1),ROW(D99)-ROW(A95)+1)),"")," ",IFERROR(INDEX(Накл!$C$9:$C$550,SMALL(IF(Накл!$B$9:$B$550=A95,ROW(Накл!$B$9:$B$550)-ROW(Накл!$B$9)+1),ROW(D100)-ROW(A95)+1)),"")," ",IFERROR(INDEX(Накл!$C$9:$C$550,SMALL(IF(Накл!$B$9:$B$550=A95,ROW(Накл!$B$9:$B$550)-ROW(Накл!$B$9)+1),ROW(D101)-ROW(A95)+1)),"")," ",IFERROR(INDEX(Накл!$C$9:$C$550,SMALL(IF(Накл!$B$9:$B$550=A95,ROW(Накл!$B$9:$B$550)-ROW(Накл!$B$9)+1),ROW(D102)-ROW(A95)+1)),"")," ",IFERROR(INDEX(Накл!$C$9:$C$550,SMALL(IF(Накл!$B$9:$B$550=A95,ROW(Накл!$B$9:$B$550)-ROW(Накл!$B$9)+1),ROW(D103)-ROW(A95)+1)),"")," ",IFERROR(INDEX(Накл!$C$9:$C$550,SMALL(IF(Накл!$B$9:$B$550=A95,ROW(Накл!$B$9:$B$550)-ROW(Накл!$B$9)+1),ROW(D104)-ROW(A95)+1)),""))</f>
        <v xml:space="preserve">         </v>
      </c>
      <c r="E95" s="26" t="str">
        <f t="array" ref="E95">IF(LEN(D95)&lt;10,CONCATENATE(IFERROR(INDEX(Накл!$C$9:$C$550,SMALL(IF(Накл!$A$9:$A$550=VALUE(LEFT(A95,8)),ROW(Накл!$A$9:$A$550)-ROW(Накл!$A$9)+1),ROW(E95)-ROW(B95)+1)),"")," ",IFERROR(INDEX(Накл!$C$9:$C$550,SMALL(IF(Накл!$A$9:$A$550=VALUE(LEFT(A95,8)),ROW(Накл!$A$9:$A$550)-ROW(Накл!$A$9)+1),ROW(E96)-ROW(B95)+1)),"")," ",IFERROR(INDEX(Накл!$C$9:$C$550,SMALL(IF(Накл!$A$9:$A$550=VALUE(LEFT(A95,8)),ROW(Накл!$A$9:$A$550)-ROW(Накл!$A$9)+1),ROW(E97)-ROW(B95)+1)),"")," ",IFERROR(INDEX(Накл!$C$9:$C$550,SMALL(IF(Накл!$A$9:$A$550=VALUE(LEFT(A95,8)),ROW(Накл!$A$9:$A$550)-ROW(Накл!$A$9)+1),ROW(E98)-ROW(B95)+1)),"")),"")</f>
        <v xml:space="preserve">   </v>
      </c>
    </row>
    <row r="96" spans="1:5">
      <c r="A96" s="26" t="str">
        <f>IFERROR(CONCATENATE(VALUE(SUBSTITUTE(SUBSTITUTE(LEFT(Накл!G103,11),".",""),"-",""))," ",Накл!J103),"-")</f>
        <v>-</v>
      </c>
      <c r="B96" s="26" t="str">
        <f>IFERROR(VLOOKUP(VALUE(LEFT(A96,8)),Накл!$A$9:$D$550,4,0),"-")</f>
        <v>-</v>
      </c>
      <c r="C96" s="26">
        <f>Накл!J103</f>
        <v>0</v>
      </c>
      <c r="D96" s="33" t="str">
        <f t="array" ref="D96">CONCATENATE(IFERROR(INDEX(Накл!$C$9:$C$550,SMALL(IF(Накл!$B$9:$B$550=A96,ROW(Накл!$B$9:$B$550)-ROW(Накл!$B$9)+1),ROW(D96)-ROW(A96)+1)),"")," ",IFERROR(INDEX(Накл!$C$9:$C$550,SMALL(IF(Накл!$B$9:$B$550=A96,ROW(Накл!$B$9:$B$550)-ROW(Накл!$B$9)+1),ROW(D97)-ROW(A96)+1)),"")," ",IFERROR(INDEX(Накл!$C$9:$C$550,SMALL(IF(Накл!$B$9:$B$550=A96,ROW(Накл!$B$9:$B$550)-ROW(Накл!$B$9)+1),ROW(D98)-ROW(A96)+1)),"")," ",IFERROR(INDEX(Накл!$C$9:$C$550,SMALL(IF(Накл!$B$9:$B$550=A96,ROW(Накл!$B$9:$B$550)-ROW(Накл!$B$9)+1),ROW(D99)-ROW(A96)+1)),"")," ",IFERROR(INDEX(Накл!$C$9:$C$550,SMALL(IF(Накл!$B$9:$B$550=A96,ROW(Накл!$B$9:$B$550)-ROW(Накл!$B$9)+1),ROW(D100)-ROW(A96)+1)),"")," ",IFERROR(INDEX(Накл!$C$9:$C$550,SMALL(IF(Накл!$B$9:$B$550=A96,ROW(Накл!$B$9:$B$550)-ROW(Накл!$B$9)+1),ROW(D101)-ROW(A96)+1)),"")," ",IFERROR(INDEX(Накл!$C$9:$C$550,SMALL(IF(Накл!$B$9:$B$550=A96,ROW(Накл!$B$9:$B$550)-ROW(Накл!$B$9)+1),ROW(D102)-ROW(A96)+1)),"")," ",IFERROR(INDEX(Накл!$C$9:$C$550,SMALL(IF(Накл!$B$9:$B$550=A96,ROW(Накл!$B$9:$B$550)-ROW(Накл!$B$9)+1),ROW(D103)-ROW(A96)+1)),"")," ",IFERROR(INDEX(Накл!$C$9:$C$550,SMALL(IF(Накл!$B$9:$B$550=A96,ROW(Накл!$B$9:$B$550)-ROW(Накл!$B$9)+1),ROW(D104)-ROW(A96)+1)),"")," ",IFERROR(INDEX(Накл!$C$9:$C$550,SMALL(IF(Накл!$B$9:$B$550=A96,ROW(Накл!$B$9:$B$550)-ROW(Накл!$B$9)+1),ROW(D105)-ROW(A96)+1)),""))</f>
        <v xml:space="preserve">         </v>
      </c>
      <c r="E96" s="26" t="str">
        <f t="array" ref="E96">IF(LEN(D96)&lt;10,CONCATENATE(IFERROR(INDEX(Накл!$C$9:$C$550,SMALL(IF(Накл!$A$9:$A$550=VALUE(LEFT(A96,8)),ROW(Накл!$A$9:$A$550)-ROW(Накл!$A$9)+1),ROW(E96)-ROW(B96)+1)),"")," ",IFERROR(INDEX(Накл!$C$9:$C$550,SMALL(IF(Накл!$A$9:$A$550=VALUE(LEFT(A96,8)),ROW(Накл!$A$9:$A$550)-ROW(Накл!$A$9)+1),ROW(E97)-ROW(B96)+1)),"")," ",IFERROR(INDEX(Накл!$C$9:$C$550,SMALL(IF(Накл!$A$9:$A$550=VALUE(LEFT(A96,8)),ROW(Накл!$A$9:$A$550)-ROW(Накл!$A$9)+1),ROW(E98)-ROW(B96)+1)),"")," ",IFERROR(INDEX(Накл!$C$9:$C$550,SMALL(IF(Накл!$A$9:$A$550=VALUE(LEFT(A96,8)),ROW(Накл!$A$9:$A$550)-ROW(Накл!$A$9)+1),ROW(E99)-ROW(B96)+1)),"")),"")</f>
        <v xml:space="preserve">   </v>
      </c>
    </row>
    <row r="97" spans="1:5">
      <c r="A97" s="26" t="str">
        <f>IFERROR(CONCATENATE(VALUE(SUBSTITUTE(SUBSTITUTE(LEFT(Накл!G104,11),".",""),"-",""))," ",Накл!J104),"-")</f>
        <v>-</v>
      </c>
      <c r="B97" s="26" t="str">
        <f>IFERROR(VLOOKUP(VALUE(LEFT(A97,8)),Накл!$A$9:$D$550,4,0),"-")</f>
        <v>-</v>
      </c>
      <c r="C97" s="26">
        <f>Накл!J104</f>
        <v>0</v>
      </c>
      <c r="D97" s="33" t="str">
        <f t="array" ref="D97">CONCATENATE(IFERROR(INDEX(Накл!$C$9:$C$550,SMALL(IF(Накл!$B$9:$B$550=A97,ROW(Накл!$B$9:$B$550)-ROW(Накл!$B$9)+1),ROW(D97)-ROW(A97)+1)),"")," ",IFERROR(INDEX(Накл!$C$9:$C$550,SMALL(IF(Накл!$B$9:$B$550=A97,ROW(Накл!$B$9:$B$550)-ROW(Накл!$B$9)+1),ROW(D98)-ROW(A97)+1)),"")," ",IFERROR(INDEX(Накл!$C$9:$C$550,SMALL(IF(Накл!$B$9:$B$550=A97,ROW(Накл!$B$9:$B$550)-ROW(Накл!$B$9)+1),ROW(D99)-ROW(A97)+1)),"")," ",IFERROR(INDEX(Накл!$C$9:$C$550,SMALL(IF(Накл!$B$9:$B$550=A97,ROW(Накл!$B$9:$B$550)-ROW(Накл!$B$9)+1),ROW(D100)-ROW(A97)+1)),"")," ",IFERROR(INDEX(Накл!$C$9:$C$550,SMALL(IF(Накл!$B$9:$B$550=A97,ROW(Накл!$B$9:$B$550)-ROW(Накл!$B$9)+1),ROW(D101)-ROW(A97)+1)),"")," ",IFERROR(INDEX(Накл!$C$9:$C$550,SMALL(IF(Накл!$B$9:$B$550=A97,ROW(Накл!$B$9:$B$550)-ROW(Накл!$B$9)+1),ROW(D102)-ROW(A97)+1)),"")," ",IFERROR(INDEX(Накл!$C$9:$C$550,SMALL(IF(Накл!$B$9:$B$550=A97,ROW(Накл!$B$9:$B$550)-ROW(Накл!$B$9)+1),ROW(D103)-ROW(A97)+1)),"")," ",IFERROR(INDEX(Накл!$C$9:$C$550,SMALL(IF(Накл!$B$9:$B$550=A97,ROW(Накл!$B$9:$B$550)-ROW(Накл!$B$9)+1),ROW(D104)-ROW(A97)+1)),"")," ",IFERROR(INDEX(Накл!$C$9:$C$550,SMALL(IF(Накл!$B$9:$B$550=A97,ROW(Накл!$B$9:$B$550)-ROW(Накл!$B$9)+1),ROW(D105)-ROW(A97)+1)),"")," ",IFERROR(INDEX(Накл!$C$9:$C$550,SMALL(IF(Накл!$B$9:$B$550=A97,ROW(Накл!$B$9:$B$550)-ROW(Накл!$B$9)+1),ROW(D106)-ROW(A97)+1)),""))</f>
        <v xml:space="preserve">         </v>
      </c>
      <c r="E97" s="26" t="str">
        <f t="array" ref="E97">IF(LEN(D97)&lt;10,CONCATENATE(IFERROR(INDEX(Накл!$C$9:$C$550,SMALL(IF(Накл!$A$9:$A$550=VALUE(LEFT(A97,8)),ROW(Накл!$A$9:$A$550)-ROW(Накл!$A$9)+1),ROW(E97)-ROW(B97)+1)),"")," ",IFERROR(INDEX(Накл!$C$9:$C$550,SMALL(IF(Накл!$A$9:$A$550=VALUE(LEFT(A97,8)),ROW(Накл!$A$9:$A$550)-ROW(Накл!$A$9)+1),ROW(E98)-ROW(B97)+1)),"")," ",IFERROR(INDEX(Накл!$C$9:$C$550,SMALL(IF(Накл!$A$9:$A$550=VALUE(LEFT(A97,8)),ROW(Накл!$A$9:$A$550)-ROW(Накл!$A$9)+1),ROW(E99)-ROW(B97)+1)),"")," ",IFERROR(INDEX(Накл!$C$9:$C$550,SMALL(IF(Накл!$A$9:$A$550=VALUE(LEFT(A97,8)),ROW(Накл!$A$9:$A$550)-ROW(Накл!$A$9)+1),ROW(E100)-ROW(B97)+1)),"")),"")</f>
        <v xml:space="preserve">   </v>
      </c>
    </row>
    <row r="98" spans="1:5">
      <c r="A98" s="26" t="str">
        <f>IFERROR(CONCATENATE(VALUE(SUBSTITUTE(SUBSTITUTE(LEFT(Накл!G105,11),".",""),"-",""))," ",Накл!J105),"-")</f>
        <v>-</v>
      </c>
      <c r="B98" s="26" t="str">
        <f>IFERROR(VLOOKUP(VALUE(LEFT(A98,8)),Накл!$A$9:$D$550,4,0),"-")</f>
        <v>-</v>
      </c>
      <c r="C98" s="26">
        <f>Накл!J105</f>
        <v>0</v>
      </c>
      <c r="D98" s="33" t="str">
        <f t="array" ref="D98">CONCATENATE(IFERROR(INDEX(Накл!$C$9:$C$550,SMALL(IF(Накл!$B$9:$B$550=A98,ROW(Накл!$B$9:$B$550)-ROW(Накл!$B$9)+1),ROW(D98)-ROW(A98)+1)),"")," ",IFERROR(INDEX(Накл!$C$9:$C$550,SMALL(IF(Накл!$B$9:$B$550=A98,ROW(Накл!$B$9:$B$550)-ROW(Накл!$B$9)+1),ROW(D99)-ROW(A98)+1)),"")," ",IFERROR(INDEX(Накл!$C$9:$C$550,SMALL(IF(Накл!$B$9:$B$550=A98,ROW(Накл!$B$9:$B$550)-ROW(Накл!$B$9)+1),ROW(D100)-ROW(A98)+1)),"")," ",IFERROR(INDEX(Накл!$C$9:$C$550,SMALL(IF(Накл!$B$9:$B$550=A98,ROW(Накл!$B$9:$B$550)-ROW(Накл!$B$9)+1),ROW(D101)-ROW(A98)+1)),"")," ",IFERROR(INDEX(Накл!$C$9:$C$550,SMALL(IF(Накл!$B$9:$B$550=A98,ROW(Накл!$B$9:$B$550)-ROW(Накл!$B$9)+1),ROW(D102)-ROW(A98)+1)),"")," ",IFERROR(INDEX(Накл!$C$9:$C$550,SMALL(IF(Накл!$B$9:$B$550=A98,ROW(Накл!$B$9:$B$550)-ROW(Накл!$B$9)+1),ROW(D103)-ROW(A98)+1)),"")," ",IFERROR(INDEX(Накл!$C$9:$C$550,SMALL(IF(Накл!$B$9:$B$550=A98,ROW(Накл!$B$9:$B$550)-ROW(Накл!$B$9)+1),ROW(D104)-ROW(A98)+1)),"")," ",IFERROR(INDEX(Накл!$C$9:$C$550,SMALL(IF(Накл!$B$9:$B$550=A98,ROW(Накл!$B$9:$B$550)-ROW(Накл!$B$9)+1),ROW(D105)-ROW(A98)+1)),"")," ",IFERROR(INDEX(Накл!$C$9:$C$550,SMALL(IF(Накл!$B$9:$B$550=A98,ROW(Накл!$B$9:$B$550)-ROW(Накл!$B$9)+1),ROW(D106)-ROW(A98)+1)),"")," ",IFERROR(INDEX(Накл!$C$9:$C$550,SMALL(IF(Накл!$B$9:$B$550=A98,ROW(Накл!$B$9:$B$550)-ROW(Накл!$B$9)+1),ROW(D107)-ROW(A98)+1)),""))</f>
        <v xml:space="preserve">         </v>
      </c>
      <c r="E98" s="26" t="str">
        <f t="array" ref="E98">IF(LEN(D98)&lt;10,CONCATENATE(IFERROR(INDEX(Накл!$C$9:$C$550,SMALL(IF(Накл!$A$9:$A$550=VALUE(LEFT(A98,8)),ROW(Накл!$A$9:$A$550)-ROW(Накл!$A$9)+1),ROW(E98)-ROW(B98)+1)),"")," ",IFERROR(INDEX(Накл!$C$9:$C$550,SMALL(IF(Накл!$A$9:$A$550=VALUE(LEFT(A98,8)),ROW(Накл!$A$9:$A$550)-ROW(Накл!$A$9)+1),ROW(E99)-ROW(B98)+1)),"")," ",IFERROR(INDEX(Накл!$C$9:$C$550,SMALL(IF(Накл!$A$9:$A$550=VALUE(LEFT(A98,8)),ROW(Накл!$A$9:$A$550)-ROW(Накл!$A$9)+1),ROW(E100)-ROW(B98)+1)),"")," ",IFERROR(INDEX(Накл!$C$9:$C$550,SMALL(IF(Накл!$A$9:$A$550=VALUE(LEFT(A98,8)),ROW(Накл!$A$9:$A$550)-ROW(Накл!$A$9)+1),ROW(E101)-ROW(B98)+1)),"")),"")</f>
        <v xml:space="preserve">   </v>
      </c>
    </row>
    <row r="99" spans="1:5">
      <c r="A99" s="26" t="str">
        <f>IFERROR(CONCATENATE(VALUE(SUBSTITUTE(SUBSTITUTE(LEFT(Накл!G106,11),".",""),"-",""))," ",Накл!J106),"-")</f>
        <v>-</v>
      </c>
      <c r="B99" s="26" t="str">
        <f>IFERROR(VLOOKUP(VALUE(LEFT(A99,8)),Накл!$A$9:$D$550,4,0),"-")</f>
        <v>-</v>
      </c>
      <c r="C99" s="26">
        <f>Накл!J106</f>
        <v>0</v>
      </c>
      <c r="D99" s="33" t="str">
        <f t="array" ref="D99">CONCATENATE(IFERROR(INDEX(Накл!$C$9:$C$550,SMALL(IF(Накл!$B$9:$B$550=A99,ROW(Накл!$B$9:$B$550)-ROW(Накл!$B$9)+1),ROW(D99)-ROW(A99)+1)),"")," ",IFERROR(INDEX(Накл!$C$9:$C$550,SMALL(IF(Накл!$B$9:$B$550=A99,ROW(Накл!$B$9:$B$550)-ROW(Накл!$B$9)+1),ROW(D100)-ROW(A99)+1)),"")," ",IFERROR(INDEX(Накл!$C$9:$C$550,SMALL(IF(Накл!$B$9:$B$550=A99,ROW(Накл!$B$9:$B$550)-ROW(Накл!$B$9)+1),ROW(D101)-ROW(A99)+1)),"")," ",IFERROR(INDEX(Накл!$C$9:$C$550,SMALL(IF(Накл!$B$9:$B$550=A99,ROW(Накл!$B$9:$B$550)-ROW(Накл!$B$9)+1),ROW(D102)-ROW(A99)+1)),"")," ",IFERROR(INDEX(Накл!$C$9:$C$550,SMALL(IF(Накл!$B$9:$B$550=A99,ROW(Накл!$B$9:$B$550)-ROW(Накл!$B$9)+1),ROW(D103)-ROW(A99)+1)),"")," ",IFERROR(INDEX(Накл!$C$9:$C$550,SMALL(IF(Накл!$B$9:$B$550=A99,ROW(Накл!$B$9:$B$550)-ROW(Накл!$B$9)+1),ROW(D104)-ROW(A99)+1)),"")," ",IFERROR(INDEX(Накл!$C$9:$C$550,SMALL(IF(Накл!$B$9:$B$550=A99,ROW(Накл!$B$9:$B$550)-ROW(Накл!$B$9)+1),ROW(D105)-ROW(A99)+1)),"")," ",IFERROR(INDEX(Накл!$C$9:$C$550,SMALL(IF(Накл!$B$9:$B$550=A99,ROW(Накл!$B$9:$B$550)-ROW(Накл!$B$9)+1),ROW(D106)-ROW(A99)+1)),"")," ",IFERROR(INDEX(Накл!$C$9:$C$550,SMALL(IF(Накл!$B$9:$B$550=A99,ROW(Накл!$B$9:$B$550)-ROW(Накл!$B$9)+1),ROW(D107)-ROW(A99)+1)),"")," ",IFERROR(INDEX(Накл!$C$9:$C$550,SMALL(IF(Накл!$B$9:$B$550=A99,ROW(Накл!$B$9:$B$550)-ROW(Накл!$B$9)+1),ROW(D108)-ROW(A99)+1)),""))</f>
        <v xml:space="preserve">         </v>
      </c>
      <c r="E99" s="26" t="str">
        <f t="array" ref="E99">IF(LEN(D99)&lt;10,CONCATENATE(IFERROR(INDEX(Накл!$C$9:$C$550,SMALL(IF(Накл!$A$9:$A$550=VALUE(LEFT(A99,8)),ROW(Накл!$A$9:$A$550)-ROW(Накл!$A$9)+1),ROW(E99)-ROW(B99)+1)),"")," ",IFERROR(INDEX(Накл!$C$9:$C$550,SMALL(IF(Накл!$A$9:$A$550=VALUE(LEFT(A99,8)),ROW(Накл!$A$9:$A$550)-ROW(Накл!$A$9)+1),ROW(E100)-ROW(B99)+1)),"")," ",IFERROR(INDEX(Накл!$C$9:$C$550,SMALL(IF(Накл!$A$9:$A$550=VALUE(LEFT(A99,8)),ROW(Накл!$A$9:$A$550)-ROW(Накл!$A$9)+1),ROW(E101)-ROW(B99)+1)),"")," ",IFERROR(INDEX(Накл!$C$9:$C$550,SMALL(IF(Накл!$A$9:$A$550=VALUE(LEFT(A99,8)),ROW(Накл!$A$9:$A$550)-ROW(Накл!$A$9)+1),ROW(E102)-ROW(B99)+1)),"")),"")</f>
        <v xml:space="preserve">   </v>
      </c>
    </row>
    <row r="100" spans="1:5">
      <c r="A100" s="26" t="str">
        <f>IFERROR(CONCATENATE(VALUE(SUBSTITUTE(SUBSTITUTE(LEFT(Накл!G107,11),".",""),"-",""))," ",Накл!J107),"-")</f>
        <v>-</v>
      </c>
      <c r="B100" s="26" t="str">
        <f>IFERROR(VLOOKUP(VALUE(LEFT(A100,8)),Накл!$A$9:$D$550,4,0),"-")</f>
        <v>-</v>
      </c>
      <c r="C100" s="26">
        <f>Накл!J107</f>
        <v>0</v>
      </c>
      <c r="D100" s="33" t="str">
        <f t="array" ref="D100">CONCATENATE(IFERROR(INDEX(Накл!$C$9:$C$550,SMALL(IF(Накл!$B$9:$B$550=A100,ROW(Накл!$B$9:$B$550)-ROW(Накл!$B$9)+1),ROW(D100)-ROW(A100)+1)),"")," ",IFERROR(INDEX(Накл!$C$9:$C$550,SMALL(IF(Накл!$B$9:$B$550=A100,ROW(Накл!$B$9:$B$550)-ROW(Накл!$B$9)+1),ROW(D101)-ROW(A100)+1)),"")," ",IFERROR(INDEX(Накл!$C$9:$C$550,SMALL(IF(Накл!$B$9:$B$550=A100,ROW(Накл!$B$9:$B$550)-ROW(Накл!$B$9)+1),ROW(D102)-ROW(A100)+1)),"")," ",IFERROR(INDEX(Накл!$C$9:$C$550,SMALL(IF(Накл!$B$9:$B$550=A100,ROW(Накл!$B$9:$B$550)-ROW(Накл!$B$9)+1),ROW(D103)-ROW(A100)+1)),"")," ",IFERROR(INDEX(Накл!$C$9:$C$550,SMALL(IF(Накл!$B$9:$B$550=A100,ROW(Накл!$B$9:$B$550)-ROW(Накл!$B$9)+1),ROW(D104)-ROW(A100)+1)),"")," ",IFERROR(INDEX(Накл!$C$9:$C$550,SMALL(IF(Накл!$B$9:$B$550=A100,ROW(Накл!$B$9:$B$550)-ROW(Накл!$B$9)+1),ROW(D105)-ROW(A100)+1)),"")," ",IFERROR(INDEX(Накл!$C$9:$C$550,SMALL(IF(Накл!$B$9:$B$550=A100,ROW(Накл!$B$9:$B$550)-ROW(Накл!$B$9)+1),ROW(D106)-ROW(A100)+1)),"")," ",IFERROR(INDEX(Накл!$C$9:$C$550,SMALL(IF(Накл!$B$9:$B$550=A100,ROW(Накл!$B$9:$B$550)-ROW(Накл!$B$9)+1),ROW(D107)-ROW(A100)+1)),"")," ",IFERROR(INDEX(Накл!$C$9:$C$550,SMALL(IF(Накл!$B$9:$B$550=A100,ROW(Накл!$B$9:$B$550)-ROW(Накл!$B$9)+1),ROW(D108)-ROW(A100)+1)),"")," ",IFERROR(INDEX(Накл!$C$9:$C$550,SMALL(IF(Накл!$B$9:$B$550=A100,ROW(Накл!$B$9:$B$550)-ROW(Накл!$B$9)+1),ROW(D109)-ROW(A100)+1)),""))</f>
        <v xml:space="preserve">         </v>
      </c>
      <c r="E100" s="26" t="str">
        <f t="array" ref="E100">IF(LEN(D100)&lt;10,CONCATENATE(IFERROR(INDEX(Накл!$C$9:$C$550,SMALL(IF(Накл!$A$9:$A$550=VALUE(LEFT(A100,8)),ROW(Накл!$A$9:$A$550)-ROW(Накл!$A$9)+1),ROW(E100)-ROW(B100)+1)),"")," ",IFERROR(INDEX(Накл!$C$9:$C$550,SMALL(IF(Накл!$A$9:$A$550=VALUE(LEFT(A100,8)),ROW(Накл!$A$9:$A$550)-ROW(Накл!$A$9)+1),ROW(E101)-ROW(B100)+1)),"")," ",IFERROR(INDEX(Накл!$C$9:$C$550,SMALL(IF(Накл!$A$9:$A$550=VALUE(LEFT(A100,8)),ROW(Накл!$A$9:$A$550)-ROW(Накл!$A$9)+1),ROW(E102)-ROW(B100)+1)),"")," ",IFERROR(INDEX(Накл!$C$9:$C$550,SMALL(IF(Накл!$A$9:$A$550=VALUE(LEFT(A100,8)),ROW(Накл!$A$9:$A$550)-ROW(Накл!$A$9)+1),ROW(E103)-ROW(B100)+1)),"")),"")</f>
        <v xml:space="preserve">   </v>
      </c>
    </row>
    <row r="101" spans="1:5">
      <c r="A101" s="26" t="str">
        <f>IFERROR(CONCATENATE(VALUE(SUBSTITUTE(SUBSTITUTE(LEFT(Накл!G108,11),".",""),"-",""))," ",Накл!J108),"-")</f>
        <v>-</v>
      </c>
      <c r="B101" s="26" t="str">
        <f>IFERROR(VLOOKUP(VALUE(LEFT(A101,8)),Накл!$A$9:$D$550,4,0),"-")</f>
        <v>-</v>
      </c>
      <c r="C101" s="26">
        <f>Накл!J108</f>
        <v>0</v>
      </c>
      <c r="D101" s="33" t="str">
        <f t="array" ref="D101">CONCATENATE(IFERROR(INDEX(Накл!$C$9:$C$550,SMALL(IF(Накл!$B$9:$B$550=A101,ROW(Накл!$B$9:$B$550)-ROW(Накл!$B$9)+1),ROW(D101)-ROW(A101)+1)),"")," ",IFERROR(INDEX(Накл!$C$9:$C$550,SMALL(IF(Накл!$B$9:$B$550=A101,ROW(Накл!$B$9:$B$550)-ROW(Накл!$B$9)+1),ROW(D102)-ROW(A101)+1)),"")," ",IFERROR(INDEX(Накл!$C$9:$C$550,SMALL(IF(Накл!$B$9:$B$550=A101,ROW(Накл!$B$9:$B$550)-ROW(Накл!$B$9)+1),ROW(D103)-ROW(A101)+1)),"")," ",IFERROR(INDEX(Накл!$C$9:$C$550,SMALL(IF(Накл!$B$9:$B$550=A101,ROW(Накл!$B$9:$B$550)-ROW(Накл!$B$9)+1),ROW(D104)-ROW(A101)+1)),"")," ",IFERROR(INDEX(Накл!$C$9:$C$550,SMALL(IF(Накл!$B$9:$B$550=A101,ROW(Накл!$B$9:$B$550)-ROW(Накл!$B$9)+1),ROW(D105)-ROW(A101)+1)),"")," ",IFERROR(INDEX(Накл!$C$9:$C$550,SMALL(IF(Накл!$B$9:$B$550=A101,ROW(Накл!$B$9:$B$550)-ROW(Накл!$B$9)+1),ROW(D106)-ROW(A101)+1)),"")," ",IFERROR(INDEX(Накл!$C$9:$C$550,SMALL(IF(Накл!$B$9:$B$550=A101,ROW(Накл!$B$9:$B$550)-ROW(Накл!$B$9)+1),ROW(D107)-ROW(A101)+1)),"")," ",IFERROR(INDEX(Накл!$C$9:$C$550,SMALL(IF(Накл!$B$9:$B$550=A101,ROW(Накл!$B$9:$B$550)-ROW(Накл!$B$9)+1),ROW(D108)-ROW(A101)+1)),"")," ",IFERROR(INDEX(Накл!$C$9:$C$550,SMALL(IF(Накл!$B$9:$B$550=A101,ROW(Накл!$B$9:$B$550)-ROW(Накл!$B$9)+1),ROW(D109)-ROW(A101)+1)),"")," ",IFERROR(INDEX(Накл!$C$9:$C$550,SMALL(IF(Накл!$B$9:$B$550=A101,ROW(Накл!$B$9:$B$550)-ROW(Накл!$B$9)+1),ROW(D110)-ROW(A101)+1)),""))</f>
        <v xml:space="preserve">         </v>
      </c>
      <c r="E101" s="26" t="str">
        <f t="array" ref="E101">IF(LEN(D101)&lt;10,CONCATENATE(IFERROR(INDEX(Накл!$C$9:$C$550,SMALL(IF(Накл!$A$9:$A$550=VALUE(LEFT(A101,8)),ROW(Накл!$A$9:$A$550)-ROW(Накл!$A$9)+1),ROW(E101)-ROW(B101)+1)),"")," ",IFERROR(INDEX(Накл!$C$9:$C$550,SMALL(IF(Накл!$A$9:$A$550=VALUE(LEFT(A101,8)),ROW(Накл!$A$9:$A$550)-ROW(Накл!$A$9)+1),ROW(E102)-ROW(B101)+1)),"")," ",IFERROR(INDEX(Накл!$C$9:$C$550,SMALL(IF(Накл!$A$9:$A$550=VALUE(LEFT(A101,8)),ROW(Накл!$A$9:$A$550)-ROW(Накл!$A$9)+1),ROW(E103)-ROW(B101)+1)),"")," ",IFERROR(INDEX(Накл!$C$9:$C$550,SMALL(IF(Накл!$A$9:$A$550=VALUE(LEFT(A101,8)),ROW(Накл!$A$9:$A$550)-ROW(Накл!$A$9)+1),ROW(E104)-ROW(B101)+1)),"")),"")</f>
        <v xml:space="preserve">   </v>
      </c>
    </row>
    <row r="102" spans="1:5">
      <c r="A102" s="26" t="str">
        <f>IFERROR(CONCATENATE(VALUE(SUBSTITUTE(SUBSTITUTE(LEFT(Накл!G109,11),".",""),"-",""))," ",Накл!J109),"-")</f>
        <v>-</v>
      </c>
      <c r="B102" s="26" t="str">
        <f>IFERROR(VLOOKUP(VALUE(LEFT(A102,8)),Накл!$A$9:$D$550,4,0),"-")</f>
        <v>-</v>
      </c>
      <c r="C102" s="26">
        <f>Накл!J109</f>
        <v>0</v>
      </c>
      <c r="D102" s="33" t="str">
        <f t="array" ref="D102">CONCATENATE(IFERROR(INDEX(Накл!$C$9:$C$550,SMALL(IF(Накл!$B$9:$B$550=A102,ROW(Накл!$B$9:$B$550)-ROW(Накл!$B$9)+1),ROW(D102)-ROW(A102)+1)),"")," ",IFERROR(INDEX(Накл!$C$9:$C$550,SMALL(IF(Накл!$B$9:$B$550=A102,ROW(Накл!$B$9:$B$550)-ROW(Накл!$B$9)+1),ROW(D103)-ROW(A102)+1)),"")," ",IFERROR(INDEX(Накл!$C$9:$C$550,SMALL(IF(Накл!$B$9:$B$550=A102,ROW(Накл!$B$9:$B$550)-ROW(Накл!$B$9)+1),ROW(D104)-ROW(A102)+1)),"")," ",IFERROR(INDEX(Накл!$C$9:$C$550,SMALL(IF(Накл!$B$9:$B$550=A102,ROW(Накл!$B$9:$B$550)-ROW(Накл!$B$9)+1),ROW(D105)-ROW(A102)+1)),"")," ",IFERROR(INDEX(Накл!$C$9:$C$550,SMALL(IF(Накл!$B$9:$B$550=A102,ROW(Накл!$B$9:$B$550)-ROW(Накл!$B$9)+1),ROW(D106)-ROW(A102)+1)),"")," ",IFERROR(INDEX(Накл!$C$9:$C$550,SMALL(IF(Накл!$B$9:$B$550=A102,ROW(Накл!$B$9:$B$550)-ROW(Накл!$B$9)+1),ROW(D107)-ROW(A102)+1)),"")," ",IFERROR(INDEX(Накл!$C$9:$C$550,SMALL(IF(Накл!$B$9:$B$550=A102,ROW(Накл!$B$9:$B$550)-ROW(Накл!$B$9)+1),ROW(D108)-ROW(A102)+1)),"")," ",IFERROR(INDEX(Накл!$C$9:$C$550,SMALL(IF(Накл!$B$9:$B$550=A102,ROW(Накл!$B$9:$B$550)-ROW(Накл!$B$9)+1),ROW(D109)-ROW(A102)+1)),"")," ",IFERROR(INDEX(Накл!$C$9:$C$550,SMALL(IF(Накл!$B$9:$B$550=A102,ROW(Накл!$B$9:$B$550)-ROW(Накл!$B$9)+1),ROW(D110)-ROW(A102)+1)),"")," ",IFERROR(INDEX(Накл!$C$9:$C$550,SMALL(IF(Накл!$B$9:$B$550=A102,ROW(Накл!$B$9:$B$550)-ROW(Накл!$B$9)+1),ROW(D111)-ROW(A102)+1)),""))</f>
        <v xml:space="preserve">         </v>
      </c>
      <c r="E102" s="26" t="str">
        <f t="array" ref="E102">IF(LEN(D102)&lt;10,CONCATENATE(IFERROR(INDEX(Накл!$C$9:$C$550,SMALL(IF(Накл!$A$9:$A$550=VALUE(LEFT(A102,8)),ROW(Накл!$A$9:$A$550)-ROW(Накл!$A$9)+1),ROW(E102)-ROW(B102)+1)),"")," ",IFERROR(INDEX(Накл!$C$9:$C$550,SMALL(IF(Накл!$A$9:$A$550=VALUE(LEFT(A102,8)),ROW(Накл!$A$9:$A$550)-ROW(Накл!$A$9)+1),ROW(E103)-ROW(B102)+1)),"")," ",IFERROR(INDEX(Накл!$C$9:$C$550,SMALL(IF(Накл!$A$9:$A$550=VALUE(LEFT(A102,8)),ROW(Накл!$A$9:$A$550)-ROW(Накл!$A$9)+1),ROW(E104)-ROW(B102)+1)),"")," ",IFERROR(INDEX(Накл!$C$9:$C$550,SMALL(IF(Накл!$A$9:$A$550=VALUE(LEFT(A102,8)),ROW(Накл!$A$9:$A$550)-ROW(Накл!$A$9)+1),ROW(E105)-ROW(B102)+1)),"")),"")</f>
        <v xml:space="preserve">   </v>
      </c>
    </row>
    <row r="103" spans="1:5">
      <c r="A103" s="26" t="str">
        <f>IFERROR(CONCATENATE(VALUE(SUBSTITUTE(SUBSTITUTE(LEFT(Накл!G110,11),".",""),"-",""))," ",Накл!J110),"-")</f>
        <v>-</v>
      </c>
      <c r="B103" s="26" t="str">
        <f>IFERROR(VLOOKUP(VALUE(LEFT(A103,8)),Накл!$A$9:$D$550,4,0),"-")</f>
        <v>-</v>
      </c>
      <c r="C103" s="26">
        <f>Накл!J110</f>
        <v>0</v>
      </c>
      <c r="D103" s="33" t="str">
        <f t="array" ref="D103">CONCATENATE(IFERROR(INDEX(Накл!$C$9:$C$550,SMALL(IF(Накл!$B$9:$B$550=A103,ROW(Накл!$B$9:$B$550)-ROW(Накл!$B$9)+1),ROW(D103)-ROW(A103)+1)),"")," ",IFERROR(INDEX(Накл!$C$9:$C$550,SMALL(IF(Накл!$B$9:$B$550=A103,ROW(Накл!$B$9:$B$550)-ROW(Накл!$B$9)+1),ROW(D104)-ROW(A103)+1)),"")," ",IFERROR(INDEX(Накл!$C$9:$C$550,SMALL(IF(Накл!$B$9:$B$550=A103,ROW(Накл!$B$9:$B$550)-ROW(Накл!$B$9)+1),ROW(D105)-ROW(A103)+1)),"")," ",IFERROR(INDEX(Накл!$C$9:$C$550,SMALL(IF(Накл!$B$9:$B$550=A103,ROW(Накл!$B$9:$B$550)-ROW(Накл!$B$9)+1),ROW(D106)-ROW(A103)+1)),"")," ",IFERROR(INDEX(Накл!$C$9:$C$550,SMALL(IF(Накл!$B$9:$B$550=A103,ROW(Накл!$B$9:$B$550)-ROW(Накл!$B$9)+1),ROW(D107)-ROW(A103)+1)),"")," ",IFERROR(INDEX(Накл!$C$9:$C$550,SMALL(IF(Накл!$B$9:$B$550=A103,ROW(Накл!$B$9:$B$550)-ROW(Накл!$B$9)+1),ROW(D108)-ROW(A103)+1)),"")," ",IFERROR(INDEX(Накл!$C$9:$C$550,SMALL(IF(Накл!$B$9:$B$550=A103,ROW(Накл!$B$9:$B$550)-ROW(Накл!$B$9)+1),ROW(D109)-ROW(A103)+1)),"")," ",IFERROR(INDEX(Накл!$C$9:$C$550,SMALL(IF(Накл!$B$9:$B$550=A103,ROW(Накл!$B$9:$B$550)-ROW(Накл!$B$9)+1),ROW(D110)-ROW(A103)+1)),"")," ",IFERROR(INDEX(Накл!$C$9:$C$550,SMALL(IF(Накл!$B$9:$B$550=A103,ROW(Накл!$B$9:$B$550)-ROW(Накл!$B$9)+1),ROW(D111)-ROW(A103)+1)),"")," ",IFERROR(INDEX(Накл!$C$9:$C$550,SMALL(IF(Накл!$B$9:$B$550=A103,ROW(Накл!$B$9:$B$550)-ROW(Накл!$B$9)+1),ROW(D112)-ROW(A103)+1)),""))</f>
        <v xml:space="preserve">         </v>
      </c>
      <c r="E103" s="26" t="str">
        <f t="array" ref="E103">IF(LEN(D103)&lt;10,CONCATENATE(IFERROR(INDEX(Накл!$C$9:$C$550,SMALL(IF(Накл!$A$9:$A$550=VALUE(LEFT(A103,8)),ROW(Накл!$A$9:$A$550)-ROW(Накл!$A$9)+1),ROW(E103)-ROW(B103)+1)),"")," ",IFERROR(INDEX(Накл!$C$9:$C$550,SMALL(IF(Накл!$A$9:$A$550=VALUE(LEFT(A103,8)),ROW(Накл!$A$9:$A$550)-ROW(Накл!$A$9)+1),ROW(E104)-ROW(B103)+1)),"")," ",IFERROR(INDEX(Накл!$C$9:$C$550,SMALL(IF(Накл!$A$9:$A$550=VALUE(LEFT(A103,8)),ROW(Накл!$A$9:$A$550)-ROW(Накл!$A$9)+1),ROW(E105)-ROW(B103)+1)),"")," ",IFERROR(INDEX(Накл!$C$9:$C$550,SMALL(IF(Накл!$A$9:$A$550=VALUE(LEFT(A103,8)),ROW(Накл!$A$9:$A$550)-ROW(Накл!$A$9)+1),ROW(E106)-ROW(B103)+1)),"")),"")</f>
        <v xml:space="preserve">   </v>
      </c>
    </row>
    <row r="104" spans="1:5">
      <c r="A104" s="26" t="str">
        <f>IFERROR(CONCATENATE(VALUE(SUBSTITUTE(SUBSTITUTE(LEFT(Накл!G111,11),".",""),"-",""))," ",Накл!J111),"-")</f>
        <v>-</v>
      </c>
      <c r="B104" s="26" t="str">
        <f>IFERROR(VLOOKUP(VALUE(LEFT(A104,8)),Накл!$A$9:$D$550,4,0),"-")</f>
        <v>-</v>
      </c>
      <c r="C104" s="26">
        <f>Накл!J111</f>
        <v>0</v>
      </c>
      <c r="D104" s="33" t="str">
        <f t="array" ref="D104">CONCATENATE(IFERROR(INDEX(Накл!$C$9:$C$550,SMALL(IF(Накл!$B$9:$B$550=A104,ROW(Накл!$B$9:$B$550)-ROW(Накл!$B$9)+1),ROW(D104)-ROW(A104)+1)),"")," ",IFERROR(INDEX(Накл!$C$9:$C$550,SMALL(IF(Накл!$B$9:$B$550=A104,ROW(Накл!$B$9:$B$550)-ROW(Накл!$B$9)+1),ROW(D105)-ROW(A104)+1)),"")," ",IFERROR(INDEX(Накл!$C$9:$C$550,SMALL(IF(Накл!$B$9:$B$550=A104,ROW(Накл!$B$9:$B$550)-ROW(Накл!$B$9)+1),ROW(D106)-ROW(A104)+1)),"")," ",IFERROR(INDEX(Накл!$C$9:$C$550,SMALL(IF(Накл!$B$9:$B$550=A104,ROW(Накл!$B$9:$B$550)-ROW(Накл!$B$9)+1),ROW(D107)-ROW(A104)+1)),"")," ",IFERROR(INDEX(Накл!$C$9:$C$550,SMALL(IF(Накл!$B$9:$B$550=A104,ROW(Накл!$B$9:$B$550)-ROW(Накл!$B$9)+1),ROW(D108)-ROW(A104)+1)),"")," ",IFERROR(INDEX(Накл!$C$9:$C$550,SMALL(IF(Накл!$B$9:$B$550=A104,ROW(Накл!$B$9:$B$550)-ROW(Накл!$B$9)+1),ROW(D109)-ROW(A104)+1)),"")," ",IFERROR(INDEX(Накл!$C$9:$C$550,SMALL(IF(Накл!$B$9:$B$550=A104,ROW(Накл!$B$9:$B$550)-ROW(Накл!$B$9)+1),ROW(D110)-ROW(A104)+1)),"")," ",IFERROR(INDEX(Накл!$C$9:$C$550,SMALL(IF(Накл!$B$9:$B$550=A104,ROW(Накл!$B$9:$B$550)-ROW(Накл!$B$9)+1),ROW(D111)-ROW(A104)+1)),"")," ",IFERROR(INDEX(Накл!$C$9:$C$550,SMALL(IF(Накл!$B$9:$B$550=A104,ROW(Накл!$B$9:$B$550)-ROW(Накл!$B$9)+1),ROW(D112)-ROW(A104)+1)),"")," ",IFERROR(INDEX(Накл!$C$9:$C$550,SMALL(IF(Накл!$B$9:$B$550=A104,ROW(Накл!$B$9:$B$550)-ROW(Накл!$B$9)+1),ROW(D113)-ROW(A104)+1)),""))</f>
        <v xml:space="preserve">         </v>
      </c>
      <c r="E104" s="26" t="str">
        <f t="array" ref="E104">IF(LEN(D104)&lt;10,CONCATENATE(IFERROR(INDEX(Накл!$C$9:$C$550,SMALL(IF(Накл!$A$9:$A$550=VALUE(LEFT(A104,8)),ROW(Накл!$A$9:$A$550)-ROW(Накл!$A$9)+1),ROW(E104)-ROW(B104)+1)),"")," ",IFERROR(INDEX(Накл!$C$9:$C$550,SMALL(IF(Накл!$A$9:$A$550=VALUE(LEFT(A104,8)),ROW(Накл!$A$9:$A$550)-ROW(Накл!$A$9)+1),ROW(E105)-ROW(B104)+1)),"")," ",IFERROR(INDEX(Накл!$C$9:$C$550,SMALL(IF(Накл!$A$9:$A$550=VALUE(LEFT(A104,8)),ROW(Накл!$A$9:$A$550)-ROW(Накл!$A$9)+1),ROW(E106)-ROW(B104)+1)),"")," ",IFERROR(INDEX(Накл!$C$9:$C$550,SMALL(IF(Накл!$A$9:$A$550=VALUE(LEFT(A104,8)),ROW(Накл!$A$9:$A$550)-ROW(Накл!$A$9)+1),ROW(E107)-ROW(B104)+1)),"")),"")</f>
        <v xml:space="preserve">   </v>
      </c>
    </row>
    <row r="105" spans="1:5">
      <c r="A105" s="26" t="str">
        <f>IFERROR(CONCATENATE(VALUE(SUBSTITUTE(SUBSTITUTE(LEFT(Накл!G112,11),".",""),"-",""))," ",Накл!J112),"-")</f>
        <v>-</v>
      </c>
      <c r="B105" s="26" t="str">
        <f>IFERROR(VLOOKUP(VALUE(LEFT(A105,8)),Накл!$A$9:$D$550,4,0),"-")</f>
        <v>-</v>
      </c>
      <c r="C105" s="26">
        <f>Накл!J112</f>
        <v>0</v>
      </c>
      <c r="D105" s="33" t="str">
        <f t="array" ref="D105">CONCATENATE(IFERROR(INDEX(Накл!$C$9:$C$550,SMALL(IF(Накл!$B$9:$B$550=A105,ROW(Накл!$B$9:$B$550)-ROW(Накл!$B$9)+1),ROW(D105)-ROW(A105)+1)),"")," ",IFERROR(INDEX(Накл!$C$9:$C$550,SMALL(IF(Накл!$B$9:$B$550=A105,ROW(Накл!$B$9:$B$550)-ROW(Накл!$B$9)+1),ROW(D106)-ROW(A105)+1)),"")," ",IFERROR(INDEX(Накл!$C$9:$C$550,SMALL(IF(Накл!$B$9:$B$550=A105,ROW(Накл!$B$9:$B$550)-ROW(Накл!$B$9)+1),ROW(D107)-ROW(A105)+1)),"")," ",IFERROR(INDEX(Накл!$C$9:$C$550,SMALL(IF(Накл!$B$9:$B$550=A105,ROW(Накл!$B$9:$B$550)-ROW(Накл!$B$9)+1),ROW(D108)-ROW(A105)+1)),"")," ",IFERROR(INDEX(Накл!$C$9:$C$550,SMALL(IF(Накл!$B$9:$B$550=A105,ROW(Накл!$B$9:$B$550)-ROW(Накл!$B$9)+1),ROW(D109)-ROW(A105)+1)),"")," ",IFERROR(INDEX(Накл!$C$9:$C$550,SMALL(IF(Накл!$B$9:$B$550=A105,ROW(Накл!$B$9:$B$550)-ROW(Накл!$B$9)+1),ROW(D110)-ROW(A105)+1)),"")," ",IFERROR(INDEX(Накл!$C$9:$C$550,SMALL(IF(Накл!$B$9:$B$550=A105,ROW(Накл!$B$9:$B$550)-ROW(Накл!$B$9)+1),ROW(D111)-ROW(A105)+1)),"")," ",IFERROR(INDEX(Накл!$C$9:$C$550,SMALL(IF(Накл!$B$9:$B$550=A105,ROW(Накл!$B$9:$B$550)-ROW(Накл!$B$9)+1),ROW(D112)-ROW(A105)+1)),"")," ",IFERROR(INDEX(Накл!$C$9:$C$550,SMALL(IF(Накл!$B$9:$B$550=A105,ROW(Накл!$B$9:$B$550)-ROW(Накл!$B$9)+1),ROW(D113)-ROW(A105)+1)),"")," ",IFERROR(INDEX(Накл!$C$9:$C$550,SMALL(IF(Накл!$B$9:$B$550=A105,ROW(Накл!$B$9:$B$550)-ROW(Накл!$B$9)+1),ROW(D114)-ROW(A105)+1)),""))</f>
        <v xml:space="preserve">         </v>
      </c>
      <c r="E105" s="26" t="str">
        <f t="array" ref="E105">IF(LEN(D105)&lt;10,CONCATENATE(IFERROR(INDEX(Накл!$C$9:$C$550,SMALL(IF(Накл!$A$9:$A$550=VALUE(LEFT(A105,8)),ROW(Накл!$A$9:$A$550)-ROW(Накл!$A$9)+1),ROW(E105)-ROW(B105)+1)),"")," ",IFERROR(INDEX(Накл!$C$9:$C$550,SMALL(IF(Накл!$A$9:$A$550=VALUE(LEFT(A105,8)),ROW(Накл!$A$9:$A$550)-ROW(Накл!$A$9)+1),ROW(E106)-ROW(B105)+1)),"")," ",IFERROR(INDEX(Накл!$C$9:$C$550,SMALL(IF(Накл!$A$9:$A$550=VALUE(LEFT(A105,8)),ROW(Накл!$A$9:$A$550)-ROW(Накл!$A$9)+1),ROW(E107)-ROW(B105)+1)),"")," ",IFERROR(INDEX(Накл!$C$9:$C$550,SMALL(IF(Накл!$A$9:$A$550=VALUE(LEFT(A105,8)),ROW(Накл!$A$9:$A$550)-ROW(Накл!$A$9)+1),ROW(E108)-ROW(B105)+1)),"")),"")</f>
        <v xml:space="preserve">   </v>
      </c>
    </row>
    <row r="106" spans="1:5">
      <c r="A106" s="26" t="str">
        <f>IFERROR(CONCATENATE(VALUE(SUBSTITUTE(SUBSTITUTE(LEFT(Накл!G113,11),".",""),"-",""))," ",Накл!J113),"-")</f>
        <v>-</v>
      </c>
      <c r="B106" s="26" t="str">
        <f>IFERROR(VLOOKUP(VALUE(LEFT(A106,8)),Накл!$A$9:$D$550,4,0),"-")</f>
        <v>-</v>
      </c>
      <c r="C106" s="26">
        <f>Накл!J113</f>
        <v>0</v>
      </c>
      <c r="D106" s="33" t="str">
        <f t="array" ref="D106">CONCATENATE(IFERROR(INDEX(Накл!$C$9:$C$550,SMALL(IF(Накл!$B$9:$B$550=A106,ROW(Накл!$B$9:$B$550)-ROW(Накл!$B$9)+1),ROW(D106)-ROW(A106)+1)),"")," ",IFERROR(INDEX(Накл!$C$9:$C$550,SMALL(IF(Накл!$B$9:$B$550=A106,ROW(Накл!$B$9:$B$550)-ROW(Накл!$B$9)+1),ROW(D107)-ROW(A106)+1)),"")," ",IFERROR(INDEX(Накл!$C$9:$C$550,SMALL(IF(Накл!$B$9:$B$550=A106,ROW(Накл!$B$9:$B$550)-ROW(Накл!$B$9)+1),ROW(D108)-ROW(A106)+1)),"")," ",IFERROR(INDEX(Накл!$C$9:$C$550,SMALL(IF(Накл!$B$9:$B$550=A106,ROW(Накл!$B$9:$B$550)-ROW(Накл!$B$9)+1),ROW(D109)-ROW(A106)+1)),"")," ",IFERROR(INDEX(Накл!$C$9:$C$550,SMALL(IF(Накл!$B$9:$B$550=A106,ROW(Накл!$B$9:$B$550)-ROW(Накл!$B$9)+1),ROW(D110)-ROW(A106)+1)),"")," ",IFERROR(INDEX(Накл!$C$9:$C$550,SMALL(IF(Накл!$B$9:$B$550=A106,ROW(Накл!$B$9:$B$550)-ROW(Накл!$B$9)+1),ROW(D111)-ROW(A106)+1)),"")," ",IFERROR(INDEX(Накл!$C$9:$C$550,SMALL(IF(Накл!$B$9:$B$550=A106,ROW(Накл!$B$9:$B$550)-ROW(Накл!$B$9)+1),ROW(D112)-ROW(A106)+1)),"")," ",IFERROR(INDEX(Накл!$C$9:$C$550,SMALL(IF(Накл!$B$9:$B$550=A106,ROW(Накл!$B$9:$B$550)-ROW(Накл!$B$9)+1),ROW(D113)-ROW(A106)+1)),"")," ",IFERROR(INDEX(Накл!$C$9:$C$550,SMALL(IF(Накл!$B$9:$B$550=A106,ROW(Накл!$B$9:$B$550)-ROW(Накл!$B$9)+1),ROW(D114)-ROW(A106)+1)),"")," ",IFERROR(INDEX(Накл!$C$9:$C$550,SMALL(IF(Накл!$B$9:$B$550=A106,ROW(Накл!$B$9:$B$550)-ROW(Накл!$B$9)+1),ROW(D115)-ROW(A106)+1)),""))</f>
        <v xml:space="preserve">         </v>
      </c>
      <c r="E106" s="26" t="str">
        <f t="array" ref="E106">IF(LEN(D106)&lt;10,CONCATENATE(IFERROR(INDEX(Накл!$C$9:$C$550,SMALL(IF(Накл!$A$9:$A$550=VALUE(LEFT(A106,8)),ROW(Накл!$A$9:$A$550)-ROW(Накл!$A$9)+1),ROW(E106)-ROW(B106)+1)),"")," ",IFERROR(INDEX(Накл!$C$9:$C$550,SMALL(IF(Накл!$A$9:$A$550=VALUE(LEFT(A106,8)),ROW(Накл!$A$9:$A$550)-ROW(Накл!$A$9)+1),ROW(E107)-ROW(B106)+1)),"")," ",IFERROR(INDEX(Накл!$C$9:$C$550,SMALL(IF(Накл!$A$9:$A$550=VALUE(LEFT(A106,8)),ROW(Накл!$A$9:$A$550)-ROW(Накл!$A$9)+1),ROW(E108)-ROW(B106)+1)),"")," ",IFERROR(INDEX(Накл!$C$9:$C$550,SMALL(IF(Накл!$A$9:$A$550=VALUE(LEFT(A106,8)),ROW(Накл!$A$9:$A$550)-ROW(Накл!$A$9)+1),ROW(E109)-ROW(B106)+1)),"")),"")</f>
        <v xml:space="preserve">   </v>
      </c>
    </row>
    <row r="107" spans="1:5">
      <c r="A107" s="26" t="str">
        <f>IFERROR(CONCATENATE(VALUE(SUBSTITUTE(SUBSTITUTE(LEFT(Накл!G114,11),".",""),"-",""))," ",Накл!J114),"-")</f>
        <v>-</v>
      </c>
      <c r="B107" s="26" t="str">
        <f>IFERROR(VLOOKUP(VALUE(LEFT(A107,8)),Накл!$A$9:$D$550,4,0),"-")</f>
        <v>-</v>
      </c>
      <c r="C107" s="26">
        <f>Накл!J114</f>
        <v>0</v>
      </c>
      <c r="D107" s="33" t="str">
        <f t="array" ref="D107">CONCATENATE(IFERROR(INDEX(Накл!$C$9:$C$550,SMALL(IF(Накл!$B$9:$B$550=A107,ROW(Накл!$B$9:$B$550)-ROW(Накл!$B$9)+1),ROW(D107)-ROW(A107)+1)),"")," ",IFERROR(INDEX(Накл!$C$9:$C$550,SMALL(IF(Накл!$B$9:$B$550=A107,ROW(Накл!$B$9:$B$550)-ROW(Накл!$B$9)+1),ROW(D108)-ROW(A107)+1)),"")," ",IFERROR(INDEX(Накл!$C$9:$C$550,SMALL(IF(Накл!$B$9:$B$550=A107,ROW(Накл!$B$9:$B$550)-ROW(Накл!$B$9)+1),ROW(D109)-ROW(A107)+1)),"")," ",IFERROR(INDEX(Накл!$C$9:$C$550,SMALL(IF(Накл!$B$9:$B$550=A107,ROW(Накл!$B$9:$B$550)-ROW(Накл!$B$9)+1),ROW(D110)-ROW(A107)+1)),"")," ",IFERROR(INDEX(Накл!$C$9:$C$550,SMALL(IF(Накл!$B$9:$B$550=A107,ROW(Накл!$B$9:$B$550)-ROW(Накл!$B$9)+1),ROW(D111)-ROW(A107)+1)),"")," ",IFERROR(INDEX(Накл!$C$9:$C$550,SMALL(IF(Накл!$B$9:$B$550=A107,ROW(Накл!$B$9:$B$550)-ROW(Накл!$B$9)+1),ROW(D112)-ROW(A107)+1)),"")," ",IFERROR(INDEX(Накл!$C$9:$C$550,SMALL(IF(Накл!$B$9:$B$550=A107,ROW(Накл!$B$9:$B$550)-ROW(Накл!$B$9)+1),ROW(D113)-ROW(A107)+1)),"")," ",IFERROR(INDEX(Накл!$C$9:$C$550,SMALL(IF(Накл!$B$9:$B$550=A107,ROW(Накл!$B$9:$B$550)-ROW(Накл!$B$9)+1),ROW(D114)-ROW(A107)+1)),"")," ",IFERROR(INDEX(Накл!$C$9:$C$550,SMALL(IF(Накл!$B$9:$B$550=A107,ROW(Накл!$B$9:$B$550)-ROW(Накл!$B$9)+1),ROW(D115)-ROW(A107)+1)),"")," ",IFERROR(INDEX(Накл!$C$9:$C$550,SMALL(IF(Накл!$B$9:$B$550=A107,ROW(Накл!$B$9:$B$550)-ROW(Накл!$B$9)+1),ROW(D116)-ROW(A107)+1)),""))</f>
        <v xml:space="preserve">         </v>
      </c>
      <c r="E107" s="26" t="str">
        <f t="array" ref="E107">IF(LEN(D107)&lt;10,CONCATENATE(IFERROR(INDEX(Накл!$C$9:$C$550,SMALL(IF(Накл!$A$9:$A$550=VALUE(LEFT(A107,8)),ROW(Накл!$A$9:$A$550)-ROW(Накл!$A$9)+1),ROW(E107)-ROW(B107)+1)),"")," ",IFERROR(INDEX(Накл!$C$9:$C$550,SMALL(IF(Накл!$A$9:$A$550=VALUE(LEFT(A107,8)),ROW(Накл!$A$9:$A$550)-ROW(Накл!$A$9)+1),ROW(E108)-ROW(B107)+1)),"")," ",IFERROR(INDEX(Накл!$C$9:$C$550,SMALL(IF(Накл!$A$9:$A$550=VALUE(LEFT(A107,8)),ROW(Накл!$A$9:$A$550)-ROW(Накл!$A$9)+1),ROW(E109)-ROW(B107)+1)),"")," ",IFERROR(INDEX(Накл!$C$9:$C$550,SMALL(IF(Накл!$A$9:$A$550=VALUE(LEFT(A107,8)),ROW(Накл!$A$9:$A$550)-ROW(Накл!$A$9)+1),ROW(E110)-ROW(B107)+1)),"")),"")</f>
        <v xml:space="preserve">   </v>
      </c>
    </row>
    <row r="108" spans="1:5">
      <c r="A108" s="26" t="str">
        <f>IFERROR(CONCATENATE(VALUE(SUBSTITUTE(SUBSTITUTE(LEFT(Накл!G115,11),".",""),"-",""))," ",Накл!J115),"-")</f>
        <v>-</v>
      </c>
      <c r="B108" s="26" t="str">
        <f>IFERROR(VLOOKUP(VALUE(LEFT(A108,8)),Накл!$A$9:$D$550,4,0),"-")</f>
        <v>-</v>
      </c>
      <c r="C108" s="26">
        <f>Накл!J115</f>
        <v>0</v>
      </c>
      <c r="D108" s="33" t="str">
        <f t="array" ref="D108">CONCATENATE(IFERROR(INDEX(Накл!$C$9:$C$550,SMALL(IF(Накл!$B$9:$B$550=A108,ROW(Накл!$B$9:$B$550)-ROW(Накл!$B$9)+1),ROW(D108)-ROW(A108)+1)),"")," ",IFERROR(INDEX(Накл!$C$9:$C$550,SMALL(IF(Накл!$B$9:$B$550=A108,ROW(Накл!$B$9:$B$550)-ROW(Накл!$B$9)+1),ROW(D109)-ROW(A108)+1)),"")," ",IFERROR(INDEX(Накл!$C$9:$C$550,SMALL(IF(Накл!$B$9:$B$550=A108,ROW(Накл!$B$9:$B$550)-ROW(Накл!$B$9)+1),ROW(D110)-ROW(A108)+1)),"")," ",IFERROR(INDEX(Накл!$C$9:$C$550,SMALL(IF(Накл!$B$9:$B$550=A108,ROW(Накл!$B$9:$B$550)-ROW(Накл!$B$9)+1),ROW(D111)-ROW(A108)+1)),"")," ",IFERROR(INDEX(Накл!$C$9:$C$550,SMALL(IF(Накл!$B$9:$B$550=A108,ROW(Накл!$B$9:$B$550)-ROW(Накл!$B$9)+1),ROW(D112)-ROW(A108)+1)),"")," ",IFERROR(INDEX(Накл!$C$9:$C$550,SMALL(IF(Накл!$B$9:$B$550=A108,ROW(Накл!$B$9:$B$550)-ROW(Накл!$B$9)+1),ROW(D113)-ROW(A108)+1)),"")," ",IFERROR(INDEX(Накл!$C$9:$C$550,SMALL(IF(Накл!$B$9:$B$550=A108,ROW(Накл!$B$9:$B$550)-ROW(Накл!$B$9)+1),ROW(D114)-ROW(A108)+1)),"")," ",IFERROR(INDEX(Накл!$C$9:$C$550,SMALL(IF(Накл!$B$9:$B$550=A108,ROW(Накл!$B$9:$B$550)-ROW(Накл!$B$9)+1),ROW(D115)-ROW(A108)+1)),"")," ",IFERROR(INDEX(Накл!$C$9:$C$550,SMALL(IF(Накл!$B$9:$B$550=A108,ROW(Накл!$B$9:$B$550)-ROW(Накл!$B$9)+1),ROW(D116)-ROW(A108)+1)),"")," ",IFERROR(INDEX(Накл!$C$9:$C$550,SMALL(IF(Накл!$B$9:$B$550=A108,ROW(Накл!$B$9:$B$550)-ROW(Накл!$B$9)+1),ROW(D117)-ROW(A108)+1)),""))</f>
        <v xml:space="preserve">         </v>
      </c>
      <c r="E108" s="26" t="str">
        <f t="array" ref="E108">IF(LEN(D108)&lt;10,CONCATENATE(IFERROR(INDEX(Накл!$C$9:$C$550,SMALL(IF(Накл!$A$9:$A$550=VALUE(LEFT(A108,8)),ROW(Накл!$A$9:$A$550)-ROW(Накл!$A$9)+1),ROW(E108)-ROW(B108)+1)),"")," ",IFERROR(INDEX(Накл!$C$9:$C$550,SMALL(IF(Накл!$A$9:$A$550=VALUE(LEFT(A108,8)),ROW(Накл!$A$9:$A$550)-ROW(Накл!$A$9)+1),ROW(E109)-ROW(B108)+1)),"")," ",IFERROR(INDEX(Накл!$C$9:$C$550,SMALL(IF(Накл!$A$9:$A$550=VALUE(LEFT(A108,8)),ROW(Накл!$A$9:$A$550)-ROW(Накл!$A$9)+1),ROW(E110)-ROW(B108)+1)),"")," ",IFERROR(INDEX(Накл!$C$9:$C$550,SMALL(IF(Накл!$A$9:$A$550=VALUE(LEFT(A108,8)),ROW(Накл!$A$9:$A$550)-ROW(Накл!$A$9)+1),ROW(E111)-ROW(B108)+1)),"")),"")</f>
        <v xml:space="preserve">   </v>
      </c>
    </row>
    <row r="109" spans="1:5">
      <c r="A109" s="26" t="str">
        <f>IFERROR(CONCATENATE(VALUE(SUBSTITUTE(SUBSTITUTE(LEFT(Накл!G116,11),".",""),"-",""))," ",Накл!J116),"-")</f>
        <v>-</v>
      </c>
      <c r="B109" s="26" t="str">
        <f>IFERROR(VLOOKUP(VALUE(LEFT(A109,8)),Накл!$A$9:$D$550,4,0),"-")</f>
        <v>-</v>
      </c>
      <c r="C109" s="26">
        <f>Накл!J116</f>
        <v>0</v>
      </c>
      <c r="D109" s="33" t="str">
        <f t="array" ref="D109">CONCATENATE(IFERROR(INDEX(Накл!$C$9:$C$550,SMALL(IF(Накл!$B$9:$B$550=A109,ROW(Накл!$B$9:$B$550)-ROW(Накл!$B$9)+1),ROW(D109)-ROW(A109)+1)),"")," ",IFERROR(INDEX(Накл!$C$9:$C$550,SMALL(IF(Накл!$B$9:$B$550=A109,ROW(Накл!$B$9:$B$550)-ROW(Накл!$B$9)+1),ROW(D110)-ROW(A109)+1)),"")," ",IFERROR(INDEX(Накл!$C$9:$C$550,SMALL(IF(Накл!$B$9:$B$550=A109,ROW(Накл!$B$9:$B$550)-ROW(Накл!$B$9)+1),ROW(D111)-ROW(A109)+1)),"")," ",IFERROR(INDEX(Накл!$C$9:$C$550,SMALL(IF(Накл!$B$9:$B$550=A109,ROW(Накл!$B$9:$B$550)-ROW(Накл!$B$9)+1),ROW(D112)-ROW(A109)+1)),"")," ",IFERROR(INDEX(Накл!$C$9:$C$550,SMALL(IF(Накл!$B$9:$B$550=A109,ROW(Накл!$B$9:$B$550)-ROW(Накл!$B$9)+1),ROW(D113)-ROW(A109)+1)),"")," ",IFERROR(INDEX(Накл!$C$9:$C$550,SMALL(IF(Накл!$B$9:$B$550=A109,ROW(Накл!$B$9:$B$550)-ROW(Накл!$B$9)+1),ROW(D114)-ROW(A109)+1)),"")," ",IFERROR(INDEX(Накл!$C$9:$C$550,SMALL(IF(Накл!$B$9:$B$550=A109,ROW(Накл!$B$9:$B$550)-ROW(Накл!$B$9)+1),ROW(D115)-ROW(A109)+1)),"")," ",IFERROR(INDEX(Накл!$C$9:$C$550,SMALL(IF(Накл!$B$9:$B$550=A109,ROW(Накл!$B$9:$B$550)-ROW(Накл!$B$9)+1),ROW(D116)-ROW(A109)+1)),"")," ",IFERROR(INDEX(Накл!$C$9:$C$550,SMALL(IF(Накл!$B$9:$B$550=A109,ROW(Накл!$B$9:$B$550)-ROW(Накл!$B$9)+1),ROW(D117)-ROW(A109)+1)),"")," ",IFERROR(INDEX(Накл!$C$9:$C$550,SMALL(IF(Накл!$B$9:$B$550=A109,ROW(Накл!$B$9:$B$550)-ROW(Накл!$B$9)+1),ROW(D118)-ROW(A109)+1)),""))</f>
        <v xml:space="preserve">         </v>
      </c>
      <c r="E109" s="26" t="str">
        <f t="array" ref="E109">IF(LEN(D109)&lt;10,CONCATENATE(IFERROR(INDEX(Накл!$C$9:$C$550,SMALL(IF(Накл!$A$9:$A$550=VALUE(LEFT(A109,8)),ROW(Накл!$A$9:$A$550)-ROW(Накл!$A$9)+1),ROW(E109)-ROW(B109)+1)),"")," ",IFERROR(INDEX(Накл!$C$9:$C$550,SMALL(IF(Накл!$A$9:$A$550=VALUE(LEFT(A109,8)),ROW(Накл!$A$9:$A$550)-ROW(Накл!$A$9)+1),ROW(E110)-ROW(B109)+1)),"")," ",IFERROR(INDEX(Накл!$C$9:$C$550,SMALL(IF(Накл!$A$9:$A$550=VALUE(LEFT(A109,8)),ROW(Накл!$A$9:$A$550)-ROW(Накл!$A$9)+1),ROW(E111)-ROW(B109)+1)),"")," ",IFERROR(INDEX(Накл!$C$9:$C$550,SMALL(IF(Накл!$A$9:$A$550=VALUE(LEFT(A109,8)),ROW(Накл!$A$9:$A$550)-ROW(Накл!$A$9)+1),ROW(E112)-ROW(B109)+1)),"")),"")</f>
        <v xml:space="preserve">   </v>
      </c>
    </row>
    <row r="110" spans="1:5">
      <c r="A110" s="26" t="str">
        <f>IFERROR(CONCATENATE(VALUE(SUBSTITUTE(SUBSTITUTE(LEFT(Накл!G117,11),".",""),"-",""))," ",Накл!J117),"-")</f>
        <v>-</v>
      </c>
      <c r="B110" s="26" t="str">
        <f>IFERROR(VLOOKUP(VALUE(LEFT(A110,8)),Накл!$A$9:$D$550,4,0),"-")</f>
        <v>-</v>
      </c>
      <c r="C110" s="26">
        <f>Накл!J117</f>
        <v>0</v>
      </c>
      <c r="D110" s="33" t="str">
        <f t="array" ref="D110">CONCATENATE(IFERROR(INDEX(Накл!$C$9:$C$550,SMALL(IF(Накл!$B$9:$B$550=A110,ROW(Накл!$B$9:$B$550)-ROW(Накл!$B$9)+1),ROW(D110)-ROW(A110)+1)),"")," ",IFERROR(INDEX(Накл!$C$9:$C$550,SMALL(IF(Накл!$B$9:$B$550=A110,ROW(Накл!$B$9:$B$550)-ROW(Накл!$B$9)+1),ROW(D111)-ROW(A110)+1)),"")," ",IFERROR(INDEX(Накл!$C$9:$C$550,SMALL(IF(Накл!$B$9:$B$550=A110,ROW(Накл!$B$9:$B$550)-ROW(Накл!$B$9)+1),ROW(D112)-ROW(A110)+1)),"")," ",IFERROR(INDEX(Накл!$C$9:$C$550,SMALL(IF(Накл!$B$9:$B$550=A110,ROW(Накл!$B$9:$B$550)-ROW(Накл!$B$9)+1),ROW(D113)-ROW(A110)+1)),"")," ",IFERROR(INDEX(Накл!$C$9:$C$550,SMALL(IF(Накл!$B$9:$B$550=A110,ROW(Накл!$B$9:$B$550)-ROW(Накл!$B$9)+1),ROW(D114)-ROW(A110)+1)),"")," ",IFERROR(INDEX(Накл!$C$9:$C$550,SMALL(IF(Накл!$B$9:$B$550=A110,ROW(Накл!$B$9:$B$550)-ROW(Накл!$B$9)+1),ROW(D115)-ROW(A110)+1)),"")," ",IFERROR(INDEX(Накл!$C$9:$C$550,SMALL(IF(Накл!$B$9:$B$550=A110,ROW(Накл!$B$9:$B$550)-ROW(Накл!$B$9)+1),ROW(D116)-ROW(A110)+1)),"")," ",IFERROR(INDEX(Накл!$C$9:$C$550,SMALL(IF(Накл!$B$9:$B$550=A110,ROW(Накл!$B$9:$B$550)-ROW(Накл!$B$9)+1),ROW(D117)-ROW(A110)+1)),"")," ",IFERROR(INDEX(Накл!$C$9:$C$550,SMALL(IF(Накл!$B$9:$B$550=A110,ROW(Накл!$B$9:$B$550)-ROW(Накл!$B$9)+1),ROW(D118)-ROW(A110)+1)),"")," ",IFERROR(INDEX(Накл!$C$9:$C$550,SMALL(IF(Накл!$B$9:$B$550=A110,ROW(Накл!$B$9:$B$550)-ROW(Накл!$B$9)+1),ROW(D119)-ROW(A110)+1)),""))</f>
        <v xml:space="preserve">         </v>
      </c>
      <c r="E110" s="26" t="str">
        <f t="array" ref="E110">IF(LEN(D110)&lt;10,CONCATENATE(IFERROR(INDEX(Накл!$C$9:$C$550,SMALL(IF(Накл!$A$9:$A$550=VALUE(LEFT(A110,8)),ROW(Накл!$A$9:$A$550)-ROW(Накл!$A$9)+1),ROW(E110)-ROW(B110)+1)),"")," ",IFERROR(INDEX(Накл!$C$9:$C$550,SMALL(IF(Накл!$A$9:$A$550=VALUE(LEFT(A110,8)),ROW(Накл!$A$9:$A$550)-ROW(Накл!$A$9)+1),ROW(E111)-ROW(B110)+1)),"")," ",IFERROR(INDEX(Накл!$C$9:$C$550,SMALL(IF(Накл!$A$9:$A$550=VALUE(LEFT(A110,8)),ROW(Накл!$A$9:$A$550)-ROW(Накл!$A$9)+1),ROW(E112)-ROW(B110)+1)),"")," ",IFERROR(INDEX(Накл!$C$9:$C$550,SMALL(IF(Накл!$A$9:$A$550=VALUE(LEFT(A110,8)),ROW(Накл!$A$9:$A$550)-ROW(Накл!$A$9)+1),ROW(E113)-ROW(B110)+1)),"")),"")</f>
        <v xml:space="preserve">   </v>
      </c>
    </row>
    <row r="111" spans="1:5">
      <c r="A111" s="26" t="str">
        <f>IFERROR(CONCATENATE(VALUE(SUBSTITUTE(SUBSTITUTE(LEFT(Накл!G118,11),".",""),"-",""))," ",Накл!J118),"-")</f>
        <v>-</v>
      </c>
      <c r="B111" s="26" t="str">
        <f>IFERROR(VLOOKUP(VALUE(LEFT(A111,8)),Накл!$A$9:$D$550,4,0),"-")</f>
        <v>-</v>
      </c>
      <c r="C111" s="26">
        <f>Накл!J118</f>
        <v>0</v>
      </c>
      <c r="D111" s="33" t="str">
        <f t="array" ref="D111">CONCATENATE(IFERROR(INDEX(Накл!$C$9:$C$550,SMALL(IF(Накл!$B$9:$B$550=A111,ROW(Накл!$B$9:$B$550)-ROW(Накл!$B$9)+1),ROW(D111)-ROW(A111)+1)),"")," ",IFERROR(INDEX(Накл!$C$9:$C$550,SMALL(IF(Накл!$B$9:$B$550=A111,ROW(Накл!$B$9:$B$550)-ROW(Накл!$B$9)+1),ROW(D112)-ROW(A111)+1)),"")," ",IFERROR(INDEX(Накл!$C$9:$C$550,SMALL(IF(Накл!$B$9:$B$550=A111,ROW(Накл!$B$9:$B$550)-ROW(Накл!$B$9)+1),ROW(D113)-ROW(A111)+1)),"")," ",IFERROR(INDEX(Накл!$C$9:$C$550,SMALL(IF(Накл!$B$9:$B$550=A111,ROW(Накл!$B$9:$B$550)-ROW(Накл!$B$9)+1),ROW(D114)-ROW(A111)+1)),"")," ",IFERROR(INDEX(Накл!$C$9:$C$550,SMALL(IF(Накл!$B$9:$B$550=A111,ROW(Накл!$B$9:$B$550)-ROW(Накл!$B$9)+1),ROW(D115)-ROW(A111)+1)),"")," ",IFERROR(INDEX(Накл!$C$9:$C$550,SMALL(IF(Накл!$B$9:$B$550=A111,ROW(Накл!$B$9:$B$550)-ROW(Накл!$B$9)+1),ROW(D116)-ROW(A111)+1)),"")," ",IFERROR(INDEX(Накл!$C$9:$C$550,SMALL(IF(Накл!$B$9:$B$550=A111,ROW(Накл!$B$9:$B$550)-ROW(Накл!$B$9)+1),ROW(D117)-ROW(A111)+1)),"")," ",IFERROR(INDEX(Накл!$C$9:$C$550,SMALL(IF(Накл!$B$9:$B$550=A111,ROW(Накл!$B$9:$B$550)-ROW(Накл!$B$9)+1),ROW(D118)-ROW(A111)+1)),"")," ",IFERROR(INDEX(Накл!$C$9:$C$550,SMALL(IF(Накл!$B$9:$B$550=A111,ROW(Накл!$B$9:$B$550)-ROW(Накл!$B$9)+1),ROW(D119)-ROW(A111)+1)),"")," ",IFERROR(INDEX(Накл!$C$9:$C$550,SMALL(IF(Накл!$B$9:$B$550=A111,ROW(Накл!$B$9:$B$550)-ROW(Накл!$B$9)+1),ROW(D120)-ROW(A111)+1)),""))</f>
        <v xml:space="preserve">         </v>
      </c>
      <c r="E111" s="26" t="str">
        <f t="array" ref="E111">IF(LEN(D111)&lt;10,CONCATENATE(IFERROR(INDEX(Накл!$C$9:$C$550,SMALL(IF(Накл!$A$9:$A$550=VALUE(LEFT(A111,8)),ROW(Накл!$A$9:$A$550)-ROW(Накл!$A$9)+1),ROW(E111)-ROW(B111)+1)),"")," ",IFERROR(INDEX(Накл!$C$9:$C$550,SMALL(IF(Накл!$A$9:$A$550=VALUE(LEFT(A111,8)),ROW(Накл!$A$9:$A$550)-ROW(Накл!$A$9)+1),ROW(E112)-ROW(B111)+1)),"")," ",IFERROR(INDEX(Накл!$C$9:$C$550,SMALL(IF(Накл!$A$9:$A$550=VALUE(LEFT(A111,8)),ROW(Накл!$A$9:$A$550)-ROW(Накл!$A$9)+1),ROW(E113)-ROW(B111)+1)),"")," ",IFERROR(INDEX(Накл!$C$9:$C$550,SMALL(IF(Накл!$A$9:$A$550=VALUE(LEFT(A111,8)),ROW(Накл!$A$9:$A$550)-ROW(Накл!$A$9)+1),ROW(E114)-ROW(B111)+1)),"")),"")</f>
        <v xml:space="preserve">   </v>
      </c>
    </row>
    <row r="112" spans="1:5">
      <c r="A112" s="26" t="str">
        <f>IFERROR(CONCATENATE(VALUE(SUBSTITUTE(SUBSTITUTE(LEFT(Накл!G119,11),".",""),"-",""))," ",Накл!J119),"-")</f>
        <v>-</v>
      </c>
      <c r="B112" s="26" t="str">
        <f>IFERROR(VLOOKUP(VALUE(LEFT(A112,8)),Накл!$A$9:$D$550,4,0),"-")</f>
        <v>-</v>
      </c>
      <c r="C112" s="26">
        <f>Накл!J119</f>
        <v>0</v>
      </c>
      <c r="D112" s="33" t="str">
        <f t="array" ref="D112">CONCATENATE(IFERROR(INDEX(Накл!$C$9:$C$550,SMALL(IF(Накл!$B$9:$B$550=A112,ROW(Накл!$B$9:$B$550)-ROW(Накл!$B$9)+1),ROW(D112)-ROW(A112)+1)),"")," ",IFERROR(INDEX(Накл!$C$9:$C$550,SMALL(IF(Накл!$B$9:$B$550=A112,ROW(Накл!$B$9:$B$550)-ROW(Накл!$B$9)+1),ROW(D113)-ROW(A112)+1)),"")," ",IFERROR(INDEX(Накл!$C$9:$C$550,SMALL(IF(Накл!$B$9:$B$550=A112,ROW(Накл!$B$9:$B$550)-ROW(Накл!$B$9)+1),ROW(D114)-ROW(A112)+1)),"")," ",IFERROR(INDEX(Накл!$C$9:$C$550,SMALL(IF(Накл!$B$9:$B$550=A112,ROW(Накл!$B$9:$B$550)-ROW(Накл!$B$9)+1),ROW(D115)-ROW(A112)+1)),"")," ",IFERROR(INDEX(Накл!$C$9:$C$550,SMALL(IF(Накл!$B$9:$B$550=A112,ROW(Накл!$B$9:$B$550)-ROW(Накл!$B$9)+1),ROW(D116)-ROW(A112)+1)),"")," ",IFERROR(INDEX(Накл!$C$9:$C$550,SMALL(IF(Накл!$B$9:$B$550=A112,ROW(Накл!$B$9:$B$550)-ROW(Накл!$B$9)+1),ROW(D117)-ROW(A112)+1)),"")," ",IFERROR(INDEX(Накл!$C$9:$C$550,SMALL(IF(Накл!$B$9:$B$550=A112,ROW(Накл!$B$9:$B$550)-ROW(Накл!$B$9)+1),ROW(D118)-ROW(A112)+1)),"")," ",IFERROR(INDEX(Накл!$C$9:$C$550,SMALL(IF(Накл!$B$9:$B$550=A112,ROW(Накл!$B$9:$B$550)-ROW(Накл!$B$9)+1),ROW(D119)-ROW(A112)+1)),"")," ",IFERROR(INDEX(Накл!$C$9:$C$550,SMALL(IF(Накл!$B$9:$B$550=A112,ROW(Накл!$B$9:$B$550)-ROW(Накл!$B$9)+1),ROW(D120)-ROW(A112)+1)),"")," ",IFERROR(INDEX(Накл!$C$9:$C$550,SMALL(IF(Накл!$B$9:$B$550=A112,ROW(Накл!$B$9:$B$550)-ROW(Накл!$B$9)+1),ROW(D121)-ROW(A112)+1)),""))</f>
        <v xml:space="preserve">         </v>
      </c>
      <c r="E112" s="26" t="str">
        <f t="array" ref="E112">IF(LEN(D112)&lt;10,CONCATENATE(IFERROR(INDEX(Накл!$C$9:$C$550,SMALL(IF(Накл!$A$9:$A$550=VALUE(LEFT(A112,8)),ROW(Накл!$A$9:$A$550)-ROW(Накл!$A$9)+1),ROW(E112)-ROW(B112)+1)),"")," ",IFERROR(INDEX(Накл!$C$9:$C$550,SMALL(IF(Накл!$A$9:$A$550=VALUE(LEFT(A112,8)),ROW(Накл!$A$9:$A$550)-ROW(Накл!$A$9)+1),ROW(E113)-ROW(B112)+1)),"")," ",IFERROR(INDEX(Накл!$C$9:$C$550,SMALL(IF(Накл!$A$9:$A$550=VALUE(LEFT(A112,8)),ROW(Накл!$A$9:$A$550)-ROW(Накл!$A$9)+1),ROW(E114)-ROW(B112)+1)),"")," ",IFERROR(INDEX(Накл!$C$9:$C$550,SMALL(IF(Накл!$A$9:$A$550=VALUE(LEFT(A112,8)),ROW(Накл!$A$9:$A$550)-ROW(Накл!$A$9)+1),ROW(E115)-ROW(B112)+1)),"")),"")</f>
        <v xml:space="preserve">   </v>
      </c>
    </row>
    <row r="113" spans="1:5">
      <c r="A113" s="26" t="str">
        <f>IFERROR(CONCATENATE(VALUE(SUBSTITUTE(SUBSTITUTE(LEFT(Накл!G120,11),".",""),"-",""))," ",Накл!J120),"-")</f>
        <v>-</v>
      </c>
      <c r="B113" s="26" t="str">
        <f>IFERROR(VLOOKUP(VALUE(LEFT(A113,8)),Накл!$A$9:$D$550,4,0),"-")</f>
        <v>-</v>
      </c>
      <c r="C113" s="26">
        <f>Накл!J120</f>
        <v>0</v>
      </c>
      <c r="D113" s="33" t="str">
        <f t="array" ref="D113">CONCATENATE(IFERROR(INDEX(Накл!$C$9:$C$550,SMALL(IF(Накл!$B$9:$B$550=A113,ROW(Накл!$B$9:$B$550)-ROW(Накл!$B$9)+1),ROW(D113)-ROW(A113)+1)),"")," ",IFERROR(INDEX(Накл!$C$9:$C$550,SMALL(IF(Накл!$B$9:$B$550=A113,ROW(Накл!$B$9:$B$550)-ROW(Накл!$B$9)+1),ROW(D114)-ROW(A113)+1)),"")," ",IFERROR(INDEX(Накл!$C$9:$C$550,SMALL(IF(Накл!$B$9:$B$550=A113,ROW(Накл!$B$9:$B$550)-ROW(Накл!$B$9)+1),ROW(D115)-ROW(A113)+1)),"")," ",IFERROR(INDEX(Накл!$C$9:$C$550,SMALL(IF(Накл!$B$9:$B$550=A113,ROW(Накл!$B$9:$B$550)-ROW(Накл!$B$9)+1),ROW(D116)-ROW(A113)+1)),"")," ",IFERROR(INDEX(Накл!$C$9:$C$550,SMALL(IF(Накл!$B$9:$B$550=A113,ROW(Накл!$B$9:$B$550)-ROW(Накл!$B$9)+1),ROW(D117)-ROW(A113)+1)),"")," ",IFERROR(INDEX(Накл!$C$9:$C$550,SMALL(IF(Накл!$B$9:$B$550=A113,ROW(Накл!$B$9:$B$550)-ROW(Накл!$B$9)+1),ROW(D118)-ROW(A113)+1)),"")," ",IFERROR(INDEX(Накл!$C$9:$C$550,SMALL(IF(Накл!$B$9:$B$550=A113,ROW(Накл!$B$9:$B$550)-ROW(Накл!$B$9)+1),ROW(D119)-ROW(A113)+1)),"")," ",IFERROR(INDEX(Накл!$C$9:$C$550,SMALL(IF(Накл!$B$9:$B$550=A113,ROW(Накл!$B$9:$B$550)-ROW(Накл!$B$9)+1),ROW(D120)-ROW(A113)+1)),"")," ",IFERROR(INDEX(Накл!$C$9:$C$550,SMALL(IF(Накл!$B$9:$B$550=A113,ROW(Накл!$B$9:$B$550)-ROW(Накл!$B$9)+1),ROW(D121)-ROW(A113)+1)),"")," ",IFERROR(INDEX(Накл!$C$9:$C$550,SMALL(IF(Накл!$B$9:$B$550=A113,ROW(Накл!$B$9:$B$550)-ROW(Накл!$B$9)+1),ROW(D122)-ROW(A113)+1)),""))</f>
        <v xml:space="preserve">         </v>
      </c>
      <c r="E113" s="26" t="str">
        <f t="array" ref="E113">IF(LEN(D113)&lt;10,CONCATENATE(IFERROR(INDEX(Накл!$C$9:$C$550,SMALL(IF(Накл!$A$9:$A$550=VALUE(LEFT(A113,8)),ROW(Накл!$A$9:$A$550)-ROW(Накл!$A$9)+1),ROW(E113)-ROW(B113)+1)),"")," ",IFERROR(INDEX(Накл!$C$9:$C$550,SMALL(IF(Накл!$A$9:$A$550=VALUE(LEFT(A113,8)),ROW(Накл!$A$9:$A$550)-ROW(Накл!$A$9)+1),ROW(E114)-ROW(B113)+1)),"")," ",IFERROR(INDEX(Накл!$C$9:$C$550,SMALL(IF(Накл!$A$9:$A$550=VALUE(LEFT(A113,8)),ROW(Накл!$A$9:$A$550)-ROW(Накл!$A$9)+1),ROW(E115)-ROW(B113)+1)),"")," ",IFERROR(INDEX(Накл!$C$9:$C$550,SMALL(IF(Накл!$A$9:$A$550=VALUE(LEFT(A113,8)),ROW(Накл!$A$9:$A$550)-ROW(Накл!$A$9)+1),ROW(E116)-ROW(B113)+1)),"")),"")</f>
        <v xml:space="preserve">   </v>
      </c>
    </row>
    <row r="114" spans="1:5">
      <c r="A114" s="26" t="str">
        <f>IFERROR(CONCATENATE(VALUE(SUBSTITUTE(SUBSTITUTE(LEFT(Накл!G121,11),".",""),"-",""))," ",Накл!J121),"-")</f>
        <v>-</v>
      </c>
      <c r="B114" s="26" t="str">
        <f>IFERROR(VLOOKUP(VALUE(LEFT(A114,8)),Накл!$A$9:$D$550,4,0),"-")</f>
        <v>-</v>
      </c>
      <c r="C114" s="26">
        <f>Накл!J121</f>
        <v>0</v>
      </c>
      <c r="D114" s="33" t="str">
        <f t="array" ref="D114">CONCATENATE(IFERROR(INDEX(Накл!$C$9:$C$550,SMALL(IF(Накл!$B$9:$B$550=A114,ROW(Накл!$B$9:$B$550)-ROW(Накл!$B$9)+1),ROW(D114)-ROW(A114)+1)),"")," ",IFERROR(INDEX(Накл!$C$9:$C$550,SMALL(IF(Накл!$B$9:$B$550=A114,ROW(Накл!$B$9:$B$550)-ROW(Накл!$B$9)+1),ROW(D115)-ROW(A114)+1)),"")," ",IFERROR(INDEX(Накл!$C$9:$C$550,SMALL(IF(Накл!$B$9:$B$550=A114,ROW(Накл!$B$9:$B$550)-ROW(Накл!$B$9)+1),ROW(D116)-ROW(A114)+1)),"")," ",IFERROR(INDEX(Накл!$C$9:$C$550,SMALL(IF(Накл!$B$9:$B$550=A114,ROW(Накл!$B$9:$B$550)-ROW(Накл!$B$9)+1),ROW(D117)-ROW(A114)+1)),"")," ",IFERROR(INDEX(Накл!$C$9:$C$550,SMALL(IF(Накл!$B$9:$B$550=A114,ROW(Накл!$B$9:$B$550)-ROW(Накл!$B$9)+1),ROW(D118)-ROW(A114)+1)),"")," ",IFERROR(INDEX(Накл!$C$9:$C$550,SMALL(IF(Накл!$B$9:$B$550=A114,ROW(Накл!$B$9:$B$550)-ROW(Накл!$B$9)+1),ROW(D119)-ROW(A114)+1)),"")," ",IFERROR(INDEX(Накл!$C$9:$C$550,SMALL(IF(Накл!$B$9:$B$550=A114,ROW(Накл!$B$9:$B$550)-ROW(Накл!$B$9)+1),ROW(D120)-ROW(A114)+1)),"")," ",IFERROR(INDEX(Накл!$C$9:$C$550,SMALL(IF(Накл!$B$9:$B$550=A114,ROW(Накл!$B$9:$B$550)-ROW(Накл!$B$9)+1),ROW(D121)-ROW(A114)+1)),"")," ",IFERROR(INDEX(Накл!$C$9:$C$550,SMALL(IF(Накл!$B$9:$B$550=A114,ROW(Накл!$B$9:$B$550)-ROW(Накл!$B$9)+1),ROW(D122)-ROW(A114)+1)),"")," ",IFERROR(INDEX(Накл!$C$9:$C$550,SMALL(IF(Накл!$B$9:$B$550=A114,ROW(Накл!$B$9:$B$550)-ROW(Накл!$B$9)+1),ROW(D123)-ROW(A114)+1)),""))</f>
        <v xml:space="preserve">         </v>
      </c>
      <c r="E114" s="26" t="str">
        <f t="array" ref="E114">IF(LEN(D114)&lt;10,CONCATENATE(IFERROR(INDEX(Накл!$C$9:$C$550,SMALL(IF(Накл!$A$9:$A$550=VALUE(LEFT(A114,8)),ROW(Накл!$A$9:$A$550)-ROW(Накл!$A$9)+1),ROW(E114)-ROW(B114)+1)),"")," ",IFERROR(INDEX(Накл!$C$9:$C$550,SMALL(IF(Накл!$A$9:$A$550=VALUE(LEFT(A114,8)),ROW(Накл!$A$9:$A$550)-ROW(Накл!$A$9)+1),ROW(E115)-ROW(B114)+1)),"")," ",IFERROR(INDEX(Накл!$C$9:$C$550,SMALL(IF(Накл!$A$9:$A$550=VALUE(LEFT(A114,8)),ROW(Накл!$A$9:$A$550)-ROW(Накл!$A$9)+1),ROW(E116)-ROW(B114)+1)),"")," ",IFERROR(INDEX(Накл!$C$9:$C$550,SMALL(IF(Накл!$A$9:$A$550=VALUE(LEFT(A114,8)),ROW(Накл!$A$9:$A$550)-ROW(Накл!$A$9)+1),ROW(E117)-ROW(B114)+1)),"")),"")</f>
        <v xml:space="preserve">   </v>
      </c>
    </row>
    <row r="115" spans="1:5">
      <c r="A115" s="26" t="str">
        <f>IFERROR(CONCATENATE(VALUE(SUBSTITUTE(SUBSTITUTE(LEFT(Накл!G122,11),".",""),"-",""))," ",Накл!J122),"-")</f>
        <v>-</v>
      </c>
      <c r="B115" s="26" t="str">
        <f>IFERROR(VLOOKUP(VALUE(LEFT(A115,8)),Накл!$A$9:$D$550,4,0),"-")</f>
        <v>-</v>
      </c>
      <c r="C115" s="26">
        <f>Накл!J122</f>
        <v>0</v>
      </c>
      <c r="D115" s="33" t="str">
        <f t="array" ref="D115">CONCATENATE(IFERROR(INDEX(Накл!$C$9:$C$550,SMALL(IF(Накл!$B$9:$B$550=A115,ROW(Накл!$B$9:$B$550)-ROW(Накл!$B$9)+1),ROW(D115)-ROW(A115)+1)),"")," ",IFERROR(INDEX(Накл!$C$9:$C$550,SMALL(IF(Накл!$B$9:$B$550=A115,ROW(Накл!$B$9:$B$550)-ROW(Накл!$B$9)+1),ROW(D116)-ROW(A115)+1)),"")," ",IFERROR(INDEX(Накл!$C$9:$C$550,SMALL(IF(Накл!$B$9:$B$550=A115,ROW(Накл!$B$9:$B$550)-ROW(Накл!$B$9)+1),ROW(D117)-ROW(A115)+1)),"")," ",IFERROR(INDEX(Накл!$C$9:$C$550,SMALL(IF(Накл!$B$9:$B$550=A115,ROW(Накл!$B$9:$B$550)-ROW(Накл!$B$9)+1),ROW(D118)-ROW(A115)+1)),"")," ",IFERROR(INDEX(Накл!$C$9:$C$550,SMALL(IF(Накл!$B$9:$B$550=A115,ROW(Накл!$B$9:$B$550)-ROW(Накл!$B$9)+1),ROW(D119)-ROW(A115)+1)),"")," ",IFERROR(INDEX(Накл!$C$9:$C$550,SMALL(IF(Накл!$B$9:$B$550=A115,ROW(Накл!$B$9:$B$550)-ROW(Накл!$B$9)+1),ROW(D120)-ROW(A115)+1)),"")," ",IFERROR(INDEX(Накл!$C$9:$C$550,SMALL(IF(Накл!$B$9:$B$550=A115,ROW(Накл!$B$9:$B$550)-ROW(Накл!$B$9)+1),ROW(D121)-ROW(A115)+1)),"")," ",IFERROR(INDEX(Накл!$C$9:$C$550,SMALL(IF(Накл!$B$9:$B$550=A115,ROW(Накл!$B$9:$B$550)-ROW(Накл!$B$9)+1),ROW(D122)-ROW(A115)+1)),"")," ",IFERROR(INDEX(Накл!$C$9:$C$550,SMALL(IF(Накл!$B$9:$B$550=A115,ROW(Накл!$B$9:$B$550)-ROW(Накл!$B$9)+1),ROW(D123)-ROW(A115)+1)),"")," ",IFERROR(INDEX(Накл!$C$9:$C$550,SMALL(IF(Накл!$B$9:$B$550=A115,ROW(Накл!$B$9:$B$550)-ROW(Накл!$B$9)+1),ROW(D124)-ROW(A115)+1)),""))</f>
        <v xml:space="preserve">         </v>
      </c>
      <c r="E115" s="26" t="str">
        <f t="array" ref="E115">IF(LEN(D115)&lt;10,CONCATENATE(IFERROR(INDEX(Накл!$C$9:$C$550,SMALL(IF(Накл!$A$9:$A$550=VALUE(LEFT(A115,8)),ROW(Накл!$A$9:$A$550)-ROW(Накл!$A$9)+1),ROW(E115)-ROW(B115)+1)),"")," ",IFERROR(INDEX(Накл!$C$9:$C$550,SMALL(IF(Накл!$A$9:$A$550=VALUE(LEFT(A115,8)),ROW(Накл!$A$9:$A$550)-ROW(Накл!$A$9)+1),ROW(E116)-ROW(B115)+1)),"")," ",IFERROR(INDEX(Накл!$C$9:$C$550,SMALL(IF(Накл!$A$9:$A$550=VALUE(LEFT(A115,8)),ROW(Накл!$A$9:$A$550)-ROW(Накл!$A$9)+1),ROW(E117)-ROW(B115)+1)),"")," ",IFERROR(INDEX(Накл!$C$9:$C$550,SMALL(IF(Накл!$A$9:$A$550=VALUE(LEFT(A115,8)),ROW(Накл!$A$9:$A$550)-ROW(Накл!$A$9)+1),ROW(E118)-ROW(B115)+1)),"")),"")</f>
        <v xml:space="preserve">   </v>
      </c>
    </row>
    <row r="116" spans="1:5">
      <c r="A116" s="26" t="str">
        <f>IFERROR(CONCATENATE(VALUE(SUBSTITUTE(SUBSTITUTE(LEFT(Накл!G123,11),".",""),"-",""))," ",Накл!J123),"-")</f>
        <v>-</v>
      </c>
      <c r="B116" s="26" t="str">
        <f>IFERROR(VLOOKUP(VALUE(LEFT(A116,8)),Накл!$A$9:$D$550,4,0),"-")</f>
        <v>-</v>
      </c>
      <c r="C116" s="26">
        <f>Накл!J123</f>
        <v>0</v>
      </c>
      <c r="D116" s="33" t="str">
        <f t="array" ref="D116">CONCATENATE(IFERROR(INDEX(Накл!$C$9:$C$550,SMALL(IF(Накл!$B$9:$B$550=A116,ROW(Накл!$B$9:$B$550)-ROW(Накл!$B$9)+1),ROW(D116)-ROW(A116)+1)),"")," ",IFERROR(INDEX(Накл!$C$9:$C$550,SMALL(IF(Накл!$B$9:$B$550=A116,ROW(Накл!$B$9:$B$550)-ROW(Накл!$B$9)+1),ROW(D117)-ROW(A116)+1)),"")," ",IFERROR(INDEX(Накл!$C$9:$C$550,SMALL(IF(Накл!$B$9:$B$550=A116,ROW(Накл!$B$9:$B$550)-ROW(Накл!$B$9)+1),ROW(D118)-ROW(A116)+1)),"")," ",IFERROR(INDEX(Накл!$C$9:$C$550,SMALL(IF(Накл!$B$9:$B$550=A116,ROW(Накл!$B$9:$B$550)-ROW(Накл!$B$9)+1),ROW(D119)-ROW(A116)+1)),"")," ",IFERROR(INDEX(Накл!$C$9:$C$550,SMALL(IF(Накл!$B$9:$B$550=A116,ROW(Накл!$B$9:$B$550)-ROW(Накл!$B$9)+1),ROW(D120)-ROW(A116)+1)),"")," ",IFERROR(INDEX(Накл!$C$9:$C$550,SMALL(IF(Накл!$B$9:$B$550=A116,ROW(Накл!$B$9:$B$550)-ROW(Накл!$B$9)+1),ROW(D121)-ROW(A116)+1)),"")," ",IFERROR(INDEX(Накл!$C$9:$C$550,SMALL(IF(Накл!$B$9:$B$550=A116,ROW(Накл!$B$9:$B$550)-ROW(Накл!$B$9)+1),ROW(D122)-ROW(A116)+1)),"")," ",IFERROR(INDEX(Накл!$C$9:$C$550,SMALL(IF(Накл!$B$9:$B$550=A116,ROW(Накл!$B$9:$B$550)-ROW(Накл!$B$9)+1),ROW(D123)-ROW(A116)+1)),"")," ",IFERROR(INDEX(Накл!$C$9:$C$550,SMALL(IF(Накл!$B$9:$B$550=A116,ROW(Накл!$B$9:$B$550)-ROW(Накл!$B$9)+1),ROW(D124)-ROW(A116)+1)),"")," ",IFERROR(INDEX(Накл!$C$9:$C$550,SMALL(IF(Накл!$B$9:$B$550=A116,ROW(Накл!$B$9:$B$550)-ROW(Накл!$B$9)+1),ROW(D125)-ROW(A116)+1)),""))</f>
        <v xml:space="preserve">         </v>
      </c>
      <c r="E116" s="26" t="str">
        <f t="array" ref="E116">IF(LEN(D116)&lt;10,CONCATENATE(IFERROR(INDEX(Накл!$C$9:$C$550,SMALL(IF(Накл!$A$9:$A$550=VALUE(LEFT(A116,8)),ROW(Накл!$A$9:$A$550)-ROW(Накл!$A$9)+1),ROW(E116)-ROW(B116)+1)),"")," ",IFERROR(INDEX(Накл!$C$9:$C$550,SMALL(IF(Накл!$A$9:$A$550=VALUE(LEFT(A116,8)),ROW(Накл!$A$9:$A$550)-ROW(Накл!$A$9)+1),ROW(E117)-ROW(B116)+1)),"")," ",IFERROR(INDEX(Накл!$C$9:$C$550,SMALL(IF(Накл!$A$9:$A$550=VALUE(LEFT(A116,8)),ROW(Накл!$A$9:$A$550)-ROW(Накл!$A$9)+1),ROW(E118)-ROW(B116)+1)),"")," ",IFERROR(INDEX(Накл!$C$9:$C$550,SMALL(IF(Накл!$A$9:$A$550=VALUE(LEFT(A116,8)),ROW(Накл!$A$9:$A$550)-ROW(Накл!$A$9)+1),ROW(E119)-ROW(B116)+1)),"")),"")</f>
        <v xml:space="preserve">   </v>
      </c>
    </row>
    <row r="117" spans="1:5">
      <c r="A117" s="26" t="str">
        <f>IFERROR(CONCATENATE(VALUE(SUBSTITUTE(SUBSTITUTE(LEFT(Накл!G124,11),".",""),"-",""))," ",Накл!J124),"-")</f>
        <v>-</v>
      </c>
      <c r="B117" s="26" t="str">
        <f>IFERROR(VLOOKUP(VALUE(LEFT(A117,8)),Накл!$A$9:$D$550,4,0),"-")</f>
        <v>-</v>
      </c>
      <c r="C117" s="26">
        <f>Накл!J124</f>
        <v>0</v>
      </c>
      <c r="D117" s="33" t="str">
        <f t="array" ref="D117">CONCATENATE(IFERROR(INDEX(Накл!$C$9:$C$550,SMALL(IF(Накл!$B$9:$B$550=A117,ROW(Накл!$B$9:$B$550)-ROW(Накл!$B$9)+1),ROW(D117)-ROW(A117)+1)),"")," ",IFERROR(INDEX(Накл!$C$9:$C$550,SMALL(IF(Накл!$B$9:$B$550=A117,ROW(Накл!$B$9:$B$550)-ROW(Накл!$B$9)+1),ROW(D118)-ROW(A117)+1)),"")," ",IFERROR(INDEX(Накл!$C$9:$C$550,SMALL(IF(Накл!$B$9:$B$550=A117,ROW(Накл!$B$9:$B$550)-ROW(Накл!$B$9)+1),ROW(D119)-ROW(A117)+1)),"")," ",IFERROR(INDEX(Накл!$C$9:$C$550,SMALL(IF(Накл!$B$9:$B$550=A117,ROW(Накл!$B$9:$B$550)-ROW(Накл!$B$9)+1),ROW(D120)-ROW(A117)+1)),"")," ",IFERROR(INDEX(Накл!$C$9:$C$550,SMALL(IF(Накл!$B$9:$B$550=A117,ROW(Накл!$B$9:$B$550)-ROW(Накл!$B$9)+1),ROW(D121)-ROW(A117)+1)),"")," ",IFERROR(INDEX(Накл!$C$9:$C$550,SMALL(IF(Накл!$B$9:$B$550=A117,ROW(Накл!$B$9:$B$550)-ROW(Накл!$B$9)+1),ROW(D122)-ROW(A117)+1)),"")," ",IFERROR(INDEX(Накл!$C$9:$C$550,SMALL(IF(Накл!$B$9:$B$550=A117,ROW(Накл!$B$9:$B$550)-ROW(Накл!$B$9)+1),ROW(D123)-ROW(A117)+1)),"")," ",IFERROR(INDEX(Накл!$C$9:$C$550,SMALL(IF(Накл!$B$9:$B$550=A117,ROW(Накл!$B$9:$B$550)-ROW(Накл!$B$9)+1),ROW(D124)-ROW(A117)+1)),"")," ",IFERROR(INDEX(Накл!$C$9:$C$550,SMALL(IF(Накл!$B$9:$B$550=A117,ROW(Накл!$B$9:$B$550)-ROW(Накл!$B$9)+1),ROW(D125)-ROW(A117)+1)),"")," ",IFERROR(INDEX(Накл!$C$9:$C$550,SMALL(IF(Накл!$B$9:$B$550=A117,ROW(Накл!$B$9:$B$550)-ROW(Накл!$B$9)+1),ROW(D126)-ROW(A117)+1)),""))</f>
        <v xml:space="preserve">         </v>
      </c>
      <c r="E117" s="26" t="str">
        <f t="array" ref="E117">IF(LEN(D117)&lt;10,CONCATENATE(IFERROR(INDEX(Накл!$C$9:$C$550,SMALL(IF(Накл!$A$9:$A$550=VALUE(LEFT(A117,8)),ROW(Накл!$A$9:$A$550)-ROW(Накл!$A$9)+1),ROW(E117)-ROW(B117)+1)),"")," ",IFERROR(INDEX(Накл!$C$9:$C$550,SMALL(IF(Накл!$A$9:$A$550=VALUE(LEFT(A117,8)),ROW(Накл!$A$9:$A$550)-ROW(Накл!$A$9)+1),ROW(E118)-ROW(B117)+1)),"")," ",IFERROR(INDEX(Накл!$C$9:$C$550,SMALL(IF(Накл!$A$9:$A$550=VALUE(LEFT(A117,8)),ROW(Накл!$A$9:$A$550)-ROW(Накл!$A$9)+1),ROW(E119)-ROW(B117)+1)),"")," ",IFERROR(INDEX(Накл!$C$9:$C$550,SMALL(IF(Накл!$A$9:$A$550=VALUE(LEFT(A117,8)),ROW(Накл!$A$9:$A$550)-ROW(Накл!$A$9)+1),ROW(E120)-ROW(B117)+1)),"")),"")</f>
        <v xml:space="preserve">   </v>
      </c>
    </row>
    <row r="118" spans="1:5">
      <c r="A118" s="26" t="str">
        <f>IFERROR(CONCATENATE(VALUE(SUBSTITUTE(SUBSTITUTE(LEFT(Накл!G125,11),".",""),"-",""))," ",Накл!J125),"-")</f>
        <v>-</v>
      </c>
      <c r="B118" s="26" t="str">
        <f>IFERROR(VLOOKUP(VALUE(LEFT(A118,8)),Накл!$A$9:$D$550,4,0),"-")</f>
        <v>-</v>
      </c>
      <c r="C118" s="26">
        <f>Накл!J125</f>
        <v>0</v>
      </c>
      <c r="D118" s="33" t="str">
        <f t="array" ref="D118">CONCATENATE(IFERROR(INDEX(Накл!$C$9:$C$550,SMALL(IF(Накл!$B$9:$B$550=A118,ROW(Накл!$B$9:$B$550)-ROW(Накл!$B$9)+1),ROW(D118)-ROW(A118)+1)),"")," ",IFERROR(INDEX(Накл!$C$9:$C$550,SMALL(IF(Накл!$B$9:$B$550=A118,ROW(Накл!$B$9:$B$550)-ROW(Накл!$B$9)+1),ROW(D119)-ROW(A118)+1)),"")," ",IFERROR(INDEX(Накл!$C$9:$C$550,SMALL(IF(Накл!$B$9:$B$550=A118,ROW(Накл!$B$9:$B$550)-ROW(Накл!$B$9)+1),ROW(D120)-ROW(A118)+1)),"")," ",IFERROR(INDEX(Накл!$C$9:$C$550,SMALL(IF(Накл!$B$9:$B$550=A118,ROW(Накл!$B$9:$B$550)-ROW(Накл!$B$9)+1),ROW(D121)-ROW(A118)+1)),"")," ",IFERROR(INDEX(Накл!$C$9:$C$550,SMALL(IF(Накл!$B$9:$B$550=A118,ROW(Накл!$B$9:$B$550)-ROW(Накл!$B$9)+1),ROW(D122)-ROW(A118)+1)),"")," ",IFERROR(INDEX(Накл!$C$9:$C$550,SMALL(IF(Накл!$B$9:$B$550=A118,ROW(Накл!$B$9:$B$550)-ROW(Накл!$B$9)+1),ROW(D123)-ROW(A118)+1)),"")," ",IFERROR(INDEX(Накл!$C$9:$C$550,SMALL(IF(Накл!$B$9:$B$550=A118,ROW(Накл!$B$9:$B$550)-ROW(Накл!$B$9)+1),ROW(D124)-ROW(A118)+1)),"")," ",IFERROR(INDEX(Накл!$C$9:$C$550,SMALL(IF(Накл!$B$9:$B$550=A118,ROW(Накл!$B$9:$B$550)-ROW(Накл!$B$9)+1),ROW(D125)-ROW(A118)+1)),"")," ",IFERROR(INDEX(Накл!$C$9:$C$550,SMALL(IF(Накл!$B$9:$B$550=A118,ROW(Накл!$B$9:$B$550)-ROW(Накл!$B$9)+1),ROW(D126)-ROW(A118)+1)),"")," ",IFERROR(INDEX(Накл!$C$9:$C$550,SMALL(IF(Накл!$B$9:$B$550=A118,ROW(Накл!$B$9:$B$550)-ROW(Накл!$B$9)+1),ROW(D127)-ROW(A118)+1)),""))</f>
        <v xml:space="preserve">         </v>
      </c>
      <c r="E118" s="26" t="str">
        <f t="array" ref="E118">IF(LEN(D118)&lt;10,CONCATENATE(IFERROR(INDEX(Накл!$C$9:$C$550,SMALL(IF(Накл!$A$9:$A$550=VALUE(LEFT(A118,8)),ROW(Накл!$A$9:$A$550)-ROW(Накл!$A$9)+1),ROW(E118)-ROW(B118)+1)),"")," ",IFERROR(INDEX(Накл!$C$9:$C$550,SMALL(IF(Накл!$A$9:$A$550=VALUE(LEFT(A118,8)),ROW(Накл!$A$9:$A$550)-ROW(Накл!$A$9)+1),ROW(E119)-ROW(B118)+1)),"")," ",IFERROR(INDEX(Накл!$C$9:$C$550,SMALL(IF(Накл!$A$9:$A$550=VALUE(LEFT(A118,8)),ROW(Накл!$A$9:$A$550)-ROW(Накл!$A$9)+1),ROW(E120)-ROW(B118)+1)),"")," ",IFERROR(INDEX(Накл!$C$9:$C$550,SMALL(IF(Накл!$A$9:$A$550=VALUE(LEFT(A118,8)),ROW(Накл!$A$9:$A$550)-ROW(Накл!$A$9)+1),ROW(E121)-ROW(B118)+1)),"")),"")</f>
        <v xml:space="preserve">   </v>
      </c>
    </row>
    <row r="119" spans="1:5">
      <c r="A119" s="26" t="str">
        <f>IFERROR(CONCATENATE(VALUE(SUBSTITUTE(SUBSTITUTE(LEFT(Накл!G126,11),".",""),"-",""))," ",Накл!J126),"-")</f>
        <v>-</v>
      </c>
      <c r="B119" s="26" t="str">
        <f>IFERROR(VLOOKUP(VALUE(LEFT(A119,8)),Накл!$A$9:$D$550,4,0),"-")</f>
        <v>-</v>
      </c>
      <c r="C119" s="26">
        <f>Накл!J126</f>
        <v>0</v>
      </c>
      <c r="D119" s="33" t="str">
        <f t="array" ref="D119">CONCATENATE(IFERROR(INDEX(Накл!$C$9:$C$550,SMALL(IF(Накл!$B$9:$B$550=A119,ROW(Накл!$B$9:$B$550)-ROW(Накл!$B$9)+1),ROW(D119)-ROW(A119)+1)),"")," ",IFERROR(INDEX(Накл!$C$9:$C$550,SMALL(IF(Накл!$B$9:$B$550=A119,ROW(Накл!$B$9:$B$550)-ROW(Накл!$B$9)+1),ROW(D120)-ROW(A119)+1)),"")," ",IFERROR(INDEX(Накл!$C$9:$C$550,SMALL(IF(Накл!$B$9:$B$550=A119,ROW(Накл!$B$9:$B$550)-ROW(Накл!$B$9)+1),ROW(D121)-ROW(A119)+1)),"")," ",IFERROR(INDEX(Накл!$C$9:$C$550,SMALL(IF(Накл!$B$9:$B$550=A119,ROW(Накл!$B$9:$B$550)-ROW(Накл!$B$9)+1),ROW(D122)-ROW(A119)+1)),"")," ",IFERROR(INDEX(Накл!$C$9:$C$550,SMALL(IF(Накл!$B$9:$B$550=A119,ROW(Накл!$B$9:$B$550)-ROW(Накл!$B$9)+1),ROW(D123)-ROW(A119)+1)),"")," ",IFERROR(INDEX(Накл!$C$9:$C$550,SMALL(IF(Накл!$B$9:$B$550=A119,ROW(Накл!$B$9:$B$550)-ROW(Накл!$B$9)+1),ROW(D124)-ROW(A119)+1)),"")," ",IFERROR(INDEX(Накл!$C$9:$C$550,SMALL(IF(Накл!$B$9:$B$550=A119,ROW(Накл!$B$9:$B$550)-ROW(Накл!$B$9)+1),ROW(D125)-ROW(A119)+1)),"")," ",IFERROR(INDEX(Накл!$C$9:$C$550,SMALL(IF(Накл!$B$9:$B$550=A119,ROW(Накл!$B$9:$B$550)-ROW(Накл!$B$9)+1),ROW(D126)-ROW(A119)+1)),"")," ",IFERROR(INDEX(Накл!$C$9:$C$550,SMALL(IF(Накл!$B$9:$B$550=A119,ROW(Накл!$B$9:$B$550)-ROW(Накл!$B$9)+1),ROW(D127)-ROW(A119)+1)),"")," ",IFERROR(INDEX(Накл!$C$9:$C$550,SMALL(IF(Накл!$B$9:$B$550=A119,ROW(Накл!$B$9:$B$550)-ROW(Накл!$B$9)+1),ROW(D128)-ROW(A119)+1)),""))</f>
        <v xml:space="preserve">         </v>
      </c>
      <c r="E119" s="26" t="str">
        <f t="array" ref="E119">IF(LEN(D119)&lt;10,CONCATENATE(IFERROR(INDEX(Накл!$C$9:$C$550,SMALL(IF(Накл!$A$9:$A$550=VALUE(LEFT(A119,8)),ROW(Накл!$A$9:$A$550)-ROW(Накл!$A$9)+1),ROW(E119)-ROW(B119)+1)),"")," ",IFERROR(INDEX(Накл!$C$9:$C$550,SMALL(IF(Накл!$A$9:$A$550=VALUE(LEFT(A119,8)),ROW(Накл!$A$9:$A$550)-ROW(Накл!$A$9)+1),ROW(E120)-ROW(B119)+1)),"")," ",IFERROR(INDEX(Накл!$C$9:$C$550,SMALL(IF(Накл!$A$9:$A$550=VALUE(LEFT(A119,8)),ROW(Накл!$A$9:$A$550)-ROW(Накл!$A$9)+1),ROW(E121)-ROW(B119)+1)),"")," ",IFERROR(INDEX(Накл!$C$9:$C$550,SMALL(IF(Накл!$A$9:$A$550=VALUE(LEFT(A119,8)),ROW(Накл!$A$9:$A$550)-ROW(Накл!$A$9)+1),ROW(E122)-ROW(B119)+1)),"")),"")</f>
        <v xml:space="preserve">   </v>
      </c>
    </row>
    <row r="120" spans="1:5">
      <c r="A120" s="26" t="str">
        <f>IFERROR(CONCATENATE(VALUE(SUBSTITUTE(SUBSTITUTE(LEFT(Накл!G127,11),".",""),"-",""))," ",Накл!J127),"-")</f>
        <v>-</v>
      </c>
      <c r="B120" s="26" t="str">
        <f>IFERROR(VLOOKUP(VALUE(LEFT(A120,8)),Накл!$A$9:$D$550,4,0),"-")</f>
        <v>-</v>
      </c>
      <c r="C120" s="26">
        <f>Накл!J127</f>
        <v>0</v>
      </c>
      <c r="D120" s="33" t="str">
        <f t="array" ref="D120">CONCATENATE(IFERROR(INDEX(Накл!$C$9:$C$550,SMALL(IF(Накл!$B$9:$B$550=A120,ROW(Накл!$B$9:$B$550)-ROW(Накл!$B$9)+1),ROW(D120)-ROW(A120)+1)),"")," ",IFERROR(INDEX(Накл!$C$9:$C$550,SMALL(IF(Накл!$B$9:$B$550=A120,ROW(Накл!$B$9:$B$550)-ROW(Накл!$B$9)+1),ROW(D121)-ROW(A120)+1)),"")," ",IFERROR(INDEX(Накл!$C$9:$C$550,SMALL(IF(Накл!$B$9:$B$550=A120,ROW(Накл!$B$9:$B$550)-ROW(Накл!$B$9)+1),ROW(D122)-ROW(A120)+1)),"")," ",IFERROR(INDEX(Накл!$C$9:$C$550,SMALL(IF(Накл!$B$9:$B$550=A120,ROW(Накл!$B$9:$B$550)-ROW(Накл!$B$9)+1),ROW(D123)-ROW(A120)+1)),"")," ",IFERROR(INDEX(Накл!$C$9:$C$550,SMALL(IF(Накл!$B$9:$B$550=A120,ROW(Накл!$B$9:$B$550)-ROW(Накл!$B$9)+1),ROW(D124)-ROW(A120)+1)),"")," ",IFERROR(INDEX(Накл!$C$9:$C$550,SMALL(IF(Накл!$B$9:$B$550=A120,ROW(Накл!$B$9:$B$550)-ROW(Накл!$B$9)+1),ROW(D125)-ROW(A120)+1)),"")," ",IFERROR(INDEX(Накл!$C$9:$C$550,SMALL(IF(Накл!$B$9:$B$550=A120,ROW(Накл!$B$9:$B$550)-ROW(Накл!$B$9)+1),ROW(D126)-ROW(A120)+1)),"")," ",IFERROR(INDEX(Накл!$C$9:$C$550,SMALL(IF(Накл!$B$9:$B$550=A120,ROW(Накл!$B$9:$B$550)-ROW(Накл!$B$9)+1),ROW(D127)-ROW(A120)+1)),"")," ",IFERROR(INDEX(Накл!$C$9:$C$550,SMALL(IF(Накл!$B$9:$B$550=A120,ROW(Накл!$B$9:$B$550)-ROW(Накл!$B$9)+1),ROW(D128)-ROW(A120)+1)),"")," ",IFERROR(INDEX(Накл!$C$9:$C$550,SMALL(IF(Накл!$B$9:$B$550=A120,ROW(Накл!$B$9:$B$550)-ROW(Накл!$B$9)+1),ROW(D129)-ROW(A120)+1)),""))</f>
        <v xml:space="preserve">         </v>
      </c>
      <c r="E120" s="26" t="str">
        <f t="array" ref="E120">IF(LEN(D120)&lt;10,CONCATENATE(IFERROR(INDEX(Накл!$C$9:$C$550,SMALL(IF(Накл!$A$9:$A$550=VALUE(LEFT(A120,8)),ROW(Накл!$A$9:$A$550)-ROW(Накл!$A$9)+1),ROW(E120)-ROW(B120)+1)),"")," ",IFERROR(INDEX(Накл!$C$9:$C$550,SMALL(IF(Накл!$A$9:$A$550=VALUE(LEFT(A120,8)),ROW(Накл!$A$9:$A$550)-ROW(Накл!$A$9)+1),ROW(E121)-ROW(B120)+1)),"")," ",IFERROR(INDEX(Накл!$C$9:$C$550,SMALL(IF(Накл!$A$9:$A$550=VALUE(LEFT(A120,8)),ROW(Накл!$A$9:$A$550)-ROW(Накл!$A$9)+1),ROW(E122)-ROW(B120)+1)),"")," ",IFERROR(INDEX(Накл!$C$9:$C$550,SMALL(IF(Накл!$A$9:$A$550=VALUE(LEFT(A120,8)),ROW(Накл!$A$9:$A$550)-ROW(Накл!$A$9)+1),ROW(E123)-ROW(B120)+1)),"")),"")</f>
        <v xml:space="preserve">   </v>
      </c>
    </row>
    <row r="121" spans="1:5">
      <c r="A121" s="26" t="str">
        <f>IFERROR(CONCATENATE(VALUE(SUBSTITUTE(SUBSTITUTE(LEFT(Накл!G128,11),".",""),"-",""))," ",Накл!J128),"-")</f>
        <v>-</v>
      </c>
      <c r="B121" s="26" t="str">
        <f>IFERROR(VLOOKUP(VALUE(LEFT(A121,8)),Накл!$A$9:$D$550,4,0),"-")</f>
        <v>-</v>
      </c>
      <c r="C121" s="26">
        <f>Накл!J128</f>
        <v>0</v>
      </c>
      <c r="D121" s="33" t="str">
        <f t="array" ref="D121">CONCATENATE(IFERROR(INDEX(Накл!$C$9:$C$550,SMALL(IF(Накл!$B$9:$B$550=A121,ROW(Накл!$B$9:$B$550)-ROW(Накл!$B$9)+1),ROW(D121)-ROW(A121)+1)),"")," ",IFERROR(INDEX(Накл!$C$9:$C$550,SMALL(IF(Накл!$B$9:$B$550=A121,ROW(Накл!$B$9:$B$550)-ROW(Накл!$B$9)+1),ROW(D122)-ROW(A121)+1)),"")," ",IFERROR(INDEX(Накл!$C$9:$C$550,SMALL(IF(Накл!$B$9:$B$550=A121,ROW(Накл!$B$9:$B$550)-ROW(Накл!$B$9)+1),ROW(D123)-ROW(A121)+1)),"")," ",IFERROR(INDEX(Накл!$C$9:$C$550,SMALL(IF(Накл!$B$9:$B$550=A121,ROW(Накл!$B$9:$B$550)-ROW(Накл!$B$9)+1),ROW(D124)-ROW(A121)+1)),"")," ",IFERROR(INDEX(Накл!$C$9:$C$550,SMALL(IF(Накл!$B$9:$B$550=A121,ROW(Накл!$B$9:$B$550)-ROW(Накл!$B$9)+1),ROW(D125)-ROW(A121)+1)),"")," ",IFERROR(INDEX(Накл!$C$9:$C$550,SMALL(IF(Накл!$B$9:$B$550=A121,ROW(Накл!$B$9:$B$550)-ROW(Накл!$B$9)+1),ROW(D126)-ROW(A121)+1)),"")," ",IFERROR(INDEX(Накл!$C$9:$C$550,SMALL(IF(Накл!$B$9:$B$550=A121,ROW(Накл!$B$9:$B$550)-ROW(Накл!$B$9)+1),ROW(D127)-ROW(A121)+1)),"")," ",IFERROR(INDEX(Накл!$C$9:$C$550,SMALL(IF(Накл!$B$9:$B$550=A121,ROW(Накл!$B$9:$B$550)-ROW(Накл!$B$9)+1),ROW(D128)-ROW(A121)+1)),"")," ",IFERROR(INDEX(Накл!$C$9:$C$550,SMALL(IF(Накл!$B$9:$B$550=A121,ROW(Накл!$B$9:$B$550)-ROW(Накл!$B$9)+1),ROW(D129)-ROW(A121)+1)),"")," ",IFERROR(INDEX(Накл!$C$9:$C$550,SMALL(IF(Накл!$B$9:$B$550=A121,ROW(Накл!$B$9:$B$550)-ROW(Накл!$B$9)+1),ROW(D130)-ROW(A121)+1)),""))</f>
        <v xml:space="preserve">         </v>
      </c>
      <c r="E121" s="26" t="str">
        <f t="array" ref="E121">IF(LEN(D121)&lt;10,CONCATENATE(IFERROR(INDEX(Накл!$C$9:$C$550,SMALL(IF(Накл!$A$9:$A$550=VALUE(LEFT(A121,8)),ROW(Накл!$A$9:$A$550)-ROW(Накл!$A$9)+1),ROW(E121)-ROW(B121)+1)),"")," ",IFERROR(INDEX(Накл!$C$9:$C$550,SMALL(IF(Накл!$A$9:$A$550=VALUE(LEFT(A121,8)),ROW(Накл!$A$9:$A$550)-ROW(Накл!$A$9)+1),ROW(E122)-ROW(B121)+1)),"")," ",IFERROR(INDEX(Накл!$C$9:$C$550,SMALL(IF(Накл!$A$9:$A$550=VALUE(LEFT(A121,8)),ROW(Накл!$A$9:$A$550)-ROW(Накл!$A$9)+1),ROW(E123)-ROW(B121)+1)),"")," ",IFERROR(INDEX(Накл!$C$9:$C$550,SMALL(IF(Накл!$A$9:$A$550=VALUE(LEFT(A121,8)),ROW(Накл!$A$9:$A$550)-ROW(Накл!$A$9)+1),ROW(E124)-ROW(B121)+1)),"")),"")</f>
        <v xml:space="preserve">   </v>
      </c>
    </row>
    <row r="122" spans="1:5">
      <c r="A122" s="26" t="str">
        <f>IFERROR(CONCATENATE(VALUE(SUBSTITUTE(SUBSTITUTE(LEFT(Накл!G129,11),".",""),"-",""))," ",Накл!J129),"-")</f>
        <v>-</v>
      </c>
      <c r="B122" s="26" t="str">
        <f>IFERROR(VLOOKUP(VALUE(LEFT(A122,8)),Накл!$A$9:$D$550,4,0),"-")</f>
        <v>-</v>
      </c>
      <c r="C122" s="26">
        <f>Накл!J129</f>
        <v>0</v>
      </c>
      <c r="D122" s="33" t="str">
        <f t="array" ref="D122">CONCATENATE(IFERROR(INDEX(Накл!$C$9:$C$550,SMALL(IF(Накл!$B$9:$B$550=A122,ROW(Накл!$B$9:$B$550)-ROW(Накл!$B$9)+1),ROW(D122)-ROW(A122)+1)),"")," ",IFERROR(INDEX(Накл!$C$9:$C$550,SMALL(IF(Накл!$B$9:$B$550=A122,ROW(Накл!$B$9:$B$550)-ROW(Накл!$B$9)+1),ROW(D123)-ROW(A122)+1)),"")," ",IFERROR(INDEX(Накл!$C$9:$C$550,SMALL(IF(Накл!$B$9:$B$550=A122,ROW(Накл!$B$9:$B$550)-ROW(Накл!$B$9)+1),ROW(D124)-ROW(A122)+1)),"")," ",IFERROR(INDEX(Накл!$C$9:$C$550,SMALL(IF(Накл!$B$9:$B$550=A122,ROW(Накл!$B$9:$B$550)-ROW(Накл!$B$9)+1),ROW(D125)-ROW(A122)+1)),"")," ",IFERROR(INDEX(Накл!$C$9:$C$550,SMALL(IF(Накл!$B$9:$B$550=A122,ROW(Накл!$B$9:$B$550)-ROW(Накл!$B$9)+1),ROW(D126)-ROW(A122)+1)),"")," ",IFERROR(INDEX(Накл!$C$9:$C$550,SMALL(IF(Накл!$B$9:$B$550=A122,ROW(Накл!$B$9:$B$550)-ROW(Накл!$B$9)+1),ROW(D127)-ROW(A122)+1)),"")," ",IFERROR(INDEX(Накл!$C$9:$C$550,SMALL(IF(Накл!$B$9:$B$550=A122,ROW(Накл!$B$9:$B$550)-ROW(Накл!$B$9)+1),ROW(D128)-ROW(A122)+1)),"")," ",IFERROR(INDEX(Накл!$C$9:$C$550,SMALL(IF(Накл!$B$9:$B$550=A122,ROW(Накл!$B$9:$B$550)-ROW(Накл!$B$9)+1),ROW(D129)-ROW(A122)+1)),"")," ",IFERROR(INDEX(Накл!$C$9:$C$550,SMALL(IF(Накл!$B$9:$B$550=A122,ROW(Накл!$B$9:$B$550)-ROW(Накл!$B$9)+1),ROW(D130)-ROW(A122)+1)),"")," ",IFERROR(INDEX(Накл!$C$9:$C$550,SMALL(IF(Накл!$B$9:$B$550=A122,ROW(Накл!$B$9:$B$550)-ROW(Накл!$B$9)+1),ROW(D131)-ROW(A122)+1)),""))</f>
        <v xml:space="preserve">         </v>
      </c>
      <c r="E122" s="26" t="str">
        <f t="array" ref="E122">IF(LEN(D122)&lt;10,CONCATENATE(IFERROR(INDEX(Накл!$C$9:$C$550,SMALL(IF(Накл!$A$9:$A$550=VALUE(LEFT(A122,8)),ROW(Накл!$A$9:$A$550)-ROW(Накл!$A$9)+1),ROW(E122)-ROW(B122)+1)),"")," ",IFERROR(INDEX(Накл!$C$9:$C$550,SMALL(IF(Накл!$A$9:$A$550=VALUE(LEFT(A122,8)),ROW(Накл!$A$9:$A$550)-ROW(Накл!$A$9)+1),ROW(E123)-ROW(B122)+1)),"")," ",IFERROR(INDEX(Накл!$C$9:$C$550,SMALL(IF(Накл!$A$9:$A$550=VALUE(LEFT(A122,8)),ROW(Накл!$A$9:$A$550)-ROW(Накл!$A$9)+1),ROW(E124)-ROW(B122)+1)),"")," ",IFERROR(INDEX(Накл!$C$9:$C$550,SMALL(IF(Накл!$A$9:$A$550=VALUE(LEFT(A122,8)),ROW(Накл!$A$9:$A$550)-ROW(Накл!$A$9)+1),ROW(E125)-ROW(B122)+1)),"")),"")</f>
        <v xml:space="preserve">   </v>
      </c>
    </row>
    <row r="123" spans="1:5">
      <c r="A123" s="26" t="str">
        <f>IFERROR(CONCATENATE(VALUE(SUBSTITUTE(SUBSTITUTE(LEFT(Накл!G130,11),".",""),"-",""))," ",Накл!J130),"-")</f>
        <v>-</v>
      </c>
      <c r="B123" s="26" t="str">
        <f>IFERROR(VLOOKUP(VALUE(LEFT(A123,8)),Накл!$A$9:$D$550,4,0),"-")</f>
        <v>-</v>
      </c>
      <c r="C123" s="26">
        <f>Накл!J130</f>
        <v>0</v>
      </c>
      <c r="D123" s="33" t="str">
        <f t="array" ref="D123">CONCATENATE(IFERROR(INDEX(Накл!$C$9:$C$550,SMALL(IF(Накл!$B$9:$B$550=A123,ROW(Накл!$B$9:$B$550)-ROW(Накл!$B$9)+1),ROW(D123)-ROW(A123)+1)),"")," ",IFERROR(INDEX(Накл!$C$9:$C$550,SMALL(IF(Накл!$B$9:$B$550=A123,ROW(Накл!$B$9:$B$550)-ROW(Накл!$B$9)+1),ROW(D124)-ROW(A123)+1)),"")," ",IFERROR(INDEX(Накл!$C$9:$C$550,SMALL(IF(Накл!$B$9:$B$550=A123,ROW(Накл!$B$9:$B$550)-ROW(Накл!$B$9)+1),ROW(D125)-ROW(A123)+1)),"")," ",IFERROR(INDEX(Накл!$C$9:$C$550,SMALL(IF(Накл!$B$9:$B$550=A123,ROW(Накл!$B$9:$B$550)-ROW(Накл!$B$9)+1),ROW(D126)-ROW(A123)+1)),"")," ",IFERROR(INDEX(Накл!$C$9:$C$550,SMALL(IF(Накл!$B$9:$B$550=A123,ROW(Накл!$B$9:$B$550)-ROW(Накл!$B$9)+1),ROW(D127)-ROW(A123)+1)),"")," ",IFERROR(INDEX(Накл!$C$9:$C$550,SMALL(IF(Накл!$B$9:$B$550=A123,ROW(Накл!$B$9:$B$550)-ROW(Накл!$B$9)+1),ROW(D128)-ROW(A123)+1)),"")," ",IFERROR(INDEX(Накл!$C$9:$C$550,SMALL(IF(Накл!$B$9:$B$550=A123,ROW(Накл!$B$9:$B$550)-ROW(Накл!$B$9)+1),ROW(D129)-ROW(A123)+1)),"")," ",IFERROR(INDEX(Накл!$C$9:$C$550,SMALL(IF(Накл!$B$9:$B$550=A123,ROW(Накл!$B$9:$B$550)-ROW(Накл!$B$9)+1),ROW(D130)-ROW(A123)+1)),"")," ",IFERROR(INDEX(Накл!$C$9:$C$550,SMALL(IF(Накл!$B$9:$B$550=A123,ROW(Накл!$B$9:$B$550)-ROW(Накл!$B$9)+1),ROW(D131)-ROW(A123)+1)),"")," ",IFERROR(INDEX(Накл!$C$9:$C$550,SMALL(IF(Накл!$B$9:$B$550=A123,ROW(Накл!$B$9:$B$550)-ROW(Накл!$B$9)+1),ROW(D132)-ROW(A123)+1)),""))</f>
        <v xml:space="preserve">         </v>
      </c>
      <c r="E123" s="26" t="str">
        <f t="array" ref="E123">IF(LEN(D123)&lt;10,CONCATENATE(IFERROR(INDEX(Накл!$C$9:$C$550,SMALL(IF(Накл!$A$9:$A$550=VALUE(LEFT(A123,8)),ROW(Накл!$A$9:$A$550)-ROW(Накл!$A$9)+1),ROW(E123)-ROW(B123)+1)),"")," ",IFERROR(INDEX(Накл!$C$9:$C$550,SMALL(IF(Накл!$A$9:$A$550=VALUE(LEFT(A123,8)),ROW(Накл!$A$9:$A$550)-ROW(Накл!$A$9)+1),ROW(E124)-ROW(B123)+1)),"")," ",IFERROR(INDEX(Накл!$C$9:$C$550,SMALL(IF(Накл!$A$9:$A$550=VALUE(LEFT(A123,8)),ROW(Накл!$A$9:$A$550)-ROW(Накл!$A$9)+1),ROW(E125)-ROW(B123)+1)),"")," ",IFERROR(INDEX(Накл!$C$9:$C$550,SMALL(IF(Накл!$A$9:$A$550=VALUE(LEFT(A123,8)),ROW(Накл!$A$9:$A$550)-ROW(Накл!$A$9)+1),ROW(E126)-ROW(B123)+1)),"")),"")</f>
        <v xml:space="preserve">   </v>
      </c>
    </row>
    <row r="124" spans="1:5">
      <c r="A124" s="26" t="str">
        <f>IFERROR(CONCATENATE(VALUE(SUBSTITUTE(SUBSTITUTE(LEFT(Накл!G131,11),".",""),"-",""))," ",Накл!J131),"-")</f>
        <v>-</v>
      </c>
      <c r="B124" s="26" t="str">
        <f>IFERROR(VLOOKUP(VALUE(LEFT(A124,8)),Накл!$A$9:$D$550,4,0),"-")</f>
        <v>-</v>
      </c>
      <c r="C124" s="26">
        <f>Накл!J131</f>
        <v>0</v>
      </c>
      <c r="D124" s="33" t="str">
        <f t="array" ref="D124">CONCATENATE(IFERROR(INDEX(Накл!$C$9:$C$550,SMALL(IF(Накл!$B$9:$B$550=A124,ROW(Накл!$B$9:$B$550)-ROW(Накл!$B$9)+1),ROW(D124)-ROW(A124)+1)),"")," ",IFERROR(INDEX(Накл!$C$9:$C$550,SMALL(IF(Накл!$B$9:$B$550=A124,ROW(Накл!$B$9:$B$550)-ROW(Накл!$B$9)+1),ROW(D125)-ROW(A124)+1)),"")," ",IFERROR(INDEX(Накл!$C$9:$C$550,SMALL(IF(Накл!$B$9:$B$550=A124,ROW(Накл!$B$9:$B$550)-ROW(Накл!$B$9)+1),ROW(D126)-ROW(A124)+1)),"")," ",IFERROR(INDEX(Накл!$C$9:$C$550,SMALL(IF(Накл!$B$9:$B$550=A124,ROW(Накл!$B$9:$B$550)-ROW(Накл!$B$9)+1),ROW(D127)-ROW(A124)+1)),"")," ",IFERROR(INDEX(Накл!$C$9:$C$550,SMALL(IF(Накл!$B$9:$B$550=A124,ROW(Накл!$B$9:$B$550)-ROW(Накл!$B$9)+1),ROW(D128)-ROW(A124)+1)),"")," ",IFERROR(INDEX(Накл!$C$9:$C$550,SMALL(IF(Накл!$B$9:$B$550=A124,ROW(Накл!$B$9:$B$550)-ROW(Накл!$B$9)+1),ROW(D129)-ROW(A124)+1)),"")," ",IFERROR(INDEX(Накл!$C$9:$C$550,SMALL(IF(Накл!$B$9:$B$550=A124,ROW(Накл!$B$9:$B$550)-ROW(Накл!$B$9)+1),ROW(D130)-ROW(A124)+1)),"")," ",IFERROR(INDEX(Накл!$C$9:$C$550,SMALL(IF(Накл!$B$9:$B$550=A124,ROW(Накл!$B$9:$B$550)-ROW(Накл!$B$9)+1),ROW(D131)-ROW(A124)+1)),"")," ",IFERROR(INDEX(Накл!$C$9:$C$550,SMALL(IF(Накл!$B$9:$B$550=A124,ROW(Накл!$B$9:$B$550)-ROW(Накл!$B$9)+1),ROW(D132)-ROW(A124)+1)),"")," ",IFERROR(INDEX(Накл!$C$9:$C$550,SMALL(IF(Накл!$B$9:$B$550=A124,ROW(Накл!$B$9:$B$550)-ROW(Накл!$B$9)+1),ROW(D133)-ROW(A124)+1)),""))</f>
        <v xml:space="preserve">         </v>
      </c>
      <c r="E124" s="26" t="str">
        <f t="array" ref="E124">IF(LEN(D124)&lt;10,CONCATENATE(IFERROR(INDEX(Накл!$C$9:$C$550,SMALL(IF(Накл!$A$9:$A$550=VALUE(LEFT(A124,8)),ROW(Накл!$A$9:$A$550)-ROW(Накл!$A$9)+1),ROW(E124)-ROW(B124)+1)),"")," ",IFERROR(INDEX(Накл!$C$9:$C$550,SMALL(IF(Накл!$A$9:$A$550=VALUE(LEFT(A124,8)),ROW(Накл!$A$9:$A$550)-ROW(Накл!$A$9)+1),ROW(E125)-ROW(B124)+1)),"")," ",IFERROR(INDEX(Накл!$C$9:$C$550,SMALL(IF(Накл!$A$9:$A$550=VALUE(LEFT(A124,8)),ROW(Накл!$A$9:$A$550)-ROW(Накл!$A$9)+1),ROW(E126)-ROW(B124)+1)),"")," ",IFERROR(INDEX(Накл!$C$9:$C$550,SMALL(IF(Накл!$A$9:$A$550=VALUE(LEFT(A124,8)),ROW(Накл!$A$9:$A$550)-ROW(Накл!$A$9)+1),ROW(E127)-ROW(B124)+1)),"")),"")</f>
        <v xml:space="preserve">   </v>
      </c>
    </row>
    <row r="125" spans="1:5">
      <c r="A125" s="26" t="str">
        <f>IFERROR(CONCATENATE(VALUE(SUBSTITUTE(SUBSTITUTE(LEFT(Накл!G132,11),".",""),"-",""))," ",Накл!J132),"-")</f>
        <v>-</v>
      </c>
      <c r="B125" s="26" t="str">
        <f>IFERROR(VLOOKUP(VALUE(LEFT(A125,8)),Накл!$A$9:$D$550,4,0),"-")</f>
        <v>-</v>
      </c>
      <c r="C125" s="26">
        <f>Накл!J132</f>
        <v>0</v>
      </c>
      <c r="D125" s="33" t="str">
        <f t="array" ref="D125">CONCATENATE(IFERROR(INDEX(Накл!$C$9:$C$550,SMALL(IF(Накл!$B$9:$B$550=A125,ROW(Накл!$B$9:$B$550)-ROW(Накл!$B$9)+1),ROW(D125)-ROW(A125)+1)),"")," ",IFERROR(INDEX(Накл!$C$9:$C$550,SMALL(IF(Накл!$B$9:$B$550=A125,ROW(Накл!$B$9:$B$550)-ROW(Накл!$B$9)+1),ROW(D126)-ROW(A125)+1)),"")," ",IFERROR(INDEX(Накл!$C$9:$C$550,SMALL(IF(Накл!$B$9:$B$550=A125,ROW(Накл!$B$9:$B$550)-ROW(Накл!$B$9)+1),ROW(D127)-ROW(A125)+1)),"")," ",IFERROR(INDEX(Накл!$C$9:$C$550,SMALL(IF(Накл!$B$9:$B$550=A125,ROW(Накл!$B$9:$B$550)-ROW(Накл!$B$9)+1),ROW(D128)-ROW(A125)+1)),"")," ",IFERROR(INDEX(Накл!$C$9:$C$550,SMALL(IF(Накл!$B$9:$B$550=A125,ROW(Накл!$B$9:$B$550)-ROW(Накл!$B$9)+1),ROW(D129)-ROW(A125)+1)),"")," ",IFERROR(INDEX(Накл!$C$9:$C$550,SMALL(IF(Накл!$B$9:$B$550=A125,ROW(Накл!$B$9:$B$550)-ROW(Накл!$B$9)+1),ROW(D130)-ROW(A125)+1)),"")," ",IFERROR(INDEX(Накл!$C$9:$C$550,SMALL(IF(Накл!$B$9:$B$550=A125,ROW(Накл!$B$9:$B$550)-ROW(Накл!$B$9)+1),ROW(D131)-ROW(A125)+1)),"")," ",IFERROR(INDEX(Накл!$C$9:$C$550,SMALL(IF(Накл!$B$9:$B$550=A125,ROW(Накл!$B$9:$B$550)-ROW(Накл!$B$9)+1),ROW(D132)-ROW(A125)+1)),"")," ",IFERROR(INDEX(Накл!$C$9:$C$550,SMALL(IF(Накл!$B$9:$B$550=A125,ROW(Накл!$B$9:$B$550)-ROW(Накл!$B$9)+1),ROW(D133)-ROW(A125)+1)),"")," ",IFERROR(INDEX(Накл!$C$9:$C$550,SMALL(IF(Накл!$B$9:$B$550=A125,ROW(Накл!$B$9:$B$550)-ROW(Накл!$B$9)+1),ROW(D134)-ROW(A125)+1)),""))</f>
        <v xml:space="preserve">         </v>
      </c>
      <c r="E125" s="26" t="str">
        <f t="array" ref="E125">IF(LEN(D125)&lt;10,CONCATENATE(IFERROR(INDEX(Накл!$C$9:$C$550,SMALL(IF(Накл!$A$9:$A$550=VALUE(LEFT(A125,8)),ROW(Накл!$A$9:$A$550)-ROW(Накл!$A$9)+1),ROW(E125)-ROW(B125)+1)),"")," ",IFERROR(INDEX(Накл!$C$9:$C$550,SMALL(IF(Накл!$A$9:$A$550=VALUE(LEFT(A125,8)),ROW(Накл!$A$9:$A$550)-ROW(Накл!$A$9)+1),ROW(E126)-ROW(B125)+1)),"")," ",IFERROR(INDEX(Накл!$C$9:$C$550,SMALL(IF(Накл!$A$9:$A$550=VALUE(LEFT(A125,8)),ROW(Накл!$A$9:$A$550)-ROW(Накл!$A$9)+1),ROW(E127)-ROW(B125)+1)),"")," ",IFERROR(INDEX(Накл!$C$9:$C$550,SMALL(IF(Накл!$A$9:$A$550=VALUE(LEFT(A125,8)),ROW(Накл!$A$9:$A$550)-ROW(Накл!$A$9)+1),ROW(E128)-ROW(B125)+1)),"")),"")</f>
        <v xml:space="preserve">   </v>
      </c>
    </row>
    <row r="126" spans="1:5">
      <c r="A126" s="26" t="str">
        <f>IFERROR(CONCATENATE(VALUE(SUBSTITUTE(SUBSTITUTE(LEFT(Накл!G133,11),".",""),"-",""))," ",Накл!J133),"-")</f>
        <v>-</v>
      </c>
      <c r="B126" s="26" t="str">
        <f>IFERROR(VLOOKUP(VALUE(LEFT(A126,8)),Накл!$A$9:$D$550,4,0),"-")</f>
        <v>-</v>
      </c>
      <c r="C126" s="26">
        <f>Накл!J133</f>
        <v>0</v>
      </c>
      <c r="D126" s="33" t="str">
        <f t="array" ref="D126">CONCATENATE(IFERROR(INDEX(Накл!$C$9:$C$550,SMALL(IF(Накл!$B$9:$B$550=A126,ROW(Накл!$B$9:$B$550)-ROW(Накл!$B$9)+1),ROW(D126)-ROW(A126)+1)),"")," ",IFERROR(INDEX(Накл!$C$9:$C$550,SMALL(IF(Накл!$B$9:$B$550=A126,ROW(Накл!$B$9:$B$550)-ROW(Накл!$B$9)+1),ROW(D127)-ROW(A126)+1)),"")," ",IFERROR(INDEX(Накл!$C$9:$C$550,SMALL(IF(Накл!$B$9:$B$550=A126,ROW(Накл!$B$9:$B$550)-ROW(Накл!$B$9)+1),ROW(D128)-ROW(A126)+1)),"")," ",IFERROR(INDEX(Накл!$C$9:$C$550,SMALL(IF(Накл!$B$9:$B$550=A126,ROW(Накл!$B$9:$B$550)-ROW(Накл!$B$9)+1),ROW(D129)-ROW(A126)+1)),"")," ",IFERROR(INDEX(Накл!$C$9:$C$550,SMALL(IF(Накл!$B$9:$B$550=A126,ROW(Накл!$B$9:$B$550)-ROW(Накл!$B$9)+1),ROW(D130)-ROW(A126)+1)),"")," ",IFERROR(INDEX(Накл!$C$9:$C$550,SMALL(IF(Накл!$B$9:$B$550=A126,ROW(Накл!$B$9:$B$550)-ROW(Накл!$B$9)+1),ROW(D131)-ROW(A126)+1)),"")," ",IFERROR(INDEX(Накл!$C$9:$C$550,SMALL(IF(Накл!$B$9:$B$550=A126,ROW(Накл!$B$9:$B$550)-ROW(Накл!$B$9)+1),ROW(D132)-ROW(A126)+1)),"")," ",IFERROR(INDEX(Накл!$C$9:$C$550,SMALL(IF(Накл!$B$9:$B$550=A126,ROW(Накл!$B$9:$B$550)-ROW(Накл!$B$9)+1),ROW(D133)-ROW(A126)+1)),"")," ",IFERROR(INDEX(Накл!$C$9:$C$550,SMALL(IF(Накл!$B$9:$B$550=A126,ROW(Накл!$B$9:$B$550)-ROW(Накл!$B$9)+1),ROW(D134)-ROW(A126)+1)),"")," ",IFERROR(INDEX(Накл!$C$9:$C$550,SMALL(IF(Накл!$B$9:$B$550=A126,ROW(Накл!$B$9:$B$550)-ROW(Накл!$B$9)+1),ROW(D135)-ROW(A126)+1)),""))</f>
        <v xml:space="preserve">         </v>
      </c>
      <c r="E126" s="26" t="str">
        <f t="array" ref="E126">IF(LEN(D126)&lt;10,CONCATENATE(IFERROR(INDEX(Накл!$C$9:$C$550,SMALL(IF(Накл!$A$9:$A$550=VALUE(LEFT(A126,8)),ROW(Накл!$A$9:$A$550)-ROW(Накл!$A$9)+1),ROW(E126)-ROW(B126)+1)),"")," ",IFERROR(INDEX(Накл!$C$9:$C$550,SMALL(IF(Накл!$A$9:$A$550=VALUE(LEFT(A126,8)),ROW(Накл!$A$9:$A$550)-ROW(Накл!$A$9)+1),ROW(E127)-ROW(B126)+1)),"")," ",IFERROR(INDEX(Накл!$C$9:$C$550,SMALL(IF(Накл!$A$9:$A$550=VALUE(LEFT(A126,8)),ROW(Накл!$A$9:$A$550)-ROW(Накл!$A$9)+1),ROW(E128)-ROW(B126)+1)),"")," ",IFERROR(INDEX(Накл!$C$9:$C$550,SMALL(IF(Накл!$A$9:$A$550=VALUE(LEFT(A126,8)),ROW(Накл!$A$9:$A$550)-ROW(Накл!$A$9)+1),ROW(E129)-ROW(B126)+1)),"")),"")</f>
        <v xml:space="preserve">   </v>
      </c>
    </row>
    <row r="127" spans="1:5">
      <c r="A127" s="26" t="str">
        <f>IFERROR(CONCATENATE(VALUE(SUBSTITUTE(SUBSTITUTE(LEFT(Накл!G134,11),".",""),"-",""))," ",Накл!J134),"-")</f>
        <v>-</v>
      </c>
      <c r="B127" s="26" t="str">
        <f>IFERROR(VLOOKUP(VALUE(LEFT(A127,8)),Накл!$A$9:$D$550,4,0),"-")</f>
        <v>-</v>
      </c>
      <c r="C127" s="26">
        <f>Накл!J134</f>
        <v>0</v>
      </c>
      <c r="D127" s="33" t="str">
        <f t="array" ref="D127">CONCATENATE(IFERROR(INDEX(Накл!$C$9:$C$550,SMALL(IF(Накл!$B$9:$B$550=A127,ROW(Накл!$B$9:$B$550)-ROW(Накл!$B$9)+1),ROW(D127)-ROW(A127)+1)),"")," ",IFERROR(INDEX(Накл!$C$9:$C$550,SMALL(IF(Накл!$B$9:$B$550=A127,ROW(Накл!$B$9:$B$550)-ROW(Накл!$B$9)+1),ROW(D128)-ROW(A127)+1)),"")," ",IFERROR(INDEX(Накл!$C$9:$C$550,SMALL(IF(Накл!$B$9:$B$550=A127,ROW(Накл!$B$9:$B$550)-ROW(Накл!$B$9)+1),ROW(D129)-ROW(A127)+1)),"")," ",IFERROR(INDEX(Накл!$C$9:$C$550,SMALL(IF(Накл!$B$9:$B$550=A127,ROW(Накл!$B$9:$B$550)-ROW(Накл!$B$9)+1),ROW(D130)-ROW(A127)+1)),"")," ",IFERROR(INDEX(Накл!$C$9:$C$550,SMALL(IF(Накл!$B$9:$B$550=A127,ROW(Накл!$B$9:$B$550)-ROW(Накл!$B$9)+1),ROW(D131)-ROW(A127)+1)),"")," ",IFERROR(INDEX(Накл!$C$9:$C$550,SMALL(IF(Накл!$B$9:$B$550=A127,ROW(Накл!$B$9:$B$550)-ROW(Накл!$B$9)+1),ROW(D132)-ROW(A127)+1)),"")," ",IFERROR(INDEX(Накл!$C$9:$C$550,SMALL(IF(Накл!$B$9:$B$550=A127,ROW(Накл!$B$9:$B$550)-ROW(Накл!$B$9)+1),ROW(D133)-ROW(A127)+1)),"")," ",IFERROR(INDEX(Накл!$C$9:$C$550,SMALL(IF(Накл!$B$9:$B$550=A127,ROW(Накл!$B$9:$B$550)-ROW(Накл!$B$9)+1),ROW(D134)-ROW(A127)+1)),"")," ",IFERROR(INDEX(Накл!$C$9:$C$550,SMALL(IF(Накл!$B$9:$B$550=A127,ROW(Накл!$B$9:$B$550)-ROW(Накл!$B$9)+1),ROW(D135)-ROW(A127)+1)),"")," ",IFERROR(INDEX(Накл!$C$9:$C$550,SMALL(IF(Накл!$B$9:$B$550=A127,ROW(Накл!$B$9:$B$550)-ROW(Накл!$B$9)+1),ROW(D136)-ROW(A127)+1)),""))</f>
        <v xml:space="preserve">         </v>
      </c>
      <c r="E127" s="26" t="str">
        <f t="array" ref="E127">IF(LEN(D127)&lt;10,CONCATENATE(IFERROR(INDEX(Накл!$C$9:$C$550,SMALL(IF(Накл!$A$9:$A$550=VALUE(LEFT(A127,8)),ROW(Накл!$A$9:$A$550)-ROW(Накл!$A$9)+1),ROW(E127)-ROW(B127)+1)),"")," ",IFERROR(INDEX(Накл!$C$9:$C$550,SMALL(IF(Накл!$A$9:$A$550=VALUE(LEFT(A127,8)),ROW(Накл!$A$9:$A$550)-ROW(Накл!$A$9)+1),ROW(E128)-ROW(B127)+1)),"")," ",IFERROR(INDEX(Накл!$C$9:$C$550,SMALL(IF(Накл!$A$9:$A$550=VALUE(LEFT(A127,8)),ROW(Накл!$A$9:$A$550)-ROW(Накл!$A$9)+1),ROW(E129)-ROW(B127)+1)),"")," ",IFERROR(INDEX(Накл!$C$9:$C$550,SMALL(IF(Накл!$A$9:$A$550=VALUE(LEFT(A127,8)),ROW(Накл!$A$9:$A$550)-ROW(Накл!$A$9)+1),ROW(E130)-ROW(B127)+1)),"")),"")</f>
        <v xml:space="preserve">   </v>
      </c>
    </row>
    <row r="128" spans="1:5">
      <c r="A128" s="26" t="str">
        <f>IFERROR(CONCATENATE(VALUE(SUBSTITUTE(SUBSTITUTE(LEFT(Накл!G135,11),".",""),"-",""))," ",Накл!J135),"-")</f>
        <v>-</v>
      </c>
      <c r="B128" s="26" t="str">
        <f>IFERROR(VLOOKUP(VALUE(LEFT(A128,8)),Накл!$A$9:$D$550,4,0),"-")</f>
        <v>-</v>
      </c>
      <c r="C128" s="26">
        <f>Накл!J135</f>
        <v>0</v>
      </c>
      <c r="D128" s="33" t="str">
        <f t="array" ref="D128">CONCATENATE(IFERROR(INDEX(Накл!$C$9:$C$550,SMALL(IF(Накл!$B$9:$B$550=A128,ROW(Накл!$B$9:$B$550)-ROW(Накл!$B$9)+1),ROW(D128)-ROW(A128)+1)),"")," ",IFERROR(INDEX(Накл!$C$9:$C$550,SMALL(IF(Накл!$B$9:$B$550=A128,ROW(Накл!$B$9:$B$550)-ROW(Накл!$B$9)+1),ROW(D129)-ROW(A128)+1)),"")," ",IFERROR(INDEX(Накл!$C$9:$C$550,SMALL(IF(Накл!$B$9:$B$550=A128,ROW(Накл!$B$9:$B$550)-ROW(Накл!$B$9)+1),ROW(D130)-ROW(A128)+1)),"")," ",IFERROR(INDEX(Накл!$C$9:$C$550,SMALL(IF(Накл!$B$9:$B$550=A128,ROW(Накл!$B$9:$B$550)-ROW(Накл!$B$9)+1),ROW(D131)-ROW(A128)+1)),"")," ",IFERROR(INDEX(Накл!$C$9:$C$550,SMALL(IF(Накл!$B$9:$B$550=A128,ROW(Накл!$B$9:$B$550)-ROW(Накл!$B$9)+1),ROW(D132)-ROW(A128)+1)),"")," ",IFERROR(INDEX(Накл!$C$9:$C$550,SMALL(IF(Накл!$B$9:$B$550=A128,ROW(Накл!$B$9:$B$550)-ROW(Накл!$B$9)+1),ROW(D133)-ROW(A128)+1)),"")," ",IFERROR(INDEX(Накл!$C$9:$C$550,SMALL(IF(Накл!$B$9:$B$550=A128,ROW(Накл!$B$9:$B$550)-ROW(Накл!$B$9)+1),ROW(D134)-ROW(A128)+1)),"")," ",IFERROR(INDEX(Накл!$C$9:$C$550,SMALL(IF(Накл!$B$9:$B$550=A128,ROW(Накл!$B$9:$B$550)-ROW(Накл!$B$9)+1),ROW(D135)-ROW(A128)+1)),"")," ",IFERROR(INDEX(Накл!$C$9:$C$550,SMALL(IF(Накл!$B$9:$B$550=A128,ROW(Накл!$B$9:$B$550)-ROW(Накл!$B$9)+1),ROW(D136)-ROW(A128)+1)),"")," ",IFERROR(INDEX(Накл!$C$9:$C$550,SMALL(IF(Накл!$B$9:$B$550=A128,ROW(Накл!$B$9:$B$550)-ROW(Накл!$B$9)+1),ROW(D137)-ROW(A128)+1)),""))</f>
        <v xml:space="preserve">         </v>
      </c>
      <c r="E128" s="26" t="str">
        <f t="array" ref="E128">IF(LEN(D128)&lt;10,CONCATENATE(IFERROR(INDEX(Накл!$C$9:$C$550,SMALL(IF(Накл!$A$9:$A$550=VALUE(LEFT(A128,8)),ROW(Накл!$A$9:$A$550)-ROW(Накл!$A$9)+1),ROW(E128)-ROW(B128)+1)),"")," ",IFERROR(INDEX(Накл!$C$9:$C$550,SMALL(IF(Накл!$A$9:$A$550=VALUE(LEFT(A128,8)),ROW(Накл!$A$9:$A$550)-ROW(Накл!$A$9)+1),ROW(E129)-ROW(B128)+1)),"")," ",IFERROR(INDEX(Накл!$C$9:$C$550,SMALL(IF(Накл!$A$9:$A$550=VALUE(LEFT(A128,8)),ROW(Накл!$A$9:$A$550)-ROW(Накл!$A$9)+1),ROW(E130)-ROW(B128)+1)),"")," ",IFERROR(INDEX(Накл!$C$9:$C$550,SMALL(IF(Накл!$A$9:$A$550=VALUE(LEFT(A128,8)),ROW(Накл!$A$9:$A$550)-ROW(Накл!$A$9)+1),ROW(E131)-ROW(B128)+1)),"")),"")</f>
        <v xml:space="preserve">   </v>
      </c>
    </row>
    <row r="129" spans="1:5">
      <c r="A129" s="26" t="str">
        <f>IFERROR(CONCATENATE(VALUE(SUBSTITUTE(SUBSTITUTE(LEFT(Накл!G136,11),".",""),"-",""))," ",Накл!J136),"-")</f>
        <v>-</v>
      </c>
      <c r="B129" s="26" t="str">
        <f>IFERROR(VLOOKUP(VALUE(LEFT(A129,8)),Накл!$A$9:$D$550,4,0),"-")</f>
        <v>-</v>
      </c>
      <c r="C129" s="26">
        <f>Накл!J136</f>
        <v>0</v>
      </c>
      <c r="D129" s="33" t="str">
        <f t="array" ref="D129">CONCATENATE(IFERROR(INDEX(Накл!$C$9:$C$550,SMALL(IF(Накл!$B$9:$B$550=A129,ROW(Накл!$B$9:$B$550)-ROW(Накл!$B$9)+1),ROW(D129)-ROW(A129)+1)),"")," ",IFERROR(INDEX(Накл!$C$9:$C$550,SMALL(IF(Накл!$B$9:$B$550=A129,ROW(Накл!$B$9:$B$550)-ROW(Накл!$B$9)+1),ROW(D130)-ROW(A129)+1)),"")," ",IFERROR(INDEX(Накл!$C$9:$C$550,SMALL(IF(Накл!$B$9:$B$550=A129,ROW(Накл!$B$9:$B$550)-ROW(Накл!$B$9)+1),ROW(D131)-ROW(A129)+1)),"")," ",IFERROR(INDEX(Накл!$C$9:$C$550,SMALL(IF(Накл!$B$9:$B$550=A129,ROW(Накл!$B$9:$B$550)-ROW(Накл!$B$9)+1),ROW(D132)-ROW(A129)+1)),"")," ",IFERROR(INDEX(Накл!$C$9:$C$550,SMALL(IF(Накл!$B$9:$B$550=A129,ROW(Накл!$B$9:$B$550)-ROW(Накл!$B$9)+1),ROW(D133)-ROW(A129)+1)),"")," ",IFERROR(INDEX(Накл!$C$9:$C$550,SMALL(IF(Накл!$B$9:$B$550=A129,ROW(Накл!$B$9:$B$550)-ROW(Накл!$B$9)+1),ROW(D134)-ROW(A129)+1)),"")," ",IFERROR(INDEX(Накл!$C$9:$C$550,SMALL(IF(Накл!$B$9:$B$550=A129,ROW(Накл!$B$9:$B$550)-ROW(Накл!$B$9)+1),ROW(D135)-ROW(A129)+1)),"")," ",IFERROR(INDEX(Накл!$C$9:$C$550,SMALL(IF(Накл!$B$9:$B$550=A129,ROW(Накл!$B$9:$B$550)-ROW(Накл!$B$9)+1),ROW(D136)-ROW(A129)+1)),"")," ",IFERROR(INDEX(Накл!$C$9:$C$550,SMALL(IF(Накл!$B$9:$B$550=A129,ROW(Накл!$B$9:$B$550)-ROW(Накл!$B$9)+1),ROW(D137)-ROW(A129)+1)),"")," ",IFERROR(INDEX(Накл!$C$9:$C$550,SMALL(IF(Накл!$B$9:$B$550=A129,ROW(Накл!$B$9:$B$550)-ROW(Накл!$B$9)+1),ROW(D138)-ROW(A129)+1)),""))</f>
        <v xml:space="preserve">         </v>
      </c>
      <c r="E129" s="26" t="str">
        <f t="array" ref="E129">IF(LEN(D129)&lt;10,CONCATENATE(IFERROR(INDEX(Накл!$C$9:$C$550,SMALL(IF(Накл!$A$9:$A$550=VALUE(LEFT(A129,8)),ROW(Накл!$A$9:$A$550)-ROW(Накл!$A$9)+1),ROW(E129)-ROW(B129)+1)),"")," ",IFERROR(INDEX(Накл!$C$9:$C$550,SMALL(IF(Накл!$A$9:$A$550=VALUE(LEFT(A129,8)),ROW(Накл!$A$9:$A$550)-ROW(Накл!$A$9)+1),ROW(E130)-ROW(B129)+1)),"")," ",IFERROR(INDEX(Накл!$C$9:$C$550,SMALL(IF(Накл!$A$9:$A$550=VALUE(LEFT(A129,8)),ROW(Накл!$A$9:$A$550)-ROW(Накл!$A$9)+1),ROW(E131)-ROW(B129)+1)),"")," ",IFERROR(INDEX(Накл!$C$9:$C$550,SMALL(IF(Накл!$A$9:$A$550=VALUE(LEFT(A129,8)),ROW(Накл!$A$9:$A$550)-ROW(Накл!$A$9)+1),ROW(E132)-ROW(B129)+1)),"")),"")</f>
        <v xml:space="preserve">   </v>
      </c>
    </row>
    <row r="130" spans="1:5">
      <c r="A130" s="26" t="str">
        <f>IFERROR(CONCATENATE(VALUE(SUBSTITUTE(SUBSTITUTE(LEFT(Накл!G137,11),".",""),"-",""))," ",Накл!J137),"-")</f>
        <v>-</v>
      </c>
      <c r="B130" s="26" t="str">
        <f>IFERROR(VLOOKUP(VALUE(LEFT(A130,8)),Накл!$A$9:$D$550,4,0),"-")</f>
        <v>-</v>
      </c>
      <c r="C130" s="26">
        <f>Накл!J137</f>
        <v>0</v>
      </c>
      <c r="D130" s="33" t="str">
        <f t="array" ref="D130">CONCATENATE(IFERROR(INDEX(Накл!$C$9:$C$550,SMALL(IF(Накл!$B$9:$B$550=A130,ROW(Накл!$B$9:$B$550)-ROW(Накл!$B$9)+1),ROW(D130)-ROW(A130)+1)),"")," ",IFERROR(INDEX(Накл!$C$9:$C$550,SMALL(IF(Накл!$B$9:$B$550=A130,ROW(Накл!$B$9:$B$550)-ROW(Накл!$B$9)+1),ROW(D131)-ROW(A130)+1)),"")," ",IFERROR(INDEX(Накл!$C$9:$C$550,SMALL(IF(Накл!$B$9:$B$550=A130,ROW(Накл!$B$9:$B$550)-ROW(Накл!$B$9)+1),ROW(D132)-ROW(A130)+1)),"")," ",IFERROR(INDEX(Накл!$C$9:$C$550,SMALL(IF(Накл!$B$9:$B$550=A130,ROW(Накл!$B$9:$B$550)-ROW(Накл!$B$9)+1),ROW(D133)-ROW(A130)+1)),"")," ",IFERROR(INDEX(Накл!$C$9:$C$550,SMALL(IF(Накл!$B$9:$B$550=A130,ROW(Накл!$B$9:$B$550)-ROW(Накл!$B$9)+1),ROW(D134)-ROW(A130)+1)),"")," ",IFERROR(INDEX(Накл!$C$9:$C$550,SMALL(IF(Накл!$B$9:$B$550=A130,ROW(Накл!$B$9:$B$550)-ROW(Накл!$B$9)+1),ROW(D135)-ROW(A130)+1)),"")," ",IFERROR(INDEX(Накл!$C$9:$C$550,SMALL(IF(Накл!$B$9:$B$550=A130,ROW(Накл!$B$9:$B$550)-ROW(Накл!$B$9)+1),ROW(D136)-ROW(A130)+1)),"")," ",IFERROR(INDEX(Накл!$C$9:$C$550,SMALL(IF(Накл!$B$9:$B$550=A130,ROW(Накл!$B$9:$B$550)-ROW(Накл!$B$9)+1),ROW(D137)-ROW(A130)+1)),"")," ",IFERROR(INDEX(Накл!$C$9:$C$550,SMALL(IF(Накл!$B$9:$B$550=A130,ROW(Накл!$B$9:$B$550)-ROW(Накл!$B$9)+1),ROW(D138)-ROW(A130)+1)),"")," ",IFERROR(INDEX(Накл!$C$9:$C$550,SMALL(IF(Накл!$B$9:$B$550=A130,ROW(Накл!$B$9:$B$550)-ROW(Накл!$B$9)+1),ROW(D139)-ROW(A130)+1)),""))</f>
        <v xml:space="preserve">         </v>
      </c>
      <c r="E130" s="26" t="str">
        <f t="array" ref="E130">IF(LEN(D130)&lt;10,CONCATENATE(IFERROR(INDEX(Накл!$C$9:$C$550,SMALL(IF(Накл!$A$9:$A$550=VALUE(LEFT(A130,8)),ROW(Накл!$A$9:$A$550)-ROW(Накл!$A$9)+1),ROW(E130)-ROW(B130)+1)),"")," ",IFERROR(INDEX(Накл!$C$9:$C$550,SMALL(IF(Накл!$A$9:$A$550=VALUE(LEFT(A130,8)),ROW(Накл!$A$9:$A$550)-ROW(Накл!$A$9)+1),ROW(E131)-ROW(B130)+1)),"")," ",IFERROR(INDEX(Накл!$C$9:$C$550,SMALL(IF(Накл!$A$9:$A$550=VALUE(LEFT(A130,8)),ROW(Накл!$A$9:$A$550)-ROW(Накл!$A$9)+1),ROW(E132)-ROW(B130)+1)),"")," ",IFERROR(INDEX(Накл!$C$9:$C$550,SMALL(IF(Накл!$A$9:$A$550=VALUE(LEFT(A130,8)),ROW(Накл!$A$9:$A$550)-ROW(Накл!$A$9)+1),ROW(E133)-ROW(B130)+1)),"")),"")</f>
        <v xml:space="preserve">   </v>
      </c>
    </row>
    <row r="131" spans="1:5">
      <c r="A131" s="26" t="str">
        <f>IFERROR(CONCATENATE(VALUE(SUBSTITUTE(SUBSTITUTE(LEFT(Накл!G138,11),".",""),"-",""))," ",Накл!J138),"-")</f>
        <v>-</v>
      </c>
      <c r="B131" s="26" t="str">
        <f>IFERROR(VLOOKUP(VALUE(LEFT(A131,8)),Накл!$A$9:$D$550,4,0),"-")</f>
        <v>-</v>
      </c>
      <c r="C131" s="26">
        <f>Накл!J138</f>
        <v>0</v>
      </c>
      <c r="D131" s="33" t="str">
        <f t="array" ref="D131">CONCATENATE(IFERROR(INDEX(Накл!$C$9:$C$550,SMALL(IF(Накл!$B$9:$B$550=A131,ROW(Накл!$B$9:$B$550)-ROW(Накл!$B$9)+1),ROW(D131)-ROW(A131)+1)),"")," ",IFERROR(INDEX(Накл!$C$9:$C$550,SMALL(IF(Накл!$B$9:$B$550=A131,ROW(Накл!$B$9:$B$550)-ROW(Накл!$B$9)+1),ROW(D132)-ROW(A131)+1)),"")," ",IFERROR(INDEX(Накл!$C$9:$C$550,SMALL(IF(Накл!$B$9:$B$550=A131,ROW(Накл!$B$9:$B$550)-ROW(Накл!$B$9)+1),ROW(D133)-ROW(A131)+1)),"")," ",IFERROR(INDEX(Накл!$C$9:$C$550,SMALL(IF(Накл!$B$9:$B$550=A131,ROW(Накл!$B$9:$B$550)-ROW(Накл!$B$9)+1),ROW(D134)-ROW(A131)+1)),"")," ",IFERROR(INDEX(Накл!$C$9:$C$550,SMALL(IF(Накл!$B$9:$B$550=A131,ROW(Накл!$B$9:$B$550)-ROW(Накл!$B$9)+1),ROW(D135)-ROW(A131)+1)),"")," ",IFERROR(INDEX(Накл!$C$9:$C$550,SMALL(IF(Накл!$B$9:$B$550=A131,ROW(Накл!$B$9:$B$550)-ROW(Накл!$B$9)+1),ROW(D136)-ROW(A131)+1)),"")," ",IFERROR(INDEX(Накл!$C$9:$C$550,SMALL(IF(Накл!$B$9:$B$550=A131,ROW(Накл!$B$9:$B$550)-ROW(Накл!$B$9)+1),ROW(D137)-ROW(A131)+1)),"")," ",IFERROR(INDEX(Накл!$C$9:$C$550,SMALL(IF(Накл!$B$9:$B$550=A131,ROW(Накл!$B$9:$B$550)-ROW(Накл!$B$9)+1),ROW(D138)-ROW(A131)+1)),"")," ",IFERROR(INDEX(Накл!$C$9:$C$550,SMALL(IF(Накл!$B$9:$B$550=A131,ROW(Накл!$B$9:$B$550)-ROW(Накл!$B$9)+1),ROW(D139)-ROW(A131)+1)),"")," ",IFERROR(INDEX(Накл!$C$9:$C$550,SMALL(IF(Накл!$B$9:$B$550=A131,ROW(Накл!$B$9:$B$550)-ROW(Накл!$B$9)+1),ROW(D140)-ROW(A131)+1)),""))</f>
        <v xml:space="preserve">         </v>
      </c>
      <c r="E131" s="26" t="str">
        <f t="array" ref="E131">IF(LEN(D131)&lt;10,CONCATENATE(IFERROR(INDEX(Накл!$C$9:$C$550,SMALL(IF(Накл!$A$9:$A$550=VALUE(LEFT(A131,8)),ROW(Накл!$A$9:$A$550)-ROW(Накл!$A$9)+1),ROW(E131)-ROW(B131)+1)),"")," ",IFERROR(INDEX(Накл!$C$9:$C$550,SMALL(IF(Накл!$A$9:$A$550=VALUE(LEFT(A131,8)),ROW(Накл!$A$9:$A$550)-ROW(Накл!$A$9)+1),ROW(E132)-ROW(B131)+1)),"")," ",IFERROR(INDEX(Накл!$C$9:$C$550,SMALL(IF(Накл!$A$9:$A$550=VALUE(LEFT(A131,8)),ROW(Накл!$A$9:$A$550)-ROW(Накл!$A$9)+1),ROW(E133)-ROW(B131)+1)),"")," ",IFERROR(INDEX(Накл!$C$9:$C$550,SMALL(IF(Накл!$A$9:$A$550=VALUE(LEFT(A131,8)),ROW(Накл!$A$9:$A$550)-ROW(Накл!$A$9)+1),ROW(E134)-ROW(B131)+1)),"")),"")</f>
        <v xml:space="preserve">   </v>
      </c>
    </row>
    <row r="132" spans="1:5">
      <c r="A132" s="26" t="str">
        <f>IFERROR(CONCATENATE(VALUE(SUBSTITUTE(SUBSTITUTE(LEFT(Накл!G139,11),".",""),"-",""))," ",Накл!J139),"-")</f>
        <v>-</v>
      </c>
      <c r="B132" s="26" t="str">
        <f>IFERROR(VLOOKUP(VALUE(LEFT(A132,8)),Накл!$A$9:$D$550,4,0),"-")</f>
        <v>-</v>
      </c>
      <c r="C132" s="26">
        <f>Накл!J139</f>
        <v>0</v>
      </c>
      <c r="D132" s="33" t="str">
        <f t="array" ref="D132">CONCATENATE(IFERROR(INDEX(Накл!$C$9:$C$550,SMALL(IF(Накл!$B$9:$B$550=A132,ROW(Накл!$B$9:$B$550)-ROW(Накл!$B$9)+1),ROW(D132)-ROW(A132)+1)),"")," ",IFERROR(INDEX(Накл!$C$9:$C$550,SMALL(IF(Накл!$B$9:$B$550=A132,ROW(Накл!$B$9:$B$550)-ROW(Накл!$B$9)+1),ROW(D133)-ROW(A132)+1)),"")," ",IFERROR(INDEX(Накл!$C$9:$C$550,SMALL(IF(Накл!$B$9:$B$550=A132,ROW(Накл!$B$9:$B$550)-ROW(Накл!$B$9)+1),ROW(D134)-ROW(A132)+1)),"")," ",IFERROR(INDEX(Накл!$C$9:$C$550,SMALL(IF(Накл!$B$9:$B$550=A132,ROW(Накл!$B$9:$B$550)-ROW(Накл!$B$9)+1),ROW(D135)-ROW(A132)+1)),"")," ",IFERROR(INDEX(Накл!$C$9:$C$550,SMALL(IF(Накл!$B$9:$B$550=A132,ROW(Накл!$B$9:$B$550)-ROW(Накл!$B$9)+1),ROW(D136)-ROW(A132)+1)),"")," ",IFERROR(INDEX(Накл!$C$9:$C$550,SMALL(IF(Накл!$B$9:$B$550=A132,ROW(Накл!$B$9:$B$550)-ROW(Накл!$B$9)+1),ROW(D137)-ROW(A132)+1)),"")," ",IFERROR(INDEX(Накл!$C$9:$C$550,SMALL(IF(Накл!$B$9:$B$550=A132,ROW(Накл!$B$9:$B$550)-ROW(Накл!$B$9)+1),ROW(D138)-ROW(A132)+1)),"")," ",IFERROR(INDEX(Накл!$C$9:$C$550,SMALL(IF(Накл!$B$9:$B$550=A132,ROW(Накл!$B$9:$B$550)-ROW(Накл!$B$9)+1),ROW(D139)-ROW(A132)+1)),"")," ",IFERROR(INDEX(Накл!$C$9:$C$550,SMALL(IF(Накл!$B$9:$B$550=A132,ROW(Накл!$B$9:$B$550)-ROW(Накл!$B$9)+1),ROW(D140)-ROW(A132)+1)),"")," ",IFERROR(INDEX(Накл!$C$9:$C$550,SMALL(IF(Накл!$B$9:$B$550=A132,ROW(Накл!$B$9:$B$550)-ROW(Накл!$B$9)+1),ROW(D141)-ROW(A132)+1)),""))</f>
        <v xml:space="preserve">         </v>
      </c>
      <c r="E132" s="26" t="str">
        <f t="array" ref="E132">IF(LEN(D132)&lt;10,CONCATENATE(IFERROR(INDEX(Накл!$C$9:$C$550,SMALL(IF(Накл!$A$9:$A$550=VALUE(LEFT(A132,8)),ROW(Накл!$A$9:$A$550)-ROW(Накл!$A$9)+1),ROW(E132)-ROW(B132)+1)),"")," ",IFERROR(INDEX(Накл!$C$9:$C$550,SMALL(IF(Накл!$A$9:$A$550=VALUE(LEFT(A132,8)),ROW(Накл!$A$9:$A$550)-ROW(Накл!$A$9)+1),ROW(E133)-ROW(B132)+1)),"")," ",IFERROR(INDEX(Накл!$C$9:$C$550,SMALL(IF(Накл!$A$9:$A$550=VALUE(LEFT(A132,8)),ROW(Накл!$A$9:$A$550)-ROW(Накл!$A$9)+1),ROW(E134)-ROW(B132)+1)),"")," ",IFERROR(INDEX(Накл!$C$9:$C$550,SMALL(IF(Накл!$A$9:$A$550=VALUE(LEFT(A132,8)),ROW(Накл!$A$9:$A$550)-ROW(Накл!$A$9)+1),ROW(E135)-ROW(B132)+1)),"")),"")</f>
        <v xml:space="preserve">   </v>
      </c>
    </row>
    <row r="133" spans="1:5">
      <c r="A133" s="26" t="str">
        <f>IFERROR(CONCATENATE(VALUE(SUBSTITUTE(SUBSTITUTE(LEFT(Накл!G140,11),".",""),"-",""))," ",Накл!J140),"-")</f>
        <v>-</v>
      </c>
      <c r="B133" s="26" t="str">
        <f>IFERROR(VLOOKUP(VALUE(LEFT(A133,8)),Накл!$A$9:$D$550,4,0),"-")</f>
        <v>-</v>
      </c>
      <c r="C133" s="26">
        <f>Накл!J140</f>
        <v>0</v>
      </c>
      <c r="D133" s="33" t="str">
        <f t="array" ref="D133">CONCATENATE(IFERROR(INDEX(Накл!$C$9:$C$550,SMALL(IF(Накл!$B$9:$B$550=A133,ROW(Накл!$B$9:$B$550)-ROW(Накл!$B$9)+1),ROW(D133)-ROW(A133)+1)),"")," ",IFERROR(INDEX(Накл!$C$9:$C$550,SMALL(IF(Накл!$B$9:$B$550=A133,ROW(Накл!$B$9:$B$550)-ROW(Накл!$B$9)+1),ROW(D134)-ROW(A133)+1)),"")," ",IFERROR(INDEX(Накл!$C$9:$C$550,SMALL(IF(Накл!$B$9:$B$550=A133,ROW(Накл!$B$9:$B$550)-ROW(Накл!$B$9)+1),ROW(D135)-ROW(A133)+1)),"")," ",IFERROR(INDEX(Накл!$C$9:$C$550,SMALL(IF(Накл!$B$9:$B$550=A133,ROW(Накл!$B$9:$B$550)-ROW(Накл!$B$9)+1),ROW(D136)-ROW(A133)+1)),"")," ",IFERROR(INDEX(Накл!$C$9:$C$550,SMALL(IF(Накл!$B$9:$B$550=A133,ROW(Накл!$B$9:$B$550)-ROW(Накл!$B$9)+1),ROW(D137)-ROW(A133)+1)),"")," ",IFERROR(INDEX(Накл!$C$9:$C$550,SMALL(IF(Накл!$B$9:$B$550=A133,ROW(Накл!$B$9:$B$550)-ROW(Накл!$B$9)+1),ROW(D138)-ROW(A133)+1)),"")," ",IFERROR(INDEX(Накл!$C$9:$C$550,SMALL(IF(Накл!$B$9:$B$550=A133,ROW(Накл!$B$9:$B$550)-ROW(Накл!$B$9)+1),ROW(D139)-ROW(A133)+1)),"")," ",IFERROR(INDEX(Накл!$C$9:$C$550,SMALL(IF(Накл!$B$9:$B$550=A133,ROW(Накл!$B$9:$B$550)-ROW(Накл!$B$9)+1),ROW(D140)-ROW(A133)+1)),"")," ",IFERROR(INDEX(Накл!$C$9:$C$550,SMALL(IF(Накл!$B$9:$B$550=A133,ROW(Накл!$B$9:$B$550)-ROW(Накл!$B$9)+1),ROW(D141)-ROW(A133)+1)),"")," ",IFERROR(INDEX(Накл!$C$9:$C$550,SMALL(IF(Накл!$B$9:$B$550=A133,ROW(Накл!$B$9:$B$550)-ROW(Накл!$B$9)+1),ROW(D142)-ROW(A133)+1)),""))</f>
        <v xml:space="preserve">         </v>
      </c>
      <c r="E133" s="26" t="str">
        <f t="array" ref="E133">IF(LEN(D133)&lt;10,CONCATENATE(IFERROR(INDEX(Накл!$C$9:$C$550,SMALL(IF(Накл!$A$9:$A$550=VALUE(LEFT(A133,8)),ROW(Накл!$A$9:$A$550)-ROW(Накл!$A$9)+1),ROW(E133)-ROW(B133)+1)),"")," ",IFERROR(INDEX(Накл!$C$9:$C$550,SMALL(IF(Накл!$A$9:$A$550=VALUE(LEFT(A133,8)),ROW(Накл!$A$9:$A$550)-ROW(Накл!$A$9)+1),ROW(E134)-ROW(B133)+1)),"")," ",IFERROR(INDEX(Накл!$C$9:$C$550,SMALL(IF(Накл!$A$9:$A$550=VALUE(LEFT(A133,8)),ROW(Накл!$A$9:$A$550)-ROW(Накл!$A$9)+1),ROW(E135)-ROW(B133)+1)),"")," ",IFERROR(INDEX(Накл!$C$9:$C$550,SMALL(IF(Накл!$A$9:$A$550=VALUE(LEFT(A133,8)),ROW(Накл!$A$9:$A$550)-ROW(Накл!$A$9)+1),ROW(E136)-ROW(B133)+1)),"")),"")</f>
        <v xml:space="preserve">   </v>
      </c>
    </row>
    <row r="134" spans="1:5">
      <c r="A134" s="26" t="str">
        <f>IFERROR(CONCATENATE(VALUE(SUBSTITUTE(SUBSTITUTE(LEFT(Накл!G141,11),".",""),"-",""))," ",Накл!J141),"-")</f>
        <v>-</v>
      </c>
      <c r="B134" s="26" t="str">
        <f>IFERROR(VLOOKUP(VALUE(LEFT(A134,8)),Накл!$A$9:$D$550,4,0),"-")</f>
        <v>-</v>
      </c>
      <c r="C134" s="26">
        <f>Накл!J141</f>
        <v>0</v>
      </c>
      <c r="D134" s="33" t="str">
        <f t="array" ref="D134">CONCATENATE(IFERROR(INDEX(Накл!$C$9:$C$550,SMALL(IF(Накл!$B$9:$B$550=A134,ROW(Накл!$B$9:$B$550)-ROW(Накл!$B$9)+1),ROW(D134)-ROW(A134)+1)),"")," ",IFERROR(INDEX(Накл!$C$9:$C$550,SMALL(IF(Накл!$B$9:$B$550=A134,ROW(Накл!$B$9:$B$550)-ROW(Накл!$B$9)+1),ROW(D135)-ROW(A134)+1)),"")," ",IFERROR(INDEX(Накл!$C$9:$C$550,SMALL(IF(Накл!$B$9:$B$550=A134,ROW(Накл!$B$9:$B$550)-ROW(Накл!$B$9)+1),ROW(D136)-ROW(A134)+1)),"")," ",IFERROR(INDEX(Накл!$C$9:$C$550,SMALL(IF(Накл!$B$9:$B$550=A134,ROW(Накл!$B$9:$B$550)-ROW(Накл!$B$9)+1),ROW(D137)-ROW(A134)+1)),"")," ",IFERROR(INDEX(Накл!$C$9:$C$550,SMALL(IF(Накл!$B$9:$B$550=A134,ROW(Накл!$B$9:$B$550)-ROW(Накл!$B$9)+1),ROW(D138)-ROW(A134)+1)),"")," ",IFERROR(INDEX(Накл!$C$9:$C$550,SMALL(IF(Накл!$B$9:$B$550=A134,ROW(Накл!$B$9:$B$550)-ROW(Накл!$B$9)+1),ROW(D139)-ROW(A134)+1)),"")," ",IFERROR(INDEX(Накл!$C$9:$C$550,SMALL(IF(Накл!$B$9:$B$550=A134,ROW(Накл!$B$9:$B$550)-ROW(Накл!$B$9)+1),ROW(D140)-ROW(A134)+1)),"")," ",IFERROR(INDEX(Накл!$C$9:$C$550,SMALL(IF(Накл!$B$9:$B$550=A134,ROW(Накл!$B$9:$B$550)-ROW(Накл!$B$9)+1),ROW(D141)-ROW(A134)+1)),"")," ",IFERROR(INDEX(Накл!$C$9:$C$550,SMALL(IF(Накл!$B$9:$B$550=A134,ROW(Накл!$B$9:$B$550)-ROW(Накл!$B$9)+1),ROW(D142)-ROW(A134)+1)),"")," ",IFERROR(INDEX(Накл!$C$9:$C$550,SMALL(IF(Накл!$B$9:$B$550=A134,ROW(Накл!$B$9:$B$550)-ROW(Накл!$B$9)+1),ROW(D143)-ROW(A134)+1)),""))</f>
        <v xml:space="preserve">         </v>
      </c>
      <c r="E134" s="26" t="str">
        <f t="array" ref="E134">IF(LEN(D134)&lt;10,CONCATENATE(IFERROR(INDEX(Накл!$C$9:$C$550,SMALL(IF(Накл!$A$9:$A$550=VALUE(LEFT(A134,8)),ROW(Накл!$A$9:$A$550)-ROW(Накл!$A$9)+1),ROW(E134)-ROW(B134)+1)),"")," ",IFERROR(INDEX(Накл!$C$9:$C$550,SMALL(IF(Накл!$A$9:$A$550=VALUE(LEFT(A134,8)),ROW(Накл!$A$9:$A$550)-ROW(Накл!$A$9)+1),ROW(E135)-ROW(B134)+1)),"")," ",IFERROR(INDEX(Накл!$C$9:$C$550,SMALL(IF(Накл!$A$9:$A$550=VALUE(LEFT(A134,8)),ROW(Накл!$A$9:$A$550)-ROW(Накл!$A$9)+1),ROW(E136)-ROW(B134)+1)),"")," ",IFERROR(INDEX(Накл!$C$9:$C$550,SMALL(IF(Накл!$A$9:$A$550=VALUE(LEFT(A134,8)),ROW(Накл!$A$9:$A$550)-ROW(Накл!$A$9)+1),ROW(E137)-ROW(B134)+1)),"")),"")</f>
        <v xml:space="preserve">   </v>
      </c>
    </row>
    <row r="135" spans="1:5">
      <c r="A135" s="26" t="str">
        <f>IFERROR(CONCATENATE(VALUE(SUBSTITUTE(SUBSTITUTE(LEFT(Накл!G142,11),".",""),"-",""))," ",Накл!J142),"-")</f>
        <v>-</v>
      </c>
      <c r="B135" s="26" t="str">
        <f>IFERROR(VLOOKUP(VALUE(LEFT(A135,8)),Накл!$A$9:$D$550,4,0),"-")</f>
        <v>-</v>
      </c>
      <c r="C135" s="26">
        <f>Накл!J142</f>
        <v>0</v>
      </c>
      <c r="D135" s="33" t="str">
        <f t="array" ref="D135">CONCATENATE(IFERROR(INDEX(Накл!$C$9:$C$550,SMALL(IF(Накл!$B$9:$B$550=A135,ROW(Накл!$B$9:$B$550)-ROW(Накл!$B$9)+1),ROW(D135)-ROW(A135)+1)),"")," ",IFERROR(INDEX(Накл!$C$9:$C$550,SMALL(IF(Накл!$B$9:$B$550=A135,ROW(Накл!$B$9:$B$550)-ROW(Накл!$B$9)+1),ROW(D136)-ROW(A135)+1)),"")," ",IFERROR(INDEX(Накл!$C$9:$C$550,SMALL(IF(Накл!$B$9:$B$550=A135,ROW(Накл!$B$9:$B$550)-ROW(Накл!$B$9)+1),ROW(D137)-ROW(A135)+1)),"")," ",IFERROR(INDEX(Накл!$C$9:$C$550,SMALL(IF(Накл!$B$9:$B$550=A135,ROW(Накл!$B$9:$B$550)-ROW(Накл!$B$9)+1),ROW(D138)-ROW(A135)+1)),"")," ",IFERROR(INDEX(Накл!$C$9:$C$550,SMALL(IF(Накл!$B$9:$B$550=A135,ROW(Накл!$B$9:$B$550)-ROW(Накл!$B$9)+1),ROW(D139)-ROW(A135)+1)),"")," ",IFERROR(INDEX(Накл!$C$9:$C$550,SMALL(IF(Накл!$B$9:$B$550=A135,ROW(Накл!$B$9:$B$550)-ROW(Накл!$B$9)+1),ROW(D140)-ROW(A135)+1)),"")," ",IFERROR(INDEX(Накл!$C$9:$C$550,SMALL(IF(Накл!$B$9:$B$550=A135,ROW(Накл!$B$9:$B$550)-ROW(Накл!$B$9)+1),ROW(D141)-ROW(A135)+1)),"")," ",IFERROR(INDEX(Накл!$C$9:$C$550,SMALL(IF(Накл!$B$9:$B$550=A135,ROW(Накл!$B$9:$B$550)-ROW(Накл!$B$9)+1),ROW(D142)-ROW(A135)+1)),"")," ",IFERROR(INDEX(Накл!$C$9:$C$550,SMALL(IF(Накл!$B$9:$B$550=A135,ROW(Накл!$B$9:$B$550)-ROW(Накл!$B$9)+1),ROW(D143)-ROW(A135)+1)),"")," ",IFERROR(INDEX(Накл!$C$9:$C$550,SMALL(IF(Накл!$B$9:$B$550=A135,ROW(Накл!$B$9:$B$550)-ROW(Накл!$B$9)+1),ROW(D144)-ROW(A135)+1)),""))</f>
        <v xml:space="preserve">         </v>
      </c>
      <c r="E135" s="26" t="str">
        <f t="array" ref="E135">IF(LEN(D135)&lt;10,CONCATENATE(IFERROR(INDEX(Накл!$C$9:$C$550,SMALL(IF(Накл!$A$9:$A$550=VALUE(LEFT(A135,8)),ROW(Накл!$A$9:$A$550)-ROW(Накл!$A$9)+1),ROW(E135)-ROW(B135)+1)),"")," ",IFERROR(INDEX(Накл!$C$9:$C$550,SMALL(IF(Накл!$A$9:$A$550=VALUE(LEFT(A135,8)),ROW(Накл!$A$9:$A$550)-ROW(Накл!$A$9)+1),ROW(E136)-ROW(B135)+1)),"")," ",IFERROR(INDEX(Накл!$C$9:$C$550,SMALL(IF(Накл!$A$9:$A$550=VALUE(LEFT(A135,8)),ROW(Накл!$A$9:$A$550)-ROW(Накл!$A$9)+1),ROW(E137)-ROW(B135)+1)),"")," ",IFERROR(INDEX(Накл!$C$9:$C$550,SMALL(IF(Накл!$A$9:$A$550=VALUE(LEFT(A135,8)),ROW(Накл!$A$9:$A$550)-ROW(Накл!$A$9)+1),ROW(E138)-ROW(B135)+1)),"")),"")</f>
        <v xml:space="preserve">   </v>
      </c>
    </row>
    <row r="136" spans="1:5">
      <c r="A136" s="26" t="str">
        <f>IFERROR(CONCATENATE(VALUE(SUBSTITUTE(SUBSTITUTE(LEFT(Накл!G143,11),".",""),"-",""))," ",Накл!J143),"-")</f>
        <v>-</v>
      </c>
      <c r="B136" s="26" t="str">
        <f>IFERROR(VLOOKUP(VALUE(LEFT(A136,8)),Накл!$A$9:$D$550,4,0),"-")</f>
        <v>-</v>
      </c>
      <c r="C136" s="26">
        <f>Накл!J143</f>
        <v>0</v>
      </c>
      <c r="D136" s="33" t="str">
        <f t="array" ref="D136">CONCATENATE(IFERROR(INDEX(Накл!$C$9:$C$550,SMALL(IF(Накл!$B$9:$B$550=A136,ROW(Накл!$B$9:$B$550)-ROW(Накл!$B$9)+1),ROW(D136)-ROW(A136)+1)),"")," ",IFERROR(INDEX(Накл!$C$9:$C$550,SMALL(IF(Накл!$B$9:$B$550=A136,ROW(Накл!$B$9:$B$550)-ROW(Накл!$B$9)+1),ROW(D137)-ROW(A136)+1)),"")," ",IFERROR(INDEX(Накл!$C$9:$C$550,SMALL(IF(Накл!$B$9:$B$550=A136,ROW(Накл!$B$9:$B$550)-ROW(Накл!$B$9)+1),ROW(D138)-ROW(A136)+1)),"")," ",IFERROR(INDEX(Накл!$C$9:$C$550,SMALL(IF(Накл!$B$9:$B$550=A136,ROW(Накл!$B$9:$B$550)-ROW(Накл!$B$9)+1),ROW(D139)-ROW(A136)+1)),"")," ",IFERROR(INDEX(Накл!$C$9:$C$550,SMALL(IF(Накл!$B$9:$B$550=A136,ROW(Накл!$B$9:$B$550)-ROW(Накл!$B$9)+1),ROW(D140)-ROW(A136)+1)),"")," ",IFERROR(INDEX(Накл!$C$9:$C$550,SMALL(IF(Накл!$B$9:$B$550=A136,ROW(Накл!$B$9:$B$550)-ROW(Накл!$B$9)+1),ROW(D141)-ROW(A136)+1)),"")," ",IFERROR(INDEX(Накл!$C$9:$C$550,SMALL(IF(Накл!$B$9:$B$550=A136,ROW(Накл!$B$9:$B$550)-ROW(Накл!$B$9)+1),ROW(D142)-ROW(A136)+1)),"")," ",IFERROR(INDEX(Накл!$C$9:$C$550,SMALL(IF(Накл!$B$9:$B$550=A136,ROW(Накл!$B$9:$B$550)-ROW(Накл!$B$9)+1),ROW(D143)-ROW(A136)+1)),"")," ",IFERROR(INDEX(Накл!$C$9:$C$550,SMALL(IF(Накл!$B$9:$B$550=A136,ROW(Накл!$B$9:$B$550)-ROW(Накл!$B$9)+1),ROW(D144)-ROW(A136)+1)),"")," ",IFERROR(INDEX(Накл!$C$9:$C$550,SMALL(IF(Накл!$B$9:$B$550=A136,ROW(Накл!$B$9:$B$550)-ROW(Накл!$B$9)+1),ROW(D145)-ROW(A136)+1)),""))</f>
        <v xml:space="preserve">         </v>
      </c>
      <c r="E136" s="26" t="str">
        <f t="array" ref="E136">IF(LEN(D136)&lt;10,CONCATENATE(IFERROR(INDEX(Накл!$C$9:$C$550,SMALL(IF(Накл!$A$9:$A$550=VALUE(LEFT(A136,8)),ROW(Накл!$A$9:$A$550)-ROW(Накл!$A$9)+1),ROW(E136)-ROW(B136)+1)),"")," ",IFERROR(INDEX(Накл!$C$9:$C$550,SMALL(IF(Накл!$A$9:$A$550=VALUE(LEFT(A136,8)),ROW(Накл!$A$9:$A$550)-ROW(Накл!$A$9)+1),ROW(E137)-ROW(B136)+1)),"")," ",IFERROR(INDEX(Накл!$C$9:$C$550,SMALL(IF(Накл!$A$9:$A$550=VALUE(LEFT(A136,8)),ROW(Накл!$A$9:$A$550)-ROW(Накл!$A$9)+1),ROW(E138)-ROW(B136)+1)),"")," ",IFERROR(INDEX(Накл!$C$9:$C$550,SMALL(IF(Накл!$A$9:$A$550=VALUE(LEFT(A136,8)),ROW(Накл!$A$9:$A$550)-ROW(Накл!$A$9)+1),ROW(E139)-ROW(B136)+1)),"")),"")</f>
        <v xml:space="preserve">   </v>
      </c>
    </row>
    <row r="137" spans="1:5">
      <c r="A137" s="26" t="str">
        <f>IFERROR(CONCATENATE(VALUE(SUBSTITUTE(SUBSTITUTE(LEFT(Накл!G144,11),".",""),"-",""))," ",Накл!J144),"-")</f>
        <v>-</v>
      </c>
      <c r="B137" s="26" t="str">
        <f>IFERROR(VLOOKUP(VALUE(LEFT(A137,8)),Накл!$A$9:$D$550,4,0),"-")</f>
        <v>-</v>
      </c>
      <c r="C137" s="26">
        <f>Накл!J144</f>
        <v>0</v>
      </c>
      <c r="D137" s="33" t="str">
        <f t="array" ref="D137">CONCATENATE(IFERROR(INDEX(Накл!$C$9:$C$550,SMALL(IF(Накл!$B$9:$B$550=A137,ROW(Накл!$B$9:$B$550)-ROW(Накл!$B$9)+1),ROW(D137)-ROW(A137)+1)),"")," ",IFERROR(INDEX(Накл!$C$9:$C$550,SMALL(IF(Накл!$B$9:$B$550=A137,ROW(Накл!$B$9:$B$550)-ROW(Накл!$B$9)+1),ROW(D138)-ROW(A137)+1)),"")," ",IFERROR(INDEX(Накл!$C$9:$C$550,SMALL(IF(Накл!$B$9:$B$550=A137,ROW(Накл!$B$9:$B$550)-ROW(Накл!$B$9)+1),ROW(D139)-ROW(A137)+1)),"")," ",IFERROR(INDEX(Накл!$C$9:$C$550,SMALL(IF(Накл!$B$9:$B$550=A137,ROW(Накл!$B$9:$B$550)-ROW(Накл!$B$9)+1),ROW(D140)-ROW(A137)+1)),"")," ",IFERROR(INDEX(Накл!$C$9:$C$550,SMALL(IF(Накл!$B$9:$B$550=A137,ROW(Накл!$B$9:$B$550)-ROW(Накл!$B$9)+1),ROW(D141)-ROW(A137)+1)),"")," ",IFERROR(INDEX(Накл!$C$9:$C$550,SMALL(IF(Накл!$B$9:$B$550=A137,ROW(Накл!$B$9:$B$550)-ROW(Накл!$B$9)+1),ROW(D142)-ROW(A137)+1)),"")," ",IFERROR(INDEX(Накл!$C$9:$C$550,SMALL(IF(Накл!$B$9:$B$550=A137,ROW(Накл!$B$9:$B$550)-ROW(Накл!$B$9)+1),ROW(D143)-ROW(A137)+1)),"")," ",IFERROR(INDEX(Накл!$C$9:$C$550,SMALL(IF(Накл!$B$9:$B$550=A137,ROW(Накл!$B$9:$B$550)-ROW(Накл!$B$9)+1),ROW(D144)-ROW(A137)+1)),"")," ",IFERROR(INDEX(Накл!$C$9:$C$550,SMALL(IF(Накл!$B$9:$B$550=A137,ROW(Накл!$B$9:$B$550)-ROW(Накл!$B$9)+1),ROW(D145)-ROW(A137)+1)),"")," ",IFERROR(INDEX(Накл!$C$9:$C$550,SMALL(IF(Накл!$B$9:$B$550=A137,ROW(Накл!$B$9:$B$550)-ROW(Накл!$B$9)+1),ROW(D146)-ROW(A137)+1)),""))</f>
        <v xml:space="preserve">         </v>
      </c>
      <c r="E137" s="26" t="str">
        <f t="array" ref="E137">IF(LEN(D137)&lt;10,CONCATENATE(IFERROR(INDEX(Накл!$C$9:$C$550,SMALL(IF(Накл!$A$9:$A$550=VALUE(LEFT(A137,8)),ROW(Накл!$A$9:$A$550)-ROW(Накл!$A$9)+1),ROW(E137)-ROW(B137)+1)),"")," ",IFERROR(INDEX(Накл!$C$9:$C$550,SMALL(IF(Накл!$A$9:$A$550=VALUE(LEFT(A137,8)),ROW(Накл!$A$9:$A$550)-ROW(Накл!$A$9)+1),ROW(E138)-ROW(B137)+1)),"")," ",IFERROR(INDEX(Накл!$C$9:$C$550,SMALL(IF(Накл!$A$9:$A$550=VALUE(LEFT(A137,8)),ROW(Накл!$A$9:$A$550)-ROW(Накл!$A$9)+1),ROW(E139)-ROW(B137)+1)),"")," ",IFERROR(INDEX(Накл!$C$9:$C$550,SMALL(IF(Накл!$A$9:$A$550=VALUE(LEFT(A137,8)),ROW(Накл!$A$9:$A$550)-ROW(Накл!$A$9)+1),ROW(E140)-ROW(B137)+1)),"")),"")</f>
        <v xml:space="preserve">   </v>
      </c>
    </row>
    <row r="138" spans="1:5">
      <c r="A138" s="26" t="str">
        <f>IFERROR(CONCATENATE(VALUE(SUBSTITUTE(SUBSTITUTE(LEFT(Накл!G145,11),".",""),"-",""))," ",Накл!J145),"-")</f>
        <v>-</v>
      </c>
      <c r="B138" s="26" t="str">
        <f>IFERROR(VLOOKUP(VALUE(LEFT(A138,8)),Накл!$A$9:$D$550,4,0),"-")</f>
        <v>-</v>
      </c>
      <c r="C138" s="26">
        <f>Накл!J145</f>
        <v>0</v>
      </c>
      <c r="D138" s="33" t="str">
        <f t="array" ref="D138">CONCATENATE(IFERROR(INDEX(Накл!$C$9:$C$550,SMALL(IF(Накл!$B$9:$B$550=A138,ROW(Накл!$B$9:$B$550)-ROW(Накл!$B$9)+1),ROW(D138)-ROW(A138)+1)),"")," ",IFERROR(INDEX(Накл!$C$9:$C$550,SMALL(IF(Накл!$B$9:$B$550=A138,ROW(Накл!$B$9:$B$550)-ROW(Накл!$B$9)+1),ROW(D139)-ROW(A138)+1)),"")," ",IFERROR(INDEX(Накл!$C$9:$C$550,SMALL(IF(Накл!$B$9:$B$550=A138,ROW(Накл!$B$9:$B$550)-ROW(Накл!$B$9)+1),ROW(D140)-ROW(A138)+1)),"")," ",IFERROR(INDEX(Накл!$C$9:$C$550,SMALL(IF(Накл!$B$9:$B$550=A138,ROW(Накл!$B$9:$B$550)-ROW(Накл!$B$9)+1),ROW(D141)-ROW(A138)+1)),"")," ",IFERROR(INDEX(Накл!$C$9:$C$550,SMALL(IF(Накл!$B$9:$B$550=A138,ROW(Накл!$B$9:$B$550)-ROW(Накл!$B$9)+1),ROW(D142)-ROW(A138)+1)),"")," ",IFERROR(INDEX(Накл!$C$9:$C$550,SMALL(IF(Накл!$B$9:$B$550=A138,ROW(Накл!$B$9:$B$550)-ROW(Накл!$B$9)+1),ROW(D143)-ROW(A138)+1)),"")," ",IFERROR(INDEX(Накл!$C$9:$C$550,SMALL(IF(Накл!$B$9:$B$550=A138,ROW(Накл!$B$9:$B$550)-ROW(Накл!$B$9)+1),ROW(D144)-ROW(A138)+1)),"")," ",IFERROR(INDEX(Накл!$C$9:$C$550,SMALL(IF(Накл!$B$9:$B$550=A138,ROW(Накл!$B$9:$B$550)-ROW(Накл!$B$9)+1),ROW(D145)-ROW(A138)+1)),"")," ",IFERROR(INDEX(Накл!$C$9:$C$550,SMALL(IF(Накл!$B$9:$B$550=A138,ROW(Накл!$B$9:$B$550)-ROW(Накл!$B$9)+1),ROW(D146)-ROW(A138)+1)),"")," ",IFERROR(INDEX(Накл!$C$9:$C$550,SMALL(IF(Накл!$B$9:$B$550=A138,ROW(Накл!$B$9:$B$550)-ROW(Накл!$B$9)+1),ROW(D147)-ROW(A138)+1)),""))</f>
        <v xml:space="preserve">         </v>
      </c>
      <c r="E138" s="26" t="str">
        <f t="array" ref="E138">IF(LEN(D138)&lt;10,CONCATENATE(IFERROR(INDEX(Накл!$C$9:$C$550,SMALL(IF(Накл!$A$9:$A$550=VALUE(LEFT(A138,8)),ROW(Накл!$A$9:$A$550)-ROW(Накл!$A$9)+1),ROW(E138)-ROW(B138)+1)),"")," ",IFERROR(INDEX(Накл!$C$9:$C$550,SMALL(IF(Накл!$A$9:$A$550=VALUE(LEFT(A138,8)),ROW(Накл!$A$9:$A$550)-ROW(Накл!$A$9)+1),ROW(E139)-ROW(B138)+1)),"")," ",IFERROR(INDEX(Накл!$C$9:$C$550,SMALL(IF(Накл!$A$9:$A$550=VALUE(LEFT(A138,8)),ROW(Накл!$A$9:$A$550)-ROW(Накл!$A$9)+1),ROW(E140)-ROW(B138)+1)),"")," ",IFERROR(INDEX(Накл!$C$9:$C$550,SMALL(IF(Накл!$A$9:$A$550=VALUE(LEFT(A138,8)),ROW(Накл!$A$9:$A$550)-ROW(Накл!$A$9)+1),ROW(E141)-ROW(B138)+1)),"")),"")</f>
        <v xml:space="preserve">   </v>
      </c>
    </row>
    <row r="139" spans="1:5">
      <c r="A139" s="26" t="str">
        <f>IFERROR(CONCATENATE(VALUE(SUBSTITUTE(SUBSTITUTE(LEFT(Накл!G146,11),".",""),"-",""))," ",Накл!J146),"-")</f>
        <v>-</v>
      </c>
      <c r="B139" s="26" t="str">
        <f>IFERROR(VLOOKUP(VALUE(LEFT(A139,8)),Накл!$A$9:$D$550,4,0),"-")</f>
        <v>-</v>
      </c>
      <c r="C139" s="26">
        <f>Накл!J146</f>
        <v>0</v>
      </c>
      <c r="D139" s="33" t="str">
        <f t="array" ref="D139">CONCATENATE(IFERROR(INDEX(Накл!$C$9:$C$550,SMALL(IF(Накл!$B$9:$B$550=A139,ROW(Накл!$B$9:$B$550)-ROW(Накл!$B$9)+1),ROW(D139)-ROW(A139)+1)),"")," ",IFERROR(INDEX(Накл!$C$9:$C$550,SMALL(IF(Накл!$B$9:$B$550=A139,ROW(Накл!$B$9:$B$550)-ROW(Накл!$B$9)+1),ROW(D140)-ROW(A139)+1)),"")," ",IFERROR(INDEX(Накл!$C$9:$C$550,SMALL(IF(Накл!$B$9:$B$550=A139,ROW(Накл!$B$9:$B$550)-ROW(Накл!$B$9)+1),ROW(D141)-ROW(A139)+1)),"")," ",IFERROR(INDEX(Накл!$C$9:$C$550,SMALL(IF(Накл!$B$9:$B$550=A139,ROW(Накл!$B$9:$B$550)-ROW(Накл!$B$9)+1),ROW(D142)-ROW(A139)+1)),"")," ",IFERROR(INDEX(Накл!$C$9:$C$550,SMALL(IF(Накл!$B$9:$B$550=A139,ROW(Накл!$B$9:$B$550)-ROW(Накл!$B$9)+1),ROW(D143)-ROW(A139)+1)),"")," ",IFERROR(INDEX(Накл!$C$9:$C$550,SMALL(IF(Накл!$B$9:$B$550=A139,ROW(Накл!$B$9:$B$550)-ROW(Накл!$B$9)+1),ROW(D144)-ROW(A139)+1)),"")," ",IFERROR(INDEX(Накл!$C$9:$C$550,SMALL(IF(Накл!$B$9:$B$550=A139,ROW(Накл!$B$9:$B$550)-ROW(Накл!$B$9)+1),ROW(D145)-ROW(A139)+1)),"")," ",IFERROR(INDEX(Накл!$C$9:$C$550,SMALL(IF(Накл!$B$9:$B$550=A139,ROW(Накл!$B$9:$B$550)-ROW(Накл!$B$9)+1),ROW(D146)-ROW(A139)+1)),"")," ",IFERROR(INDEX(Накл!$C$9:$C$550,SMALL(IF(Накл!$B$9:$B$550=A139,ROW(Накл!$B$9:$B$550)-ROW(Накл!$B$9)+1),ROW(D147)-ROW(A139)+1)),"")," ",IFERROR(INDEX(Накл!$C$9:$C$550,SMALL(IF(Накл!$B$9:$B$550=A139,ROW(Накл!$B$9:$B$550)-ROW(Накл!$B$9)+1),ROW(D148)-ROW(A139)+1)),""))</f>
        <v xml:space="preserve">         </v>
      </c>
      <c r="E139" s="26" t="str">
        <f t="array" ref="E139">IF(LEN(D139)&lt;10,CONCATENATE(IFERROR(INDEX(Накл!$C$9:$C$550,SMALL(IF(Накл!$A$9:$A$550=VALUE(LEFT(A139,8)),ROW(Накл!$A$9:$A$550)-ROW(Накл!$A$9)+1),ROW(E139)-ROW(B139)+1)),"")," ",IFERROR(INDEX(Накл!$C$9:$C$550,SMALL(IF(Накл!$A$9:$A$550=VALUE(LEFT(A139,8)),ROW(Накл!$A$9:$A$550)-ROW(Накл!$A$9)+1),ROW(E140)-ROW(B139)+1)),"")," ",IFERROR(INDEX(Накл!$C$9:$C$550,SMALL(IF(Накл!$A$9:$A$550=VALUE(LEFT(A139,8)),ROW(Накл!$A$9:$A$550)-ROW(Накл!$A$9)+1),ROW(E141)-ROW(B139)+1)),"")," ",IFERROR(INDEX(Накл!$C$9:$C$550,SMALL(IF(Накл!$A$9:$A$550=VALUE(LEFT(A139,8)),ROW(Накл!$A$9:$A$550)-ROW(Накл!$A$9)+1),ROW(E142)-ROW(B139)+1)),"")),"")</f>
        <v xml:space="preserve">   </v>
      </c>
    </row>
    <row r="140" spans="1:5">
      <c r="A140" s="26" t="str">
        <f>IFERROR(CONCATENATE(VALUE(SUBSTITUTE(SUBSTITUTE(LEFT(Накл!G147,11),".",""),"-",""))," ",Накл!J147),"-")</f>
        <v>-</v>
      </c>
      <c r="B140" s="26" t="str">
        <f>IFERROR(VLOOKUP(VALUE(LEFT(A140,8)),Накл!$A$9:$D$550,4,0),"-")</f>
        <v>-</v>
      </c>
      <c r="C140" s="26">
        <f>Накл!J147</f>
        <v>0</v>
      </c>
      <c r="D140" s="33" t="str">
        <f t="array" ref="D140">CONCATENATE(IFERROR(INDEX(Накл!$C$9:$C$550,SMALL(IF(Накл!$B$9:$B$550=A140,ROW(Накл!$B$9:$B$550)-ROW(Накл!$B$9)+1),ROW(D140)-ROW(A140)+1)),"")," ",IFERROR(INDEX(Накл!$C$9:$C$550,SMALL(IF(Накл!$B$9:$B$550=A140,ROW(Накл!$B$9:$B$550)-ROW(Накл!$B$9)+1),ROW(D141)-ROW(A140)+1)),"")," ",IFERROR(INDEX(Накл!$C$9:$C$550,SMALL(IF(Накл!$B$9:$B$550=A140,ROW(Накл!$B$9:$B$550)-ROW(Накл!$B$9)+1),ROW(D142)-ROW(A140)+1)),"")," ",IFERROR(INDEX(Накл!$C$9:$C$550,SMALL(IF(Накл!$B$9:$B$550=A140,ROW(Накл!$B$9:$B$550)-ROW(Накл!$B$9)+1),ROW(D143)-ROW(A140)+1)),"")," ",IFERROR(INDEX(Накл!$C$9:$C$550,SMALL(IF(Накл!$B$9:$B$550=A140,ROW(Накл!$B$9:$B$550)-ROW(Накл!$B$9)+1),ROW(D144)-ROW(A140)+1)),"")," ",IFERROR(INDEX(Накл!$C$9:$C$550,SMALL(IF(Накл!$B$9:$B$550=A140,ROW(Накл!$B$9:$B$550)-ROW(Накл!$B$9)+1),ROW(D145)-ROW(A140)+1)),"")," ",IFERROR(INDEX(Накл!$C$9:$C$550,SMALL(IF(Накл!$B$9:$B$550=A140,ROW(Накл!$B$9:$B$550)-ROW(Накл!$B$9)+1),ROW(D146)-ROW(A140)+1)),"")," ",IFERROR(INDEX(Накл!$C$9:$C$550,SMALL(IF(Накл!$B$9:$B$550=A140,ROW(Накл!$B$9:$B$550)-ROW(Накл!$B$9)+1),ROW(D147)-ROW(A140)+1)),"")," ",IFERROR(INDEX(Накл!$C$9:$C$550,SMALL(IF(Накл!$B$9:$B$550=A140,ROW(Накл!$B$9:$B$550)-ROW(Накл!$B$9)+1),ROW(D148)-ROW(A140)+1)),"")," ",IFERROR(INDEX(Накл!$C$9:$C$550,SMALL(IF(Накл!$B$9:$B$550=A140,ROW(Накл!$B$9:$B$550)-ROW(Накл!$B$9)+1),ROW(D149)-ROW(A140)+1)),""))</f>
        <v xml:space="preserve">         </v>
      </c>
      <c r="E140" s="26" t="str">
        <f t="array" ref="E140">IF(LEN(D140)&lt;10,CONCATENATE(IFERROR(INDEX(Накл!$C$9:$C$550,SMALL(IF(Накл!$A$9:$A$550=VALUE(LEFT(A140,8)),ROW(Накл!$A$9:$A$550)-ROW(Накл!$A$9)+1),ROW(E140)-ROW(B140)+1)),"")," ",IFERROR(INDEX(Накл!$C$9:$C$550,SMALL(IF(Накл!$A$9:$A$550=VALUE(LEFT(A140,8)),ROW(Накл!$A$9:$A$550)-ROW(Накл!$A$9)+1),ROW(E141)-ROW(B140)+1)),"")," ",IFERROR(INDEX(Накл!$C$9:$C$550,SMALL(IF(Накл!$A$9:$A$550=VALUE(LEFT(A140,8)),ROW(Накл!$A$9:$A$550)-ROW(Накл!$A$9)+1),ROW(E142)-ROW(B140)+1)),"")," ",IFERROR(INDEX(Накл!$C$9:$C$550,SMALL(IF(Накл!$A$9:$A$550=VALUE(LEFT(A140,8)),ROW(Накл!$A$9:$A$550)-ROW(Накл!$A$9)+1),ROW(E143)-ROW(B140)+1)),"")),"")</f>
        <v xml:space="preserve">   </v>
      </c>
    </row>
    <row r="141" spans="1:5">
      <c r="A141" s="26" t="str">
        <f>IFERROR(CONCATENATE(VALUE(SUBSTITUTE(SUBSTITUTE(LEFT(Накл!G148,11),".",""),"-",""))," ",Накл!J148),"-")</f>
        <v>-</v>
      </c>
      <c r="B141" s="26" t="str">
        <f>IFERROR(VLOOKUP(VALUE(LEFT(A141,8)),Накл!$A$9:$D$550,4,0),"-")</f>
        <v>-</v>
      </c>
      <c r="C141" s="26">
        <f>Накл!J148</f>
        <v>0</v>
      </c>
      <c r="D141" s="33" t="str">
        <f t="array" ref="D141">CONCATENATE(IFERROR(INDEX(Накл!$C$9:$C$550,SMALL(IF(Накл!$B$9:$B$550=A141,ROW(Накл!$B$9:$B$550)-ROW(Накл!$B$9)+1),ROW(D141)-ROW(A141)+1)),"")," ",IFERROR(INDEX(Накл!$C$9:$C$550,SMALL(IF(Накл!$B$9:$B$550=A141,ROW(Накл!$B$9:$B$550)-ROW(Накл!$B$9)+1),ROW(D142)-ROW(A141)+1)),"")," ",IFERROR(INDEX(Накл!$C$9:$C$550,SMALL(IF(Накл!$B$9:$B$550=A141,ROW(Накл!$B$9:$B$550)-ROW(Накл!$B$9)+1),ROW(D143)-ROW(A141)+1)),"")," ",IFERROR(INDEX(Накл!$C$9:$C$550,SMALL(IF(Накл!$B$9:$B$550=A141,ROW(Накл!$B$9:$B$550)-ROW(Накл!$B$9)+1),ROW(D144)-ROW(A141)+1)),"")," ",IFERROR(INDEX(Накл!$C$9:$C$550,SMALL(IF(Накл!$B$9:$B$550=A141,ROW(Накл!$B$9:$B$550)-ROW(Накл!$B$9)+1),ROW(D145)-ROW(A141)+1)),"")," ",IFERROR(INDEX(Накл!$C$9:$C$550,SMALL(IF(Накл!$B$9:$B$550=A141,ROW(Накл!$B$9:$B$550)-ROW(Накл!$B$9)+1),ROW(D146)-ROW(A141)+1)),"")," ",IFERROR(INDEX(Накл!$C$9:$C$550,SMALL(IF(Накл!$B$9:$B$550=A141,ROW(Накл!$B$9:$B$550)-ROW(Накл!$B$9)+1),ROW(D147)-ROW(A141)+1)),"")," ",IFERROR(INDEX(Накл!$C$9:$C$550,SMALL(IF(Накл!$B$9:$B$550=A141,ROW(Накл!$B$9:$B$550)-ROW(Накл!$B$9)+1),ROW(D148)-ROW(A141)+1)),"")," ",IFERROR(INDEX(Накл!$C$9:$C$550,SMALL(IF(Накл!$B$9:$B$550=A141,ROW(Накл!$B$9:$B$550)-ROW(Накл!$B$9)+1),ROW(D149)-ROW(A141)+1)),"")," ",IFERROR(INDEX(Накл!$C$9:$C$550,SMALL(IF(Накл!$B$9:$B$550=A141,ROW(Накл!$B$9:$B$550)-ROW(Накл!$B$9)+1),ROW(D150)-ROW(A141)+1)),""))</f>
        <v xml:space="preserve">         </v>
      </c>
      <c r="E141" s="26" t="str">
        <f t="array" ref="E141">IF(LEN(D141)&lt;10,CONCATENATE(IFERROR(INDEX(Накл!$C$9:$C$550,SMALL(IF(Накл!$A$9:$A$550=VALUE(LEFT(A141,8)),ROW(Накл!$A$9:$A$550)-ROW(Накл!$A$9)+1),ROW(E141)-ROW(B141)+1)),"")," ",IFERROR(INDEX(Накл!$C$9:$C$550,SMALL(IF(Накл!$A$9:$A$550=VALUE(LEFT(A141,8)),ROW(Накл!$A$9:$A$550)-ROW(Накл!$A$9)+1),ROW(E142)-ROW(B141)+1)),"")," ",IFERROR(INDEX(Накл!$C$9:$C$550,SMALL(IF(Накл!$A$9:$A$550=VALUE(LEFT(A141,8)),ROW(Накл!$A$9:$A$550)-ROW(Накл!$A$9)+1),ROW(E143)-ROW(B141)+1)),"")," ",IFERROR(INDEX(Накл!$C$9:$C$550,SMALL(IF(Накл!$A$9:$A$550=VALUE(LEFT(A141,8)),ROW(Накл!$A$9:$A$550)-ROW(Накл!$A$9)+1),ROW(E144)-ROW(B141)+1)),"")),"")</f>
        <v xml:space="preserve">   </v>
      </c>
    </row>
    <row r="142" spans="1:5">
      <c r="A142" s="26" t="str">
        <f>IFERROR(CONCATENATE(VALUE(SUBSTITUTE(SUBSTITUTE(LEFT(Накл!G149,11),".",""),"-",""))," ",Накл!J149),"-")</f>
        <v>-</v>
      </c>
      <c r="B142" s="26" t="str">
        <f>IFERROR(VLOOKUP(VALUE(LEFT(A142,8)),Накл!$A$9:$D$550,4,0),"-")</f>
        <v>-</v>
      </c>
      <c r="C142" s="26">
        <f>Накл!J149</f>
        <v>0</v>
      </c>
      <c r="D142" s="33" t="str">
        <f t="array" ref="D142">CONCATENATE(IFERROR(INDEX(Накл!$C$9:$C$550,SMALL(IF(Накл!$B$9:$B$550=A142,ROW(Накл!$B$9:$B$550)-ROW(Накл!$B$9)+1),ROW(D142)-ROW(A142)+1)),"")," ",IFERROR(INDEX(Накл!$C$9:$C$550,SMALL(IF(Накл!$B$9:$B$550=A142,ROW(Накл!$B$9:$B$550)-ROW(Накл!$B$9)+1),ROW(D143)-ROW(A142)+1)),"")," ",IFERROR(INDEX(Накл!$C$9:$C$550,SMALL(IF(Накл!$B$9:$B$550=A142,ROW(Накл!$B$9:$B$550)-ROW(Накл!$B$9)+1),ROW(D144)-ROW(A142)+1)),"")," ",IFERROR(INDEX(Накл!$C$9:$C$550,SMALL(IF(Накл!$B$9:$B$550=A142,ROW(Накл!$B$9:$B$550)-ROW(Накл!$B$9)+1),ROW(D145)-ROW(A142)+1)),"")," ",IFERROR(INDEX(Накл!$C$9:$C$550,SMALL(IF(Накл!$B$9:$B$550=A142,ROW(Накл!$B$9:$B$550)-ROW(Накл!$B$9)+1),ROW(D146)-ROW(A142)+1)),"")," ",IFERROR(INDEX(Накл!$C$9:$C$550,SMALL(IF(Накл!$B$9:$B$550=A142,ROW(Накл!$B$9:$B$550)-ROW(Накл!$B$9)+1),ROW(D147)-ROW(A142)+1)),"")," ",IFERROR(INDEX(Накл!$C$9:$C$550,SMALL(IF(Накл!$B$9:$B$550=A142,ROW(Накл!$B$9:$B$550)-ROW(Накл!$B$9)+1),ROW(D148)-ROW(A142)+1)),"")," ",IFERROR(INDEX(Накл!$C$9:$C$550,SMALL(IF(Накл!$B$9:$B$550=A142,ROW(Накл!$B$9:$B$550)-ROW(Накл!$B$9)+1),ROW(D149)-ROW(A142)+1)),"")," ",IFERROR(INDEX(Накл!$C$9:$C$550,SMALL(IF(Накл!$B$9:$B$550=A142,ROW(Накл!$B$9:$B$550)-ROW(Накл!$B$9)+1),ROW(D150)-ROW(A142)+1)),"")," ",IFERROR(INDEX(Накл!$C$9:$C$550,SMALL(IF(Накл!$B$9:$B$550=A142,ROW(Накл!$B$9:$B$550)-ROW(Накл!$B$9)+1),ROW(D151)-ROW(A142)+1)),""))</f>
        <v xml:space="preserve">         </v>
      </c>
      <c r="E142" s="26" t="str">
        <f t="array" ref="E142">IF(LEN(D142)&lt;10,CONCATENATE(IFERROR(INDEX(Накл!$C$9:$C$550,SMALL(IF(Накл!$A$9:$A$550=VALUE(LEFT(A142,8)),ROW(Накл!$A$9:$A$550)-ROW(Накл!$A$9)+1),ROW(E142)-ROW(B142)+1)),"")," ",IFERROR(INDEX(Накл!$C$9:$C$550,SMALL(IF(Накл!$A$9:$A$550=VALUE(LEFT(A142,8)),ROW(Накл!$A$9:$A$550)-ROW(Накл!$A$9)+1),ROW(E143)-ROW(B142)+1)),"")," ",IFERROR(INDEX(Накл!$C$9:$C$550,SMALL(IF(Накл!$A$9:$A$550=VALUE(LEFT(A142,8)),ROW(Накл!$A$9:$A$550)-ROW(Накл!$A$9)+1),ROW(E144)-ROW(B142)+1)),"")," ",IFERROR(INDEX(Накл!$C$9:$C$550,SMALL(IF(Накл!$A$9:$A$550=VALUE(LEFT(A142,8)),ROW(Накл!$A$9:$A$550)-ROW(Накл!$A$9)+1),ROW(E145)-ROW(B142)+1)),"")),"")</f>
        <v xml:space="preserve">   </v>
      </c>
    </row>
    <row r="143" spans="1:5">
      <c r="A143" s="26" t="str">
        <f>IFERROR(CONCATENATE(VALUE(SUBSTITUTE(SUBSTITUTE(LEFT(Накл!G150,11),".",""),"-",""))," ",Накл!J150),"-")</f>
        <v>-</v>
      </c>
      <c r="B143" s="26" t="str">
        <f>IFERROR(VLOOKUP(VALUE(LEFT(A143,8)),Накл!$A$9:$D$550,4,0),"-")</f>
        <v>-</v>
      </c>
      <c r="C143" s="26">
        <f>Накл!J150</f>
        <v>0</v>
      </c>
      <c r="D143" s="33" t="str">
        <f t="array" ref="D143">CONCATENATE(IFERROR(INDEX(Накл!$C$9:$C$550,SMALL(IF(Накл!$B$9:$B$550=A143,ROW(Накл!$B$9:$B$550)-ROW(Накл!$B$9)+1),ROW(D143)-ROW(A143)+1)),"")," ",IFERROR(INDEX(Накл!$C$9:$C$550,SMALL(IF(Накл!$B$9:$B$550=A143,ROW(Накл!$B$9:$B$550)-ROW(Накл!$B$9)+1),ROW(D144)-ROW(A143)+1)),"")," ",IFERROR(INDEX(Накл!$C$9:$C$550,SMALL(IF(Накл!$B$9:$B$550=A143,ROW(Накл!$B$9:$B$550)-ROW(Накл!$B$9)+1),ROW(D145)-ROW(A143)+1)),"")," ",IFERROR(INDEX(Накл!$C$9:$C$550,SMALL(IF(Накл!$B$9:$B$550=A143,ROW(Накл!$B$9:$B$550)-ROW(Накл!$B$9)+1),ROW(D146)-ROW(A143)+1)),"")," ",IFERROR(INDEX(Накл!$C$9:$C$550,SMALL(IF(Накл!$B$9:$B$550=A143,ROW(Накл!$B$9:$B$550)-ROW(Накл!$B$9)+1),ROW(D147)-ROW(A143)+1)),"")," ",IFERROR(INDEX(Накл!$C$9:$C$550,SMALL(IF(Накл!$B$9:$B$550=A143,ROW(Накл!$B$9:$B$550)-ROW(Накл!$B$9)+1),ROW(D148)-ROW(A143)+1)),"")," ",IFERROR(INDEX(Накл!$C$9:$C$550,SMALL(IF(Накл!$B$9:$B$550=A143,ROW(Накл!$B$9:$B$550)-ROW(Накл!$B$9)+1),ROW(D149)-ROW(A143)+1)),"")," ",IFERROR(INDEX(Накл!$C$9:$C$550,SMALL(IF(Накл!$B$9:$B$550=A143,ROW(Накл!$B$9:$B$550)-ROW(Накл!$B$9)+1),ROW(D150)-ROW(A143)+1)),"")," ",IFERROR(INDEX(Накл!$C$9:$C$550,SMALL(IF(Накл!$B$9:$B$550=A143,ROW(Накл!$B$9:$B$550)-ROW(Накл!$B$9)+1),ROW(D151)-ROW(A143)+1)),"")," ",IFERROR(INDEX(Накл!$C$9:$C$550,SMALL(IF(Накл!$B$9:$B$550=A143,ROW(Накл!$B$9:$B$550)-ROW(Накл!$B$9)+1),ROW(D152)-ROW(A143)+1)),""))</f>
        <v xml:space="preserve">         </v>
      </c>
      <c r="E143" s="26" t="str">
        <f t="array" ref="E143">IF(LEN(D143)&lt;10,CONCATENATE(IFERROR(INDEX(Накл!$C$9:$C$550,SMALL(IF(Накл!$A$9:$A$550=VALUE(LEFT(A143,8)),ROW(Накл!$A$9:$A$550)-ROW(Накл!$A$9)+1),ROW(E143)-ROW(B143)+1)),"")," ",IFERROR(INDEX(Накл!$C$9:$C$550,SMALL(IF(Накл!$A$9:$A$550=VALUE(LEFT(A143,8)),ROW(Накл!$A$9:$A$550)-ROW(Накл!$A$9)+1),ROW(E144)-ROW(B143)+1)),"")," ",IFERROR(INDEX(Накл!$C$9:$C$550,SMALL(IF(Накл!$A$9:$A$550=VALUE(LEFT(A143,8)),ROW(Накл!$A$9:$A$550)-ROW(Накл!$A$9)+1),ROW(E145)-ROW(B143)+1)),"")," ",IFERROR(INDEX(Накл!$C$9:$C$550,SMALL(IF(Накл!$A$9:$A$550=VALUE(LEFT(A143,8)),ROW(Накл!$A$9:$A$550)-ROW(Накл!$A$9)+1),ROW(E146)-ROW(B143)+1)),"")),"")</f>
        <v xml:space="preserve">   </v>
      </c>
    </row>
    <row r="144" spans="1:5">
      <c r="A144" s="26" t="str">
        <f>IFERROR(CONCATENATE(VALUE(SUBSTITUTE(SUBSTITUTE(LEFT(Накл!G151,11),".",""),"-",""))," ",Накл!J151),"-")</f>
        <v>-</v>
      </c>
      <c r="B144" s="26" t="str">
        <f>IFERROR(VLOOKUP(VALUE(LEFT(A144,8)),Накл!$A$9:$D$550,4,0),"-")</f>
        <v>-</v>
      </c>
      <c r="C144" s="26">
        <f>Накл!J151</f>
        <v>0</v>
      </c>
      <c r="D144" s="33" t="str">
        <f t="array" ref="D144">CONCATENATE(IFERROR(INDEX(Накл!$C$9:$C$550,SMALL(IF(Накл!$B$9:$B$550=A144,ROW(Накл!$B$9:$B$550)-ROW(Накл!$B$9)+1),ROW(D144)-ROW(A144)+1)),"")," ",IFERROR(INDEX(Накл!$C$9:$C$550,SMALL(IF(Накл!$B$9:$B$550=A144,ROW(Накл!$B$9:$B$550)-ROW(Накл!$B$9)+1),ROW(D145)-ROW(A144)+1)),"")," ",IFERROR(INDEX(Накл!$C$9:$C$550,SMALL(IF(Накл!$B$9:$B$550=A144,ROW(Накл!$B$9:$B$550)-ROW(Накл!$B$9)+1),ROW(D146)-ROW(A144)+1)),"")," ",IFERROR(INDEX(Накл!$C$9:$C$550,SMALL(IF(Накл!$B$9:$B$550=A144,ROW(Накл!$B$9:$B$550)-ROW(Накл!$B$9)+1),ROW(D147)-ROW(A144)+1)),"")," ",IFERROR(INDEX(Накл!$C$9:$C$550,SMALL(IF(Накл!$B$9:$B$550=A144,ROW(Накл!$B$9:$B$550)-ROW(Накл!$B$9)+1),ROW(D148)-ROW(A144)+1)),"")," ",IFERROR(INDEX(Накл!$C$9:$C$550,SMALL(IF(Накл!$B$9:$B$550=A144,ROW(Накл!$B$9:$B$550)-ROW(Накл!$B$9)+1),ROW(D149)-ROW(A144)+1)),"")," ",IFERROR(INDEX(Накл!$C$9:$C$550,SMALL(IF(Накл!$B$9:$B$550=A144,ROW(Накл!$B$9:$B$550)-ROW(Накл!$B$9)+1),ROW(D150)-ROW(A144)+1)),"")," ",IFERROR(INDEX(Накл!$C$9:$C$550,SMALL(IF(Накл!$B$9:$B$550=A144,ROW(Накл!$B$9:$B$550)-ROW(Накл!$B$9)+1),ROW(D151)-ROW(A144)+1)),"")," ",IFERROR(INDEX(Накл!$C$9:$C$550,SMALL(IF(Накл!$B$9:$B$550=A144,ROW(Накл!$B$9:$B$550)-ROW(Накл!$B$9)+1),ROW(D152)-ROW(A144)+1)),"")," ",IFERROR(INDEX(Накл!$C$9:$C$550,SMALL(IF(Накл!$B$9:$B$550=A144,ROW(Накл!$B$9:$B$550)-ROW(Накл!$B$9)+1),ROW(D153)-ROW(A144)+1)),""))</f>
        <v xml:space="preserve">         </v>
      </c>
      <c r="E144" s="26" t="str">
        <f t="array" ref="E144">IF(LEN(D144)&lt;10,CONCATENATE(IFERROR(INDEX(Накл!$C$9:$C$550,SMALL(IF(Накл!$A$9:$A$550=VALUE(LEFT(A144,8)),ROW(Накл!$A$9:$A$550)-ROW(Накл!$A$9)+1),ROW(E144)-ROW(B144)+1)),"")," ",IFERROR(INDEX(Накл!$C$9:$C$550,SMALL(IF(Накл!$A$9:$A$550=VALUE(LEFT(A144,8)),ROW(Накл!$A$9:$A$550)-ROW(Накл!$A$9)+1),ROW(E145)-ROW(B144)+1)),"")," ",IFERROR(INDEX(Накл!$C$9:$C$550,SMALL(IF(Накл!$A$9:$A$550=VALUE(LEFT(A144,8)),ROW(Накл!$A$9:$A$550)-ROW(Накл!$A$9)+1),ROW(E146)-ROW(B144)+1)),"")," ",IFERROR(INDEX(Накл!$C$9:$C$550,SMALL(IF(Накл!$A$9:$A$550=VALUE(LEFT(A144,8)),ROW(Накл!$A$9:$A$550)-ROW(Накл!$A$9)+1),ROW(E147)-ROW(B144)+1)),"")),"")</f>
        <v xml:space="preserve">   </v>
      </c>
    </row>
    <row r="145" spans="1:5">
      <c r="A145" s="26" t="str">
        <f>IFERROR(CONCATENATE(VALUE(SUBSTITUTE(SUBSTITUTE(LEFT(Накл!G152,11),".",""),"-",""))," ",Накл!J152),"-")</f>
        <v>-</v>
      </c>
      <c r="B145" s="26" t="str">
        <f>IFERROR(VLOOKUP(VALUE(LEFT(A145,8)),Накл!$A$9:$D$550,4,0),"-")</f>
        <v>-</v>
      </c>
      <c r="C145" s="26">
        <f>Накл!J152</f>
        <v>0</v>
      </c>
      <c r="D145" s="33" t="str">
        <f t="array" ref="D145">CONCATENATE(IFERROR(INDEX(Накл!$C$9:$C$550,SMALL(IF(Накл!$B$9:$B$550=A145,ROW(Накл!$B$9:$B$550)-ROW(Накл!$B$9)+1),ROW(D145)-ROW(A145)+1)),"")," ",IFERROR(INDEX(Накл!$C$9:$C$550,SMALL(IF(Накл!$B$9:$B$550=A145,ROW(Накл!$B$9:$B$550)-ROW(Накл!$B$9)+1),ROW(D146)-ROW(A145)+1)),"")," ",IFERROR(INDEX(Накл!$C$9:$C$550,SMALL(IF(Накл!$B$9:$B$550=A145,ROW(Накл!$B$9:$B$550)-ROW(Накл!$B$9)+1),ROW(D147)-ROW(A145)+1)),"")," ",IFERROR(INDEX(Накл!$C$9:$C$550,SMALL(IF(Накл!$B$9:$B$550=A145,ROW(Накл!$B$9:$B$550)-ROW(Накл!$B$9)+1),ROW(D148)-ROW(A145)+1)),"")," ",IFERROR(INDEX(Накл!$C$9:$C$550,SMALL(IF(Накл!$B$9:$B$550=A145,ROW(Накл!$B$9:$B$550)-ROW(Накл!$B$9)+1),ROW(D149)-ROW(A145)+1)),"")," ",IFERROR(INDEX(Накл!$C$9:$C$550,SMALL(IF(Накл!$B$9:$B$550=A145,ROW(Накл!$B$9:$B$550)-ROW(Накл!$B$9)+1),ROW(D150)-ROW(A145)+1)),"")," ",IFERROR(INDEX(Накл!$C$9:$C$550,SMALL(IF(Накл!$B$9:$B$550=A145,ROW(Накл!$B$9:$B$550)-ROW(Накл!$B$9)+1),ROW(D151)-ROW(A145)+1)),"")," ",IFERROR(INDEX(Накл!$C$9:$C$550,SMALL(IF(Накл!$B$9:$B$550=A145,ROW(Накл!$B$9:$B$550)-ROW(Накл!$B$9)+1),ROW(D152)-ROW(A145)+1)),"")," ",IFERROR(INDEX(Накл!$C$9:$C$550,SMALL(IF(Накл!$B$9:$B$550=A145,ROW(Накл!$B$9:$B$550)-ROW(Накл!$B$9)+1),ROW(D153)-ROW(A145)+1)),"")," ",IFERROR(INDEX(Накл!$C$9:$C$550,SMALL(IF(Накл!$B$9:$B$550=A145,ROW(Накл!$B$9:$B$550)-ROW(Накл!$B$9)+1),ROW(D154)-ROW(A145)+1)),""))</f>
        <v xml:space="preserve">         </v>
      </c>
      <c r="E145" s="26" t="str">
        <f t="array" ref="E145">IF(LEN(D145)&lt;10,CONCATENATE(IFERROR(INDEX(Накл!$C$9:$C$550,SMALL(IF(Накл!$A$9:$A$550=VALUE(LEFT(A145,8)),ROW(Накл!$A$9:$A$550)-ROW(Накл!$A$9)+1),ROW(E145)-ROW(B145)+1)),"")," ",IFERROR(INDEX(Накл!$C$9:$C$550,SMALL(IF(Накл!$A$9:$A$550=VALUE(LEFT(A145,8)),ROW(Накл!$A$9:$A$550)-ROW(Накл!$A$9)+1),ROW(E146)-ROW(B145)+1)),"")," ",IFERROR(INDEX(Накл!$C$9:$C$550,SMALL(IF(Накл!$A$9:$A$550=VALUE(LEFT(A145,8)),ROW(Накл!$A$9:$A$550)-ROW(Накл!$A$9)+1),ROW(E147)-ROW(B145)+1)),"")," ",IFERROR(INDEX(Накл!$C$9:$C$550,SMALL(IF(Накл!$A$9:$A$550=VALUE(LEFT(A145,8)),ROW(Накл!$A$9:$A$550)-ROW(Накл!$A$9)+1),ROW(E148)-ROW(B145)+1)),"")),"")</f>
        <v xml:space="preserve">   </v>
      </c>
    </row>
    <row r="146" spans="1:5">
      <c r="A146" s="26" t="str">
        <f>IFERROR(CONCATENATE(VALUE(SUBSTITUTE(SUBSTITUTE(LEFT(Накл!G153,11),".",""),"-",""))," ",Накл!J153),"-")</f>
        <v>-</v>
      </c>
      <c r="B146" s="26" t="str">
        <f>IFERROR(VLOOKUP(VALUE(LEFT(A146,8)),Накл!$A$9:$D$550,4,0),"-")</f>
        <v>-</v>
      </c>
      <c r="C146" s="26">
        <f>Накл!J153</f>
        <v>0</v>
      </c>
      <c r="D146" s="33" t="str">
        <f t="array" ref="D146">CONCATENATE(IFERROR(INDEX(Накл!$C$9:$C$550,SMALL(IF(Накл!$B$9:$B$550=A146,ROW(Накл!$B$9:$B$550)-ROW(Накл!$B$9)+1),ROW(D146)-ROW(A146)+1)),"")," ",IFERROR(INDEX(Накл!$C$9:$C$550,SMALL(IF(Накл!$B$9:$B$550=A146,ROW(Накл!$B$9:$B$550)-ROW(Накл!$B$9)+1),ROW(D147)-ROW(A146)+1)),"")," ",IFERROR(INDEX(Накл!$C$9:$C$550,SMALL(IF(Накл!$B$9:$B$550=A146,ROW(Накл!$B$9:$B$550)-ROW(Накл!$B$9)+1),ROW(D148)-ROW(A146)+1)),"")," ",IFERROR(INDEX(Накл!$C$9:$C$550,SMALL(IF(Накл!$B$9:$B$550=A146,ROW(Накл!$B$9:$B$550)-ROW(Накл!$B$9)+1),ROW(D149)-ROW(A146)+1)),"")," ",IFERROR(INDEX(Накл!$C$9:$C$550,SMALL(IF(Накл!$B$9:$B$550=A146,ROW(Накл!$B$9:$B$550)-ROW(Накл!$B$9)+1),ROW(D150)-ROW(A146)+1)),"")," ",IFERROR(INDEX(Накл!$C$9:$C$550,SMALL(IF(Накл!$B$9:$B$550=A146,ROW(Накл!$B$9:$B$550)-ROW(Накл!$B$9)+1),ROW(D151)-ROW(A146)+1)),"")," ",IFERROR(INDEX(Накл!$C$9:$C$550,SMALL(IF(Накл!$B$9:$B$550=A146,ROW(Накл!$B$9:$B$550)-ROW(Накл!$B$9)+1),ROW(D152)-ROW(A146)+1)),"")," ",IFERROR(INDEX(Накл!$C$9:$C$550,SMALL(IF(Накл!$B$9:$B$550=A146,ROW(Накл!$B$9:$B$550)-ROW(Накл!$B$9)+1),ROW(D153)-ROW(A146)+1)),"")," ",IFERROR(INDEX(Накл!$C$9:$C$550,SMALL(IF(Накл!$B$9:$B$550=A146,ROW(Накл!$B$9:$B$550)-ROW(Накл!$B$9)+1),ROW(D154)-ROW(A146)+1)),"")," ",IFERROR(INDEX(Накл!$C$9:$C$550,SMALL(IF(Накл!$B$9:$B$550=A146,ROW(Накл!$B$9:$B$550)-ROW(Накл!$B$9)+1),ROW(D155)-ROW(A146)+1)),""))</f>
        <v xml:space="preserve">         </v>
      </c>
      <c r="E146" s="26" t="str">
        <f t="array" ref="E146">IF(LEN(D146)&lt;10,CONCATENATE(IFERROR(INDEX(Накл!$C$9:$C$550,SMALL(IF(Накл!$A$9:$A$550=VALUE(LEFT(A146,8)),ROW(Накл!$A$9:$A$550)-ROW(Накл!$A$9)+1),ROW(E146)-ROW(B146)+1)),"")," ",IFERROR(INDEX(Накл!$C$9:$C$550,SMALL(IF(Накл!$A$9:$A$550=VALUE(LEFT(A146,8)),ROW(Накл!$A$9:$A$550)-ROW(Накл!$A$9)+1),ROW(E147)-ROW(B146)+1)),"")," ",IFERROR(INDEX(Накл!$C$9:$C$550,SMALL(IF(Накл!$A$9:$A$550=VALUE(LEFT(A146,8)),ROW(Накл!$A$9:$A$550)-ROW(Накл!$A$9)+1),ROW(E148)-ROW(B146)+1)),"")," ",IFERROR(INDEX(Накл!$C$9:$C$550,SMALL(IF(Накл!$A$9:$A$550=VALUE(LEFT(A146,8)),ROW(Накл!$A$9:$A$550)-ROW(Накл!$A$9)+1),ROW(E149)-ROW(B146)+1)),"")),"")</f>
        <v xml:space="preserve">   </v>
      </c>
    </row>
    <row r="147" spans="1:5">
      <c r="A147" s="26" t="str">
        <f>IFERROR(CONCATENATE(VALUE(SUBSTITUTE(SUBSTITUTE(LEFT(Накл!G154,11),".",""),"-",""))," ",Накл!J154),"-")</f>
        <v>-</v>
      </c>
      <c r="B147" s="26" t="str">
        <f>IFERROR(VLOOKUP(VALUE(LEFT(A147,8)),Накл!$A$9:$D$550,4,0),"-")</f>
        <v>-</v>
      </c>
      <c r="C147" s="26">
        <f>Накл!J154</f>
        <v>0</v>
      </c>
      <c r="D147" s="33" t="str">
        <f t="array" ref="D147">CONCATENATE(IFERROR(INDEX(Накл!$C$9:$C$550,SMALL(IF(Накл!$B$9:$B$550=A147,ROW(Накл!$B$9:$B$550)-ROW(Накл!$B$9)+1),ROW(D147)-ROW(A147)+1)),"")," ",IFERROR(INDEX(Накл!$C$9:$C$550,SMALL(IF(Накл!$B$9:$B$550=A147,ROW(Накл!$B$9:$B$550)-ROW(Накл!$B$9)+1),ROW(D148)-ROW(A147)+1)),"")," ",IFERROR(INDEX(Накл!$C$9:$C$550,SMALL(IF(Накл!$B$9:$B$550=A147,ROW(Накл!$B$9:$B$550)-ROW(Накл!$B$9)+1),ROW(D149)-ROW(A147)+1)),"")," ",IFERROR(INDEX(Накл!$C$9:$C$550,SMALL(IF(Накл!$B$9:$B$550=A147,ROW(Накл!$B$9:$B$550)-ROW(Накл!$B$9)+1),ROW(D150)-ROW(A147)+1)),"")," ",IFERROR(INDEX(Накл!$C$9:$C$550,SMALL(IF(Накл!$B$9:$B$550=A147,ROW(Накл!$B$9:$B$550)-ROW(Накл!$B$9)+1),ROW(D151)-ROW(A147)+1)),"")," ",IFERROR(INDEX(Накл!$C$9:$C$550,SMALL(IF(Накл!$B$9:$B$550=A147,ROW(Накл!$B$9:$B$550)-ROW(Накл!$B$9)+1),ROW(D152)-ROW(A147)+1)),"")," ",IFERROR(INDEX(Накл!$C$9:$C$550,SMALL(IF(Накл!$B$9:$B$550=A147,ROW(Накл!$B$9:$B$550)-ROW(Накл!$B$9)+1),ROW(D153)-ROW(A147)+1)),"")," ",IFERROR(INDEX(Накл!$C$9:$C$550,SMALL(IF(Накл!$B$9:$B$550=A147,ROW(Накл!$B$9:$B$550)-ROW(Накл!$B$9)+1),ROW(D154)-ROW(A147)+1)),"")," ",IFERROR(INDEX(Накл!$C$9:$C$550,SMALL(IF(Накл!$B$9:$B$550=A147,ROW(Накл!$B$9:$B$550)-ROW(Накл!$B$9)+1),ROW(D155)-ROW(A147)+1)),"")," ",IFERROR(INDEX(Накл!$C$9:$C$550,SMALL(IF(Накл!$B$9:$B$550=A147,ROW(Накл!$B$9:$B$550)-ROW(Накл!$B$9)+1),ROW(D156)-ROW(A147)+1)),""))</f>
        <v xml:space="preserve">         </v>
      </c>
      <c r="E147" s="26" t="str">
        <f t="array" ref="E147">IF(LEN(D147)&lt;10,CONCATENATE(IFERROR(INDEX(Накл!$C$9:$C$550,SMALL(IF(Накл!$A$9:$A$550=VALUE(LEFT(A147,8)),ROW(Накл!$A$9:$A$550)-ROW(Накл!$A$9)+1),ROW(E147)-ROW(B147)+1)),"")," ",IFERROR(INDEX(Накл!$C$9:$C$550,SMALL(IF(Накл!$A$9:$A$550=VALUE(LEFT(A147,8)),ROW(Накл!$A$9:$A$550)-ROW(Накл!$A$9)+1),ROW(E148)-ROW(B147)+1)),"")," ",IFERROR(INDEX(Накл!$C$9:$C$550,SMALL(IF(Накл!$A$9:$A$550=VALUE(LEFT(A147,8)),ROW(Накл!$A$9:$A$550)-ROW(Накл!$A$9)+1),ROW(E149)-ROW(B147)+1)),"")," ",IFERROR(INDEX(Накл!$C$9:$C$550,SMALL(IF(Накл!$A$9:$A$550=VALUE(LEFT(A147,8)),ROW(Накл!$A$9:$A$550)-ROW(Накл!$A$9)+1),ROW(E150)-ROW(B147)+1)),"")),"")</f>
        <v xml:space="preserve">   </v>
      </c>
    </row>
    <row r="148" spans="1:5">
      <c r="A148" s="26" t="str">
        <f>IFERROR(CONCATENATE(VALUE(SUBSTITUTE(SUBSTITUTE(LEFT(Накл!G155,11),".",""),"-",""))," ",Накл!J155),"-")</f>
        <v>-</v>
      </c>
      <c r="B148" s="26" t="str">
        <f>IFERROR(VLOOKUP(VALUE(LEFT(A148,8)),Накл!$A$9:$D$550,4,0),"-")</f>
        <v>-</v>
      </c>
      <c r="C148" s="26">
        <f>Накл!J155</f>
        <v>0</v>
      </c>
      <c r="D148" s="33" t="str">
        <f t="array" ref="D148">CONCATENATE(IFERROR(INDEX(Накл!$C$9:$C$550,SMALL(IF(Накл!$B$9:$B$550=A148,ROW(Накл!$B$9:$B$550)-ROW(Накл!$B$9)+1),ROW(D148)-ROW(A148)+1)),"")," ",IFERROR(INDEX(Накл!$C$9:$C$550,SMALL(IF(Накл!$B$9:$B$550=A148,ROW(Накл!$B$9:$B$550)-ROW(Накл!$B$9)+1),ROW(D149)-ROW(A148)+1)),"")," ",IFERROR(INDEX(Накл!$C$9:$C$550,SMALL(IF(Накл!$B$9:$B$550=A148,ROW(Накл!$B$9:$B$550)-ROW(Накл!$B$9)+1),ROW(D150)-ROW(A148)+1)),"")," ",IFERROR(INDEX(Накл!$C$9:$C$550,SMALL(IF(Накл!$B$9:$B$550=A148,ROW(Накл!$B$9:$B$550)-ROW(Накл!$B$9)+1),ROW(D151)-ROW(A148)+1)),"")," ",IFERROR(INDEX(Накл!$C$9:$C$550,SMALL(IF(Накл!$B$9:$B$550=A148,ROW(Накл!$B$9:$B$550)-ROW(Накл!$B$9)+1),ROW(D152)-ROW(A148)+1)),"")," ",IFERROR(INDEX(Накл!$C$9:$C$550,SMALL(IF(Накл!$B$9:$B$550=A148,ROW(Накл!$B$9:$B$550)-ROW(Накл!$B$9)+1),ROW(D153)-ROW(A148)+1)),"")," ",IFERROR(INDEX(Накл!$C$9:$C$550,SMALL(IF(Накл!$B$9:$B$550=A148,ROW(Накл!$B$9:$B$550)-ROW(Накл!$B$9)+1),ROW(D154)-ROW(A148)+1)),"")," ",IFERROR(INDEX(Накл!$C$9:$C$550,SMALL(IF(Накл!$B$9:$B$550=A148,ROW(Накл!$B$9:$B$550)-ROW(Накл!$B$9)+1),ROW(D155)-ROW(A148)+1)),"")," ",IFERROR(INDEX(Накл!$C$9:$C$550,SMALL(IF(Накл!$B$9:$B$550=A148,ROW(Накл!$B$9:$B$550)-ROW(Накл!$B$9)+1),ROW(D156)-ROW(A148)+1)),"")," ",IFERROR(INDEX(Накл!$C$9:$C$550,SMALL(IF(Накл!$B$9:$B$550=A148,ROW(Накл!$B$9:$B$550)-ROW(Накл!$B$9)+1),ROW(D157)-ROW(A148)+1)),""))</f>
        <v xml:space="preserve">         </v>
      </c>
      <c r="E148" s="26" t="str">
        <f t="array" ref="E148">IF(LEN(D148)&lt;10,CONCATENATE(IFERROR(INDEX(Накл!$C$9:$C$550,SMALL(IF(Накл!$A$9:$A$550=VALUE(LEFT(A148,8)),ROW(Накл!$A$9:$A$550)-ROW(Накл!$A$9)+1),ROW(E148)-ROW(B148)+1)),"")," ",IFERROR(INDEX(Накл!$C$9:$C$550,SMALL(IF(Накл!$A$9:$A$550=VALUE(LEFT(A148,8)),ROW(Накл!$A$9:$A$550)-ROW(Накл!$A$9)+1),ROW(E149)-ROW(B148)+1)),"")," ",IFERROR(INDEX(Накл!$C$9:$C$550,SMALL(IF(Накл!$A$9:$A$550=VALUE(LEFT(A148,8)),ROW(Накл!$A$9:$A$550)-ROW(Накл!$A$9)+1),ROW(E150)-ROW(B148)+1)),"")," ",IFERROR(INDEX(Накл!$C$9:$C$550,SMALL(IF(Накл!$A$9:$A$550=VALUE(LEFT(A148,8)),ROW(Накл!$A$9:$A$550)-ROW(Накл!$A$9)+1),ROW(E151)-ROW(B148)+1)),"")),"")</f>
        <v xml:space="preserve">   </v>
      </c>
    </row>
    <row r="149" spans="1:5">
      <c r="A149" s="26" t="str">
        <f>IFERROR(CONCATENATE(VALUE(SUBSTITUTE(SUBSTITUTE(LEFT(Накл!G156,11),".",""),"-",""))," ",Накл!J156),"-")</f>
        <v>-</v>
      </c>
      <c r="B149" s="26" t="str">
        <f>IFERROR(VLOOKUP(VALUE(LEFT(A149,8)),Накл!$A$9:$D$550,4,0),"-")</f>
        <v>-</v>
      </c>
      <c r="C149" s="26">
        <f>Накл!J156</f>
        <v>0</v>
      </c>
      <c r="D149" s="33" t="str">
        <f t="array" ref="D149">CONCATENATE(IFERROR(INDEX(Накл!$C$9:$C$550,SMALL(IF(Накл!$B$9:$B$550=A149,ROW(Накл!$B$9:$B$550)-ROW(Накл!$B$9)+1),ROW(D149)-ROW(A149)+1)),"")," ",IFERROR(INDEX(Накл!$C$9:$C$550,SMALL(IF(Накл!$B$9:$B$550=A149,ROW(Накл!$B$9:$B$550)-ROW(Накл!$B$9)+1),ROW(D150)-ROW(A149)+1)),"")," ",IFERROR(INDEX(Накл!$C$9:$C$550,SMALL(IF(Накл!$B$9:$B$550=A149,ROW(Накл!$B$9:$B$550)-ROW(Накл!$B$9)+1),ROW(D151)-ROW(A149)+1)),"")," ",IFERROR(INDEX(Накл!$C$9:$C$550,SMALL(IF(Накл!$B$9:$B$550=A149,ROW(Накл!$B$9:$B$550)-ROW(Накл!$B$9)+1),ROW(D152)-ROW(A149)+1)),"")," ",IFERROR(INDEX(Накл!$C$9:$C$550,SMALL(IF(Накл!$B$9:$B$550=A149,ROW(Накл!$B$9:$B$550)-ROW(Накл!$B$9)+1),ROW(D153)-ROW(A149)+1)),"")," ",IFERROR(INDEX(Накл!$C$9:$C$550,SMALL(IF(Накл!$B$9:$B$550=A149,ROW(Накл!$B$9:$B$550)-ROW(Накл!$B$9)+1),ROW(D154)-ROW(A149)+1)),"")," ",IFERROR(INDEX(Накл!$C$9:$C$550,SMALL(IF(Накл!$B$9:$B$550=A149,ROW(Накл!$B$9:$B$550)-ROW(Накл!$B$9)+1),ROW(D155)-ROW(A149)+1)),"")," ",IFERROR(INDEX(Накл!$C$9:$C$550,SMALL(IF(Накл!$B$9:$B$550=A149,ROW(Накл!$B$9:$B$550)-ROW(Накл!$B$9)+1),ROW(D156)-ROW(A149)+1)),"")," ",IFERROR(INDEX(Накл!$C$9:$C$550,SMALL(IF(Накл!$B$9:$B$550=A149,ROW(Накл!$B$9:$B$550)-ROW(Накл!$B$9)+1),ROW(D157)-ROW(A149)+1)),"")," ",IFERROR(INDEX(Накл!$C$9:$C$550,SMALL(IF(Накл!$B$9:$B$550=A149,ROW(Накл!$B$9:$B$550)-ROW(Накл!$B$9)+1),ROW(D158)-ROW(A149)+1)),""))</f>
        <v xml:space="preserve">         </v>
      </c>
      <c r="E149" s="26" t="str">
        <f t="array" ref="E149">IF(LEN(D149)&lt;10,CONCATENATE(IFERROR(INDEX(Накл!$C$9:$C$550,SMALL(IF(Накл!$A$9:$A$550=VALUE(LEFT(A149,8)),ROW(Накл!$A$9:$A$550)-ROW(Накл!$A$9)+1),ROW(E149)-ROW(B149)+1)),"")," ",IFERROR(INDEX(Накл!$C$9:$C$550,SMALL(IF(Накл!$A$9:$A$550=VALUE(LEFT(A149,8)),ROW(Накл!$A$9:$A$550)-ROW(Накл!$A$9)+1),ROW(E150)-ROW(B149)+1)),"")," ",IFERROR(INDEX(Накл!$C$9:$C$550,SMALL(IF(Накл!$A$9:$A$550=VALUE(LEFT(A149,8)),ROW(Накл!$A$9:$A$550)-ROW(Накл!$A$9)+1),ROW(E151)-ROW(B149)+1)),"")," ",IFERROR(INDEX(Накл!$C$9:$C$550,SMALL(IF(Накл!$A$9:$A$550=VALUE(LEFT(A149,8)),ROW(Накл!$A$9:$A$550)-ROW(Накл!$A$9)+1),ROW(E152)-ROW(B149)+1)),"")),"")</f>
        <v xml:space="preserve">   </v>
      </c>
    </row>
    <row r="150" spans="1:5">
      <c r="A150" s="26" t="str">
        <f>IFERROR(CONCATENATE(VALUE(SUBSTITUTE(SUBSTITUTE(LEFT(Накл!G157,11),".",""),"-",""))," ",Накл!J157),"-")</f>
        <v>-</v>
      </c>
      <c r="B150" s="26" t="str">
        <f>IFERROR(VLOOKUP(VALUE(LEFT(A150,8)),Накл!$A$9:$D$550,4,0),"-")</f>
        <v>-</v>
      </c>
      <c r="C150" s="26">
        <f>Накл!J157</f>
        <v>0</v>
      </c>
      <c r="D150" s="33" t="str">
        <f t="array" ref="D150">CONCATENATE(IFERROR(INDEX(Накл!$C$9:$C$550,SMALL(IF(Накл!$B$9:$B$550=A150,ROW(Накл!$B$9:$B$550)-ROW(Накл!$B$9)+1),ROW(D150)-ROW(A150)+1)),"")," ",IFERROR(INDEX(Накл!$C$9:$C$550,SMALL(IF(Накл!$B$9:$B$550=A150,ROW(Накл!$B$9:$B$550)-ROW(Накл!$B$9)+1),ROW(D151)-ROW(A150)+1)),"")," ",IFERROR(INDEX(Накл!$C$9:$C$550,SMALL(IF(Накл!$B$9:$B$550=A150,ROW(Накл!$B$9:$B$550)-ROW(Накл!$B$9)+1),ROW(D152)-ROW(A150)+1)),"")," ",IFERROR(INDEX(Накл!$C$9:$C$550,SMALL(IF(Накл!$B$9:$B$550=A150,ROW(Накл!$B$9:$B$550)-ROW(Накл!$B$9)+1),ROW(D153)-ROW(A150)+1)),"")," ",IFERROR(INDEX(Накл!$C$9:$C$550,SMALL(IF(Накл!$B$9:$B$550=A150,ROW(Накл!$B$9:$B$550)-ROW(Накл!$B$9)+1),ROW(D154)-ROW(A150)+1)),"")," ",IFERROR(INDEX(Накл!$C$9:$C$550,SMALL(IF(Накл!$B$9:$B$550=A150,ROW(Накл!$B$9:$B$550)-ROW(Накл!$B$9)+1),ROW(D155)-ROW(A150)+1)),"")," ",IFERROR(INDEX(Накл!$C$9:$C$550,SMALL(IF(Накл!$B$9:$B$550=A150,ROW(Накл!$B$9:$B$550)-ROW(Накл!$B$9)+1),ROW(D156)-ROW(A150)+1)),"")," ",IFERROR(INDEX(Накл!$C$9:$C$550,SMALL(IF(Накл!$B$9:$B$550=A150,ROW(Накл!$B$9:$B$550)-ROW(Накл!$B$9)+1),ROW(D157)-ROW(A150)+1)),"")," ",IFERROR(INDEX(Накл!$C$9:$C$550,SMALL(IF(Накл!$B$9:$B$550=A150,ROW(Накл!$B$9:$B$550)-ROW(Накл!$B$9)+1),ROW(D158)-ROW(A150)+1)),"")," ",IFERROR(INDEX(Накл!$C$9:$C$550,SMALL(IF(Накл!$B$9:$B$550=A150,ROW(Накл!$B$9:$B$550)-ROW(Накл!$B$9)+1),ROW(D159)-ROW(A150)+1)),""))</f>
        <v xml:space="preserve">         </v>
      </c>
      <c r="E150" s="26" t="str">
        <f t="array" ref="E150">IF(LEN(D150)&lt;10,CONCATENATE(IFERROR(INDEX(Накл!$C$9:$C$550,SMALL(IF(Накл!$A$9:$A$550=VALUE(LEFT(A150,8)),ROW(Накл!$A$9:$A$550)-ROW(Накл!$A$9)+1),ROW(E150)-ROW(B150)+1)),"")," ",IFERROR(INDEX(Накл!$C$9:$C$550,SMALL(IF(Накл!$A$9:$A$550=VALUE(LEFT(A150,8)),ROW(Накл!$A$9:$A$550)-ROW(Накл!$A$9)+1),ROW(E151)-ROW(B150)+1)),"")," ",IFERROR(INDEX(Накл!$C$9:$C$550,SMALL(IF(Накл!$A$9:$A$550=VALUE(LEFT(A150,8)),ROW(Накл!$A$9:$A$550)-ROW(Накл!$A$9)+1),ROW(E152)-ROW(B150)+1)),"")," ",IFERROR(INDEX(Накл!$C$9:$C$550,SMALL(IF(Накл!$A$9:$A$550=VALUE(LEFT(A150,8)),ROW(Накл!$A$9:$A$550)-ROW(Накл!$A$9)+1),ROW(E153)-ROW(B150)+1)),"")),"")</f>
        <v xml:space="preserve">   </v>
      </c>
    </row>
    <row r="151" spans="1:5">
      <c r="A151" s="26" t="str">
        <f>IFERROR(CONCATENATE(VALUE(SUBSTITUTE(SUBSTITUTE(LEFT(Накл!G158,11),".",""),"-",""))," ",Накл!J158),"-")</f>
        <v>-</v>
      </c>
      <c r="B151" s="26" t="str">
        <f>IFERROR(VLOOKUP(VALUE(LEFT(A151,8)),Накл!$A$9:$D$550,4,0),"-")</f>
        <v>-</v>
      </c>
      <c r="C151" s="26">
        <f>Накл!J158</f>
        <v>0</v>
      </c>
      <c r="D151" s="33" t="str">
        <f t="array" ref="D151">CONCATENATE(IFERROR(INDEX(Накл!$C$9:$C$550,SMALL(IF(Накл!$B$9:$B$550=A151,ROW(Накл!$B$9:$B$550)-ROW(Накл!$B$9)+1),ROW(D151)-ROW(A151)+1)),"")," ",IFERROR(INDEX(Накл!$C$9:$C$550,SMALL(IF(Накл!$B$9:$B$550=A151,ROW(Накл!$B$9:$B$550)-ROW(Накл!$B$9)+1),ROW(D152)-ROW(A151)+1)),"")," ",IFERROR(INDEX(Накл!$C$9:$C$550,SMALL(IF(Накл!$B$9:$B$550=A151,ROW(Накл!$B$9:$B$550)-ROW(Накл!$B$9)+1),ROW(D153)-ROW(A151)+1)),"")," ",IFERROR(INDEX(Накл!$C$9:$C$550,SMALL(IF(Накл!$B$9:$B$550=A151,ROW(Накл!$B$9:$B$550)-ROW(Накл!$B$9)+1),ROW(D154)-ROW(A151)+1)),"")," ",IFERROR(INDEX(Накл!$C$9:$C$550,SMALL(IF(Накл!$B$9:$B$550=A151,ROW(Накл!$B$9:$B$550)-ROW(Накл!$B$9)+1),ROW(D155)-ROW(A151)+1)),"")," ",IFERROR(INDEX(Накл!$C$9:$C$550,SMALL(IF(Накл!$B$9:$B$550=A151,ROW(Накл!$B$9:$B$550)-ROW(Накл!$B$9)+1),ROW(D156)-ROW(A151)+1)),"")," ",IFERROR(INDEX(Накл!$C$9:$C$550,SMALL(IF(Накл!$B$9:$B$550=A151,ROW(Накл!$B$9:$B$550)-ROW(Накл!$B$9)+1),ROW(D157)-ROW(A151)+1)),"")," ",IFERROR(INDEX(Накл!$C$9:$C$550,SMALL(IF(Накл!$B$9:$B$550=A151,ROW(Накл!$B$9:$B$550)-ROW(Накл!$B$9)+1),ROW(D158)-ROW(A151)+1)),"")," ",IFERROR(INDEX(Накл!$C$9:$C$550,SMALL(IF(Накл!$B$9:$B$550=A151,ROW(Накл!$B$9:$B$550)-ROW(Накл!$B$9)+1),ROW(D159)-ROW(A151)+1)),"")," ",IFERROR(INDEX(Накл!$C$9:$C$550,SMALL(IF(Накл!$B$9:$B$550=A151,ROW(Накл!$B$9:$B$550)-ROW(Накл!$B$9)+1),ROW(D160)-ROW(A151)+1)),""))</f>
        <v xml:space="preserve">         </v>
      </c>
      <c r="E151" s="26" t="str">
        <f t="array" ref="E151">IF(LEN(D151)&lt;10,CONCATENATE(IFERROR(INDEX(Накл!$C$9:$C$550,SMALL(IF(Накл!$A$9:$A$550=VALUE(LEFT(A151,8)),ROW(Накл!$A$9:$A$550)-ROW(Накл!$A$9)+1),ROW(E151)-ROW(B151)+1)),"")," ",IFERROR(INDEX(Накл!$C$9:$C$550,SMALL(IF(Накл!$A$9:$A$550=VALUE(LEFT(A151,8)),ROW(Накл!$A$9:$A$550)-ROW(Накл!$A$9)+1),ROW(E152)-ROW(B151)+1)),"")," ",IFERROR(INDEX(Накл!$C$9:$C$550,SMALL(IF(Накл!$A$9:$A$550=VALUE(LEFT(A151,8)),ROW(Накл!$A$9:$A$550)-ROW(Накл!$A$9)+1),ROW(E153)-ROW(B151)+1)),"")," ",IFERROR(INDEX(Накл!$C$9:$C$550,SMALL(IF(Накл!$A$9:$A$550=VALUE(LEFT(A151,8)),ROW(Накл!$A$9:$A$550)-ROW(Накл!$A$9)+1),ROW(E154)-ROW(B151)+1)),"")),"")</f>
        <v xml:space="preserve">   </v>
      </c>
    </row>
    <row r="152" spans="1:5">
      <c r="A152" s="26" t="str">
        <f>IFERROR(CONCATENATE(VALUE(SUBSTITUTE(SUBSTITUTE(LEFT(Накл!G159,11),".",""),"-",""))," ",Накл!J159),"-")</f>
        <v>-</v>
      </c>
      <c r="B152" s="26" t="str">
        <f>IFERROR(VLOOKUP(VALUE(LEFT(A152,8)),Накл!$A$9:$D$550,4,0),"-")</f>
        <v>-</v>
      </c>
      <c r="C152" s="26">
        <f>Накл!J159</f>
        <v>0</v>
      </c>
      <c r="D152" s="33" t="str">
        <f t="array" ref="D152">CONCATENATE(IFERROR(INDEX(Накл!$C$9:$C$550,SMALL(IF(Накл!$B$9:$B$550=A152,ROW(Накл!$B$9:$B$550)-ROW(Накл!$B$9)+1),ROW(D152)-ROW(A152)+1)),"")," ",IFERROR(INDEX(Накл!$C$9:$C$550,SMALL(IF(Накл!$B$9:$B$550=A152,ROW(Накл!$B$9:$B$550)-ROW(Накл!$B$9)+1),ROW(D153)-ROW(A152)+1)),"")," ",IFERROR(INDEX(Накл!$C$9:$C$550,SMALL(IF(Накл!$B$9:$B$550=A152,ROW(Накл!$B$9:$B$550)-ROW(Накл!$B$9)+1),ROW(D154)-ROW(A152)+1)),"")," ",IFERROR(INDEX(Накл!$C$9:$C$550,SMALL(IF(Накл!$B$9:$B$550=A152,ROW(Накл!$B$9:$B$550)-ROW(Накл!$B$9)+1),ROW(D155)-ROW(A152)+1)),"")," ",IFERROR(INDEX(Накл!$C$9:$C$550,SMALL(IF(Накл!$B$9:$B$550=A152,ROW(Накл!$B$9:$B$550)-ROW(Накл!$B$9)+1),ROW(D156)-ROW(A152)+1)),"")," ",IFERROR(INDEX(Накл!$C$9:$C$550,SMALL(IF(Накл!$B$9:$B$550=A152,ROW(Накл!$B$9:$B$550)-ROW(Накл!$B$9)+1),ROW(D157)-ROW(A152)+1)),"")," ",IFERROR(INDEX(Накл!$C$9:$C$550,SMALL(IF(Накл!$B$9:$B$550=A152,ROW(Накл!$B$9:$B$550)-ROW(Накл!$B$9)+1),ROW(D158)-ROW(A152)+1)),"")," ",IFERROR(INDEX(Накл!$C$9:$C$550,SMALL(IF(Накл!$B$9:$B$550=A152,ROW(Накл!$B$9:$B$550)-ROW(Накл!$B$9)+1),ROW(D159)-ROW(A152)+1)),"")," ",IFERROR(INDEX(Накл!$C$9:$C$550,SMALL(IF(Накл!$B$9:$B$550=A152,ROW(Накл!$B$9:$B$550)-ROW(Накл!$B$9)+1),ROW(D160)-ROW(A152)+1)),"")," ",IFERROR(INDEX(Накл!$C$9:$C$550,SMALL(IF(Накл!$B$9:$B$550=A152,ROW(Накл!$B$9:$B$550)-ROW(Накл!$B$9)+1),ROW(D161)-ROW(A152)+1)),""))</f>
        <v xml:space="preserve">         </v>
      </c>
      <c r="E152" s="26" t="str">
        <f t="array" ref="E152">IF(LEN(D152)&lt;10,CONCATENATE(IFERROR(INDEX(Накл!$C$9:$C$550,SMALL(IF(Накл!$A$9:$A$550=VALUE(LEFT(A152,8)),ROW(Накл!$A$9:$A$550)-ROW(Накл!$A$9)+1),ROW(E152)-ROW(B152)+1)),"")," ",IFERROR(INDEX(Накл!$C$9:$C$550,SMALL(IF(Накл!$A$9:$A$550=VALUE(LEFT(A152,8)),ROW(Накл!$A$9:$A$550)-ROW(Накл!$A$9)+1),ROW(E153)-ROW(B152)+1)),"")," ",IFERROR(INDEX(Накл!$C$9:$C$550,SMALL(IF(Накл!$A$9:$A$550=VALUE(LEFT(A152,8)),ROW(Накл!$A$9:$A$550)-ROW(Накл!$A$9)+1),ROW(E154)-ROW(B152)+1)),"")," ",IFERROR(INDEX(Накл!$C$9:$C$550,SMALL(IF(Накл!$A$9:$A$550=VALUE(LEFT(A152,8)),ROW(Накл!$A$9:$A$550)-ROW(Накл!$A$9)+1),ROW(E155)-ROW(B152)+1)),"")),"")</f>
        <v xml:space="preserve">   </v>
      </c>
    </row>
    <row r="153" spans="1:5">
      <c r="A153" s="26" t="str">
        <f>IFERROR(CONCATENATE(VALUE(SUBSTITUTE(SUBSTITUTE(LEFT(Накл!G160,11),".",""),"-",""))," ",Накл!J160),"-")</f>
        <v>-</v>
      </c>
      <c r="B153" s="26" t="str">
        <f>IFERROR(VLOOKUP(VALUE(LEFT(A153,8)),Накл!$A$9:$D$550,4,0),"-")</f>
        <v>-</v>
      </c>
      <c r="C153" s="26">
        <f>Накл!J160</f>
        <v>0</v>
      </c>
      <c r="D153" s="33" t="str">
        <f t="array" ref="D153">CONCATENATE(IFERROR(INDEX(Накл!$C$9:$C$550,SMALL(IF(Накл!$B$9:$B$550=A153,ROW(Накл!$B$9:$B$550)-ROW(Накл!$B$9)+1),ROW(D153)-ROW(A153)+1)),"")," ",IFERROR(INDEX(Накл!$C$9:$C$550,SMALL(IF(Накл!$B$9:$B$550=A153,ROW(Накл!$B$9:$B$550)-ROW(Накл!$B$9)+1),ROW(D154)-ROW(A153)+1)),"")," ",IFERROR(INDEX(Накл!$C$9:$C$550,SMALL(IF(Накл!$B$9:$B$550=A153,ROW(Накл!$B$9:$B$550)-ROW(Накл!$B$9)+1),ROW(D155)-ROW(A153)+1)),"")," ",IFERROR(INDEX(Накл!$C$9:$C$550,SMALL(IF(Накл!$B$9:$B$550=A153,ROW(Накл!$B$9:$B$550)-ROW(Накл!$B$9)+1),ROW(D156)-ROW(A153)+1)),"")," ",IFERROR(INDEX(Накл!$C$9:$C$550,SMALL(IF(Накл!$B$9:$B$550=A153,ROW(Накл!$B$9:$B$550)-ROW(Накл!$B$9)+1),ROW(D157)-ROW(A153)+1)),"")," ",IFERROR(INDEX(Накл!$C$9:$C$550,SMALL(IF(Накл!$B$9:$B$550=A153,ROW(Накл!$B$9:$B$550)-ROW(Накл!$B$9)+1),ROW(D158)-ROW(A153)+1)),"")," ",IFERROR(INDEX(Накл!$C$9:$C$550,SMALL(IF(Накл!$B$9:$B$550=A153,ROW(Накл!$B$9:$B$550)-ROW(Накл!$B$9)+1),ROW(D159)-ROW(A153)+1)),"")," ",IFERROR(INDEX(Накл!$C$9:$C$550,SMALL(IF(Накл!$B$9:$B$550=A153,ROW(Накл!$B$9:$B$550)-ROW(Накл!$B$9)+1),ROW(D160)-ROW(A153)+1)),"")," ",IFERROR(INDEX(Накл!$C$9:$C$550,SMALL(IF(Накл!$B$9:$B$550=A153,ROW(Накл!$B$9:$B$550)-ROW(Накл!$B$9)+1),ROW(D161)-ROW(A153)+1)),"")," ",IFERROR(INDEX(Накл!$C$9:$C$550,SMALL(IF(Накл!$B$9:$B$550=A153,ROW(Накл!$B$9:$B$550)-ROW(Накл!$B$9)+1),ROW(D162)-ROW(A153)+1)),""))</f>
        <v xml:space="preserve">         </v>
      </c>
      <c r="E153" s="26" t="str">
        <f t="array" ref="E153">IF(LEN(D153)&lt;10,CONCATENATE(IFERROR(INDEX(Накл!$C$9:$C$550,SMALL(IF(Накл!$A$9:$A$550=VALUE(LEFT(A153,8)),ROW(Накл!$A$9:$A$550)-ROW(Накл!$A$9)+1),ROW(E153)-ROW(B153)+1)),"")," ",IFERROR(INDEX(Накл!$C$9:$C$550,SMALL(IF(Накл!$A$9:$A$550=VALUE(LEFT(A153,8)),ROW(Накл!$A$9:$A$550)-ROW(Накл!$A$9)+1),ROW(E154)-ROW(B153)+1)),"")," ",IFERROR(INDEX(Накл!$C$9:$C$550,SMALL(IF(Накл!$A$9:$A$550=VALUE(LEFT(A153,8)),ROW(Накл!$A$9:$A$550)-ROW(Накл!$A$9)+1),ROW(E155)-ROW(B153)+1)),"")," ",IFERROR(INDEX(Накл!$C$9:$C$550,SMALL(IF(Накл!$A$9:$A$550=VALUE(LEFT(A153,8)),ROW(Накл!$A$9:$A$550)-ROW(Накл!$A$9)+1),ROW(E156)-ROW(B153)+1)),"")),"")</f>
        <v xml:space="preserve">   </v>
      </c>
    </row>
    <row r="154" spans="1:5">
      <c r="A154" s="26" t="str">
        <f>IFERROR(CONCATENATE(VALUE(SUBSTITUTE(SUBSTITUTE(LEFT(Накл!G161,11),".",""),"-",""))," ",Накл!J161),"-")</f>
        <v>-</v>
      </c>
      <c r="B154" s="26" t="str">
        <f>IFERROR(VLOOKUP(VALUE(LEFT(A154,8)),Накл!$A$9:$D$550,4,0),"-")</f>
        <v>-</v>
      </c>
      <c r="C154" s="26">
        <f>Накл!J161</f>
        <v>0</v>
      </c>
      <c r="D154" s="33" t="str">
        <f t="array" ref="D154">CONCATENATE(IFERROR(INDEX(Накл!$C$9:$C$550,SMALL(IF(Накл!$B$9:$B$550=A154,ROW(Накл!$B$9:$B$550)-ROW(Накл!$B$9)+1),ROW(D154)-ROW(A154)+1)),"")," ",IFERROR(INDEX(Накл!$C$9:$C$550,SMALL(IF(Накл!$B$9:$B$550=A154,ROW(Накл!$B$9:$B$550)-ROW(Накл!$B$9)+1),ROW(D155)-ROW(A154)+1)),"")," ",IFERROR(INDEX(Накл!$C$9:$C$550,SMALL(IF(Накл!$B$9:$B$550=A154,ROW(Накл!$B$9:$B$550)-ROW(Накл!$B$9)+1),ROW(D156)-ROW(A154)+1)),"")," ",IFERROR(INDEX(Накл!$C$9:$C$550,SMALL(IF(Накл!$B$9:$B$550=A154,ROW(Накл!$B$9:$B$550)-ROW(Накл!$B$9)+1),ROW(D157)-ROW(A154)+1)),"")," ",IFERROR(INDEX(Накл!$C$9:$C$550,SMALL(IF(Накл!$B$9:$B$550=A154,ROW(Накл!$B$9:$B$550)-ROW(Накл!$B$9)+1),ROW(D158)-ROW(A154)+1)),"")," ",IFERROR(INDEX(Накл!$C$9:$C$550,SMALL(IF(Накл!$B$9:$B$550=A154,ROW(Накл!$B$9:$B$550)-ROW(Накл!$B$9)+1),ROW(D159)-ROW(A154)+1)),"")," ",IFERROR(INDEX(Накл!$C$9:$C$550,SMALL(IF(Накл!$B$9:$B$550=A154,ROW(Накл!$B$9:$B$550)-ROW(Накл!$B$9)+1),ROW(D160)-ROW(A154)+1)),"")," ",IFERROR(INDEX(Накл!$C$9:$C$550,SMALL(IF(Накл!$B$9:$B$550=A154,ROW(Накл!$B$9:$B$550)-ROW(Накл!$B$9)+1),ROW(D161)-ROW(A154)+1)),"")," ",IFERROR(INDEX(Накл!$C$9:$C$550,SMALL(IF(Накл!$B$9:$B$550=A154,ROW(Накл!$B$9:$B$550)-ROW(Накл!$B$9)+1),ROW(D162)-ROW(A154)+1)),"")," ",IFERROR(INDEX(Накл!$C$9:$C$550,SMALL(IF(Накл!$B$9:$B$550=A154,ROW(Накл!$B$9:$B$550)-ROW(Накл!$B$9)+1),ROW(D163)-ROW(A154)+1)),""))</f>
        <v xml:space="preserve">         </v>
      </c>
      <c r="E154" s="26" t="str">
        <f t="array" ref="E154">IF(LEN(D154)&lt;10,CONCATENATE(IFERROR(INDEX(Накл!$C$9:$C$550,SMALL(IF(Накл!$A$9:$A$550=VALUE(LEFT(A154,8)),ROW(Накл!$A$9:$A$550)-ROW(Накл!$A$9)+1),ROW(E154)-ROW(B154)+1)),"")," ",IFERROR(INDEX(Накл!$C$9:$C$550,SMALL(IF(Накл!$A$9:$A$550=VALUE(LEFT(A154,8)),ROW(Накл!$A$9:$A$550)-ROW(Накл!$A$9)+1),ROW(E155)-ROW(B154)+1)),"")," ",IFERROR(INDEX(Накл!$C$9:$C$550,SMALL(IF(Накл!$A$9:$A$550=VALUE(LEFT(A154,8)),ROW(Накл!$A$9:$A$550)-ROW(Накл!$A$9)+1),ROW(E156)-ROW(B154)+1)),"")," ",IFERROR(INDEX(Накл!$C$9:$C$550,SMALL(IF(Накл!$A$9:$A$550=VALUE(LEFT(A154,8)),ROW(Накл!$A$9:$A$550)-ROW(Накл!$A$9)+1),ROW(E157)-ROW(B154)+1)),"")),"")</f>
        <v xml:space="preserve">   </v>
      </c>
    </row>
    <row r="155" spans="1:5">
      <c r="A155" s="26" t="str">
        <f>IFERROR(CONCATENATE(VALUE(SUBSTITUTE(SUBSTITUTE(LEFT(Накл!G162,11),".",""),"-",""))," ",Накл!J162),"-")</f>
        <v>-</v>
      </c>
      <c r="B155" s="26" t="str">
        <f>IFERROR(VLOOKUP(VALUE(LEFT(A155,8)),Накл!$A$9:$D$550,4,0),"-")</f>
        <v>-</v>
      </c>
      <c r="C155" s="26">
        <f>Накл!J162</f>
        <v>0</v>
      </c>
      <c r="D155" s="33" t="str">
        <f t="array" ref="D155">CONCATENATE(IFERROR(INDEX(Накл!$C$9:$C$550,SMALL(IF(Накл!$B$9:$B$550=A155,ROW(Накл!$B$9:$B$550)-ROW(Накл!$B$9)+1),ROW(D155)-ROW(A155)+1)),"")," ",IFERROR(INDEX(Накл!$C$9:$C$550,SMALL(IF(Накл!$B$9:$B$550=A155,ROW(Накл!$B$9:$B$550)-ROW(Накл!$B$9)+1),ROW(D156)-ROW(A155)+1)),"")," ",IFERROR(INDEX(Накл!$C$9:$C$550,SMALL(IF(Накл!$B$9:$B$550=A155,ROW(Накл!$B$9:$B$550)-ROW(Накл!$B$9)+1),ROW(D157)-ROW(A155)+1)),"")," ",IFERROR(INDEX(Накл!$C$9:$C$550,SMALL(IF(Накл!$B$9:$B$550=A155,ROW(Накл!$B$9:$B$550)-ROW(Накл!$B$9)+1),ROW(D158)-ROW(A155)+1)),"")," ",IFERROR(INDEX(Накл!$C$9:$C$550,SMALL(IF(Накл!$B$9:$B$550=A155,ROW(Накл!$B$9:$B$550)-ROW(Накл!$B$9)+1),ROW(D159)-ROW(A155)+1)),"")," ",IFERROR(INDEX(Накл!$C$9:$C$550,SMALL(IF(Накл!$B$9:$B$550=A155,ROW(Накл!$B$9:$B$550)-ROW(Накл!$B$9)+1),ROW(D160)-ROW(A155)+1)),"")," ",IFERROR(INDEX(Накл!$C$9:$C$550,SMALL(IF(Накл!$B$9:$B$550=A155,ROW(Накл!$B$9:$B$550)-ROW(Накл!$B$9)+1),ROW(D161)-ROW(A155)+1)),"")," ",IFERROR(INDEX(Накл!$C$9:$C$550,SMALL(IF(Накл!$B$9:$B$550=A155,ROW(Накл!$B$9:$B$550)-ROW(Накл!$B$9)+1),ROW(D162)-ROW(A155)+1)),"")," ",IFERROR(INDEX(Накл!$C$9:$C$550,SMALL(IF(Накл!$B$9:$B$550=A155,ROW(Накл!$B$9:$B$550)-ROW(Накл!$B$9)+1),ROW(D163)-ROW(A155)+1)),"")," ",IFERROR(INDEX(Накл!$C$9:$C$550,SMALL(IF(Накл!$B$9:$B$550=A155,ROW(Накл!$B$9:$B$550)-ROW(Накл!$B$9)+1),ROW(D164)-ROW(A155)+1)),""))</f>
        <v xml:space="preserve">         </v>
      </c>
      <c r="E155" s="26" t="str">
        <f t="array" ref="E155">IF(LEN(D155)&lt;10,CONCATENATE(IFERROR(INDEX(Накл!$C$9:$C$550,SMALL(IF(Накл!$A$9:$A$550=VALUE(LEFT(A155,8)),ROW(Накл!$A$9:$A$550)-ROW(Накл!$A$9)+1),ROW(E155)-ROW(B155)+1)),"")," ",IFERROR(INDEX(Накл!$C$9:$C$550,SMALL(IF(Накл!$A$9:$A$550=VALUE(LEFT(A155,8)),ROW(Накл!$A$9:$A$550)-ROW(Накл!$A$9)+1),ROW(E156)-ROW(B155)+1)),"")," ",IFERROR(INDEX(Накл!$C$9:$C$550,SMALL(IF(Накл!$A$9:$A$550=VALUE(LEFT(A155,8)),ROW(Накл!$A$9:$A$550)-ROW(Накл!$A$9)+1),ROW(E157)-ROW(B155)+1)),"")," ",IFERROR(INDEX(Накл!$C$9:$C$550,SMALL(IF(Накл!$A$9:$A$550=VALUE(LEFT(A155,8)),ROW(Накл!$A$9:$A$550)-ROW(Накл!$A$9)+1),ROW(E158)-ROW(B155)+1)),"")),"")</f>
        <v xml:space="preserve">   </v>
      </c>
    </row>
    <row r="156" spans="1:5">
      <c r="A156" s="26" t="str">
        <f>IFERROR(CONCATENATE(VALUE(SUBSTITUTE(SUBSTITUTE(LEFT(Накл!G163,11),".",""),"-",""))," ",Накл!J163),"-")</f>
        <v>-</v>
      </c>
      <c r="B156" s="26" t="str">
        <f>IFERROR(VLOOKUP(VALUE(LEFT(A156,8)),Накл!$A$9:$D$550,4,0),"-")</f>
        <v>-</v>
      </c>
      <c r="C156" s="26">
        <f>Накл!J163</f>
        <v>0</v>
      </c>
      <c r="D156" s="33" t="str">
        <f t="array" ref="D156">CONCATENATE(IFERROR(INDEX(Накл!$C$9:$C$550,SMALL(IF(Накл!$B$9:$B$550=A156,ROW(Накл!$B$9:$B$550)-ROW(Накл!$B$9)+1),ROW(D156)-ROW(A156)+1)),"")," ",IFERROR(INDEX(Накл!$C$9:$C$550,SMALL(IF(Накл!$B$9:$B$550=A156,ROW(Накл!$B$9:$B$550)-ROW(Накл!$B$9)+1),ROW(D157)-ROW(A156)+1)),"")," ",IFERROR(INDEX(Накл!$C$9:$C$550,SMALL(IF(Накл!$B$9:$B$550=A156,ROW(Накл!$B$9:$B$550)-ROW(Накл!$B$9)+1),ROW(D158)-ROW(A156)+1)),"")," ",IFERROR(INDEX(Накл!$C$9:$C$550,SMALL(IF(Накл!$B$9:$B$550=A156,ROW(Накл!$B$9:$B$550)-ROW(Накл!$B$9)+1),ROW(D159)-ROW(A156)+1)),"")," ",IFERROR(INDEX(Накл!$C$9:$C$550,SMALL(IF(Накл!$B$9:$B$550=A156,ROW(Накл!$B$9:$B$550)-ROW(Накл!$B$9)+1),ROW(D160)-ROW(A156)+1)),"")," ",IFERROR(INDEX(Накл!$C$9:$C$550,SMALL(IF(Накл!$B$9:$B$550=A156,ROW(Накл!$B$9:$B$550)-ROW(Накл!$B$9)+1),ROW(D161)-ROW(A156)+1)),"")," ",IFERROR(INDEX(Накл!$C$9:$C$550,SMALL(IF(Накл!$B$9:$B$550=A156,ROW(Накл!$B$9:$B$550)-ROW(Накл!$B$9)+1),ROW(D162)-ROW(A156)+1)),"")," ",IFERROR(INDEX(Накл!$C$9:$C$550,SMALL(IF(Накл!$B$9:$B$550=A156,ROW(Накл!$B$9:$B$550)-ROW(Накл!$B$9)+1),ROW(D163)-ROW(A156)+1)),"")," ",IFERROR(INDEX(Накл!$C$9:$C$550,SMALL(IF(Накл!$B$9:$B$550=A156,ROW(Накл!$B$9:$B$550)-ROW(Накл!$B$9)+1),ROW(D164)-ROW(A156)+1)),"")," ",IFERROR(INDEX(Накл!$C$9:$C$550,SMALL(IF(Накл!$B$9:$B$550=A156,ROW(Накл!$B$9:$B$550)-ROW(Накл!$B$9)+1),ROW(D165)-ROW(A156)+1)),""))</f>
        <v xml:space="preserve">         </v>
      </c>
      <c r="E156" s="26" t="str">
        <f t="array" ref="E156">IF(LEN(D156)&lt;10,CONCATENATE(IFERROR(INDEX(Накл!$C$9:$C$550,SMALL(IF(Накл!$A$9:$A$550=VALUE(LEFT(A156,8)),ROW(Накл!$A$9:$A$550)-ROW(Накл!$A$9)+1),ROW(E156)-ROW(B156)+1)),"")," ",IFERROR(INDEX(Накл!$C$9:$C$550,SMALL(IF(Накл!$A$9:$A$550=VALUE(LEFT(A156,8)),ROW(Накл!$A$9:$A$550)-ROW(Накл!$A$9)+1),ROW(E157)-ROW(B156)+1)),"")," ",IFERROR(INDEX(Накл!$C$9:$C$550,SMALL(IF(Накл!$A$9:$A$550=VALUE(LEFT(A156,8)),ROW(Накл!$A$9:$A$550)-ROW(Накл!$A$9)+1),ROW(E158)-ROW(B156)+1)),"")," ",IFERROR(INDEX(Накл!$C$9:$C$550,SMALL(IF(Накл!$A$9:$A$550=VALUE(LEFT(A156,8)),ROW(Накл!$A$9:$A$550)-ROW(Накл!$A$9)+1),ROW(E159)-ROW(B156)+1)),"")),"")</f>
        <v xml:space="preserve">   </v>
      </c>
    </row>
    <row r="157" spans="1:5">
      <c r="A157" s="26" t="str">
        <f>IFERROR(CONCATENATE(VALUE(SUBSTITUTE(SUBSTITUTE(LEFT(Накл!G164,11),".",""),"-",""))," ",Накл!J164),"-")</f>
        <v>-</v>
      </c>
      <c r="B157" s="26" t="str">
        <f>IFERROR(VLOOKUP(VALUE(LEFT(A157,8)),Накл!$A$9:$D$550,4,0),"-")</f>
        <v>-</v>
      </c>
      <c r="C157" s="26">
        <f>Накл!J164</f>
        <v>0</v>
      </c>
      <c r="D157" s="33" t="str">
        <f t="array" ref="D157">CONCATENATE(IFERROR(INDEX(Накл!$C$9:$C$550,SMALL(IF(Накл!$B$9:$B$550=A157,ROW(Накл!$B$9:$B$550)-ROW(Накл!$B$9)+1),ROW(D157)-ROW(A157)+1)),"")," ",IFERROR(INDEX(Накл!$C$9:$C$550,SMALL(IF(Накл!$B$9:$B$550=A157,ROW(Накл!$B$9:$B$550)-ROW(Накл!$B$9)+1),ROW(D158)-ROW(A157)+1)),"")," ",IFERROR(INDEX(Накл!$C$9:$C$550,SMALL(IF(Накл!$B$9:$B$550=A157,ROW(Накл!$B$9:$B$550)-ROW(Накл!$B$9)+1),ROW(D159)-ROW(A157)+1)),"")," ",IFERROR(INDEX(Накл!$C$9:$C$550,SMALL(IF(Накл!$B$9:$B$550=A157,ROW(Накл!$B$9:$B$550)-ROW(Накл!$B$9)+1),ROW(D160)-ROW(A157)+1)),"")," ",IFERROR(INDEX(Накл!$C$9:$C$550,SMALL(IF(Накл!$B$9:$B$550=A157,ROW(Накл!$B$9:$B$550)-ROW(Накл!$B$9)+1),ROW(D161)-ROW(A157)+1)),"")," ",IFERROR(INDEX(Накл!$C$9:$C$550,SMALL(IF(Накл!$B$9:$B$550=A157,ROW(Накл!$B$9:$B$550)-ROW(Накл!$B$9)+1),ROW(D162)-ROW(A157)+1)),"")," ",IFERROR(INDEX(Накл!$C$9:$C$550,SMALL(IF(Накл!$B$9:$B$550=A157,ROW(Накл!$B$9:$B$550)-ROW(Накл!$B$9)+1),ROW(D163)-ROW(A157)+1)),"")," ",IFERROR(INDEX(Накл!$C$9:$C$550,SMALL(IF(Накл!$B$9:$B$550=A157,ROW(Накл!$B$9:$B$550)-ROW(Накл!$B$9)+1),ROW(D164)-ROW(A157)+1)),"")," ",IFERROR(INDEX(Накл!$C$9:$C$550,SMALL(IF(Накл!$B$9:$B$550=A157,ROW(Накл!$B$9:$B$550)-ROW(Накл!$B$9)+1),ROW(D165)-ROW(A157)+1)),"")," ",IFERROR(INDEX(Накл!$C$9:$C$550,SMALL(IF(Накл!$B$9:$B$550=A157,ROW(Накл!$B$9:$B$550)-ROW(Накл!$B$9)+1),ROW(D166)-ROW(A157)+1)),""))</f>
        <v xml:space="preserve">         </v>
      </c>
      <c r="E157" s="26" t="str">
        <f t="array" ref="E157">IF(LEN(D157)&lt;10,CONCATENATE(IFERROR(INDEX(Накл!$C$9:$C$550,SMALL(IF(Накл!$A$9:$A$550=VALUE(LEFT(A157,8)),ROW(Накл!$A$9:$A$550)-ROW(Накл!$A$9)+1),ROW(E157)-ROW(B157)+1)),"")," ",IFERROR(INDEX(Накл!$C$9:$C$550,SMALL(IF(Накл!$A$9:$A$550=VALUE(LEFT(A157,8)),ROW(Накл!$A$9:$A$550)-ROW(Накл!$A$9)+1),ROW(E158)-ROW(B157)+1)),"")," ",IFERROR(INDEX(Накл!$C$9:$C$550,SMALL(IF(Накл!$A$9:$A$550=VALUE(LEFT(A157,8)),ROW(Накл!$A$9:$A$550)-ROW(Накл!$A$9)+1),ROW(E159)-ROW(B157)+1)),"")," ",IFERROR(INDEX(Накл!$C$9:$C$550,SMALL(IF(Накл!$A$9:$A$550=VALUE(LEFT(A157,8)),ROW(Накл!$A$9:$A$550)-ROW(Накл!$A$9)+1),ROW(E160)-ROW(B157)+1)),"")),"")</f>
        <v xml:space="preserve">   </v>
      </c>
    </row>
    <row r="158" spans="1:5">
      <c r="A158" s="26" t="str">
        <f>IFERROR(CONCATENATE(VALUE(SUBSTITUTE(SUBSTITUTE(LEFT(Накл!G165,11),".",""),"-",""))," ",Накл!J165),"-")</f>
        <v>-</v>
      </c>
      <c r="B158" s="26" t="str">
        <f>IFERROR(VLOOKUP(VALUE(LEFT(A158,8)),Накл!$A$9:$D$550,4,0),"-")</f>
        <v>-</v>
      </c>
      <c r="C158" s="26">
        <f>Накл!J165</f>
        <v>0</v>
      </c>
      <c r="D158" s="33" t="str">
        <f t="array" ref="D158">CONCATENATE(IFERROR(INDEX(Накл!$C$9:$C$550,SMALL(IF(Накл!$B$9:$B$550=A158,ROW(Накл!$B$9:$B$550)-ROW(Накл!$B$9)+1),ROW(D158)-ROW(A158)+1)),"")," ",IFERROR(INDEX(Накл!$C$9:$C$550,SMALL(IF(Накл!$B$9:$B$550=A158,ROW(Накл!$B$9:$B$550)-ROW(Накл!$B$9)+1),ROW(D159)-ROW(A158)+1)),"")," ",IFERROR(INDEX(Накл!$C$9:$C$550,SMALL(IF(Накл!$B$9:$B$550=A158,ROW(Накл!$B$9:$B$550)-ROW(Накл!$B$9)+1),ROW(D160)-ROW(A158)+1)),"")," ",IFERROR(INDEX(Накл!$C$9:$C$550,SMALL(IF(Накл!$B$9:$B$550=A158,ROW(Накл!$B$9:$B$550)-ROW(Накл!$B$9)+1),ROW(D161)-ROW(A158)+1)),"")," ",IFERROR(INDEX(Накл!$C$9:$C$550,SMALL(IF(Накл!$B$9:$B$550=A158,ROW(Накл!$B$9:$B$550)-ROW(Накл!$B$9)+1),ROW(D162)-ROW(A158)+1)),"")," ",IFERROR(INDEX(Накл!$C$9:$C$550,SMALL(IF(Накл!$B$9:$B$550=A158,ROW(Накл!$B$9:$B$550)-ROW(Накл!$B$9)+1),ROW(D163)-ROW(A158)+1)),"")," ",IFERROR(INDEX(Накл!$C$9:$C$550,SMALL(IF(Накл!$B$9:$B$550=A158,ROW(Накл!$B$9:$B$550)-ROW(Накл!$B$9)+1),ROW(D164)-ROW(A158)+1)),"")," ",IFERROR(INDEX(Накл!$C$9:$C$550,SMALL(IF(Накл!$B$9:$B$550=A158,ROW(Накл!$B$9:$B$550)-ROW(Накл!$B$9)+1),ROW(D165)-ROW(A158)+1)),"")," ",IFERROR(INDEX(Накл!$C$9:$C$550,SMALL(IF(Накл!$B$9:$B$550=A158,ROW(Накл!$B$9:$B$550)-ROW(Накл!$B$9)+1),ROW(D166)-ROW(A158)+1)),"")," ",IFERROR(INDEX(Накл!$C$9:$C$550,SMALL(IF(Накл!$B$9:$B$550=A158,ROW(Накл!$B$9:$B$550)-ROW(Накл!$B$9)+1),ROW(D167)-ROW(A158)+1)),""))</f>
        <v xml:space="preserve">         </v>
      </c>
      <c r="E158" s="26" t="str">
        <f t="array" ref="E158">IF(LEN(D158)&lt;10,CONCATENATE(IFERROR(INDEX(Накл!$C$9:$C$550,SMALL(IF(Накл!$A$9:$A$550=VALUE(LEFT(A158,8)),ROW(Накл!$A$9:$A$550)-ROW(Накл!$A$9)+1),ROW(E158)-ROW(B158)+1)),"")," ",IFERROR(INDEX(Накл!$C$9:$C$550,SMALL(IF(Накл!$A$9:$A$550=VALUE(LEFT(A158,8)),ROW(Накл!$A$9:$A$550)-ROW(Накл!$A$9)+1),ROW(E159)-ROW(B158)+1)),"")," ",IFERROR(INDEX(Накл!$C$9:$C$550,SMALL(IF(Накл!$A$9:$A$550=VALUE(LEFT(A158,8)),ROW(Накл!$A$9:$A$550)-ROW(Накл!$A$9)+1),ROW(E160)-ROW(B158)+1)),"")," ",IFERROR(INDEX(Накл!$C$9:$C$550,SMALL(IF(Накл!$A$9:$A$550=VALUE(LEFT(A158,8)),ROW(Накл!$A$9:$A$550)-ROW(Накл!$A$9)+1),ROW(E161)-ROW(B158)+1)),"")),"")</f>
        <v xml:space="preserve">   </v>
      </c>
    </row>
    <row r="159" spans="1:5">
      <c r="A159" s="26" t="str">
        <f>IFERROR(CONCATENATE(VALUE(SUBSTITUTE(SUBSTITUTE(LEFT(Накл!G166,11),".",""),"-",""))," ",Накл!J166),"-")</f>
        <v>-</v>
      </c>
      <c r="B159" s="26" t="str">
        <f>IFERROR(VLOOKUP(VALUE(LEFT(A159,8)),Накл!$A$9:$D$550,4,0),"-")</f>
        <v>-</v>
      </c>
      <c r="C159" s="26">
        <f>Накл!J166</f>
        <v>0</v>
      </c>
      <c r="D159" s="33" t="str">
        <f t="array" ref="D159">CONCATENATE(IFERROR(INDEX(Накл!$C$9:$C$550,SMALL(IF(Накл!$B$9:$B$550=A159,ROW(Накл!$B$9:$B$550)-ROW(Накл!$B$9)+1),ROW(D159)-ROW(A159)+1)),"")," ",IFERROR(INDEX(Накл!$C$9:$C$550,SMALL(IF(Накл!$B$9:$B$550=A159,ROW(Накл!$B$9:$B$550)-ROW(Накл!$B$9)+1),ROW(D160)-ROW(A159)+1)),"")," ",IFERROR(INDEX(Накл!$C$9:$C$550,SMALL(IF(Накл!$B$9:$B$550=A159,ROW(Накл!$B$9:$B$550)-ROW(Накл!$B$9)+1),ROW(D161)-ROW(A159)+1)),"")," ",IFERROR(INDEX(Накл!$C$9:$C$550,SMALL(IF(Накл!$B$9:$B$550=A159,ROW(Накл!$B$9:$B$550)-ROW(Накл!$B$9)+1),ROW(D162)-ROW(A159)+1)),"")," ",IFERROR(INDEX(Накл!$C$9:$C$550,SMALL(IF(Накл!$B$9:$B$550=A159,ROW(Накл!$B$9:$B$550)-ROW(Накл!$B$9)+1),ROW(D163)-ROW(A159)+1)),"")," ",IFERROR(INDEX(Накл!$C$9:$C$550,SMALL(IF(Накл!$B$9:$B$550=A159,ROW(Накл!$B$9:$B$550)-ROW(Накл!$B$9)+1),ROW(D164)-ROW(A159)+1)),"")," ",IFERROR(INDEX(Накл!$C$9:$C$550,SMALL(IF(Накл!$B$9:$B$550=A159,ROW(Накл!$B$9:$B$550)-ROW(Накл!$B$9)+1),ROW(D165)-ROW(A159)+1)),"")," ",IFERROR(INDEX(Накл!$C$9:$C$550,SMALL(IF(Накл!$B$9:$B$550=A159,ROW(Накл!$B$9:$B$550)-ROW(Накл!$B$9)+1),ROW(D166)-ROW(A159)+1)),"")," ",IFERROR(INDEX(Накл!$C$9:$C$550,SMALL(IF(Накл!$B$9:$B$550=A159,ROW(Накл!$B$9:$B$550)-ROW(Накл!$B$9)+1),ROW(D167)-ROW(A159)+1)),"")," ",IFERROR(INDEX(Накл!$C$9:$C$550,SMALL(IF(Накл!$B$9:$B$550=A159,ROW(Накл!$B$9:$B$550)-ROW(Накл!$B$9)+1),ROW(D168)-ROW(A159)+1)),""))</f>
        <v xml:space="preserve">         </v>
      </c>
      <c r="E159" s="26" t="str">
        <f t="array" ref="E159">IF(LEN(D159)&lt;10,CONCATENATE(IFERROR(INDEX(Накл!$C$9:$C$550,SMALL(IF(Накл!$A$9:$A$550=VALUE(LEFT(A159,8)),ROW(Накл!$A$9:$A$550)-ROW(Накл!$A$9)+1),ROW(E159)-ROW(B159)+1)),"")," ",IFERROR(INDEX(Накл!$C$9:$C$550,SMALL(IF(Накл!$A$9:$A$550=VALUE(LEFT(A159,8)),ROW(Накл!$A$9:$A$550)-ROW(Накл!$A$9)+1),ROW(E160)-ROW(B159)+1)),"")," ",IFERROR(INDEX(Накл!$C$9:$C$550,SMALL(IF(Накл!$A$9:$A$550=VALUE(LEFT(A159,8)),ROW(Накл!$A$9:$A$550)-ROW(Накл!$A$9)+1),ROW(E161)-ROW(B159)+1)),"")," ",IFERROR(INDEX(Накл!$C$9:$C$550,SMALL(IF(Накл!$A$9:$A$550=VALUE(LEFT(A159,8)),ROW(Накл!$A$9:$A$550)-ROW(Накл!$A$9)+1),ROW(E162)-ROW(B159)+1)),"")),"")</f>
        <v xml:space="preserve">   </v>
      </c>
    </row>
    <row r="160" spans="1:5">
      <c r="A160" s="26" t="str">
        <f>IFERROR(CONCATENATE(VALUE(SUBSTITUTE(SUBSTITUTE(LEFT(Накл!G167,11),".",""),"-",""))," ",Накл!J167),"-")</f>
        <v>-</v>
      </c>
      <c r="B160" s="26" t="str">
        <f>IFERROR(VLOOKUP(VALUE(LEFT(A160,8)),Накл!$A$9:$D$550,4,0),"-")</f>
        <v>-</v>
      </c>
      <c r="C160" s="26">
        <f>Накл!J167</f>
        <v>0</v>
      </c>
      <c r="D160" s="33" t="str">
        <f t="array" ref="D160">CONCATENATE(IFERROR(INDEX(Накл!$C$9:$C$550,SMALL(IF(Накл!$B$9:$B$550=A160,ROW(Накл!$B$9:$B$550)-ROW(Накл!$B$9)+1),ROW(D160)-ROW(A160)+1)),"")," ",IFERROR(INDEX(Накл!$C$9:$C$550,SMALL(IF(Накл!$B$9:$B$550=A160,ROW(Накл!$B$9:$B$550)-ROW(Накл!$B$9)+1),ROW(D161)-ROW(A160)+1)),"")," ",IFERROR(INDEX(Накл!$C$9:$C$550,SMALL(IF(Накл!$B$9:$B$550=A160,ROW(Накл!$B$9:$B$550)-ROW(Накл!$B$9)+1),ROW(D162)-ROW(A160)+1)),"")," ",IFERROR(INDEX(Накл!$C$9:$C$550,SMALL(IF(Накл!$B$9:$B$550=A160,ROW(Накл!$B$9:$B$550)-ROW(Накл!$B$9)+1),ROW(D163)-ROW(A160)+1)),"")," ",IFERROR(INDEX(Накл!$C$9:$C$550,SMALL(IF(Накл!$B$9:$B$550=A160,ROW(Накл!$B$9:$B$550)-ROW(Накл!$B$9)+1),ROW(D164)-ROW(A160)+1)),"")," ",IFERROR(INDEX(Накл!$C$9:$C$550,SMALL(IF(Накл!$B$9:$B$550=A160,ROW(Накл!$B$9:$B$550)-ROW(Накл!$B$9)+1),ROW(D165)-ROW(A160)+1)),"")," ",IFERROR(INDEX(Накл!$C$9:$C$550,SMALL(IF(Накл!$B$9:$B$550=A160,ROW(Накл!$B$9:$B$550)-ROW(Накл!$B$9)+1),ROW(D166)-ROW(A160)+1)),"")," ",IFERROR(INDEX(Накл!$C$9:$C$550,SMALL(IF(Накл!$B$9:$B$550=A160,ROW(Накл!$B$9:$B$550)-ROW(Накл!$B$9)+1),ROW(D167)-ROW(A160)+1)),"")," ",IFERROR(INDEX(Накл!$C$9:$C$550,SMALL(IF(Накл!$B$9:$B$550=A160,ROW(Накл!$B$9:$B$550)-ROW(Накл!$B$9)+1),ROW(D168)-ROW(A160)+1)),"")," ",IFERROR(INDEX(Накл!$C$9:$C$550,SMALL(IF(Накл!$B$9:$B$550=A160,ROW(Накл!$B$9:$B$550)-ROW(Накл!$B$9)+1),ROW(D169)-ROW(A160)+1)),""))</f>
        <v xml:space="preserve">         </v>
      </c>
      <c r="E160" s="26" t="str">
        <f t="array" ref="E160">IF(LEN(D160)&lt;10,CONCATENATE(IFERROR(INDEX(Накл!$C$9:$C$550,SMALL(IF(Накл!$A$9:$A$550=VALUE(LEFT(A160,8)),ROW(Накл!$A$9:$A$550)-ROW(Накл!$A$9)+1),ROW(E160)-ROW(B160)+1)),"")," ",IFERROR(INDEX(Накл!$C$9:$C$550,SMALL(IF(Накл!$A$9:$A$550=VALUE(LEFT(A160,8)),ROW(Накл!$A$9:$A$550)-ROW(Накл!$A$9)+1),ROW(E161)-ROW(B160)+1)),"")," ",IFERROR(INDEX(Накл!$C$9:$C$550,SMALL(IF(Накл!$A$9:$A$550=VALUE(LEFT(A160,8)),ROW(Накл!$A$9:$A$550)-ROW(Накл!$A$9)+1),ROW(E162)-ROW(B160)+1)),"")," ",IFERROR(INDEX(Накл!$C$9:$C$550,SMALL(IF(Накл!$A$9:$A$550=VALUE(LEFT(A160,8)),ROW(Накл!$A$9:$A$550)-ROW(Накл!$A$9)+1),ROW(E163)-ROW(B160)+1)),"")),"")</f>
        <v xml:space="preserve">   </v>
      </c>
    </row>
    <row r="161" spans="1:5">
      <c r="A161" s="26" t="str">
        <f>IFERROR(CONCATENATE(VALUE(SUBSTITUTE(SUBSTITUTE(LEFT(Накл!G168,11),".",""),"-",""))," ",Накл!J168),"-")</f>
        <v>-</v>
      </c>
      <c r="B161" s="26" t="str">
        <f>IFERROR(VLOOKUP(VALUE(LEFT(A161,8)),Накл!$A$9:$D$550,4,0),"-")</f>
        <v>-</v>
      </c>
      <c r="C161" s="26">
        <f>Накл!J168</f>
        <v>0</v>
      </c>
      <c r="D161" s="33" t="str">
        <f t="array" ref="D161">CONCATENATE(IFERROR(INDEX(Накл!$C$9:$C$550,SMALL(IF(Накл!$B$9:$B$550=A161,ROW(Накл!$B$9:$B$550)-ROW(Накл!$B$9)+1),ROW(D161)-ROW(A161)+1)),"")," ",IFERROR(INDEX(Накл!$C$9:$C$550,SMALL(IF(Накл!$B$9:$B$550=A161,ROW(Накл!$B$9:$B$550)-ROW(Накл!$B$9)+1),ROW(D162)-ROW(A161)+1)),"")," ",IFERROR(INDEX(Накл!$C$9:$C$550,SMALL(IF(Накл!$B$9:$B$550=A161,ROW(Накл!$B$9:$B$550)-ROW(Накл!$B$9)+1),ROW(D163)-ROW(A161)+1)),"")," ",IFERROR(INDEX(Накл!$C$9:$C$550,SMALL(IF(Накл!$B$9:$B$550=A161,ROW(Накл!$B$9:$B$550)-ROW(Накл!$B$9)+1),ROW(D164)-ROW(A161)+1)),"")," ",IFERROR(INDEX(Накл!$C$9:$C$550,SMALL(IF(Накл!$B$9:$B$550=A161,ROW(Накл!$B$9:$B$550)-ROW(Накл!$B$9)+1),ROW(D165)-ROW(A161)+1)),"")," ",IFERROR(INDEX(Накл!$C$9:$C$550,SMALL(IF(Накл!$B$9:$B$550=A161,ROW(Накл!$B$9:$B$550)-ROW(Накл!$B$9)+1),ROW(D166)-ROW(A161)+1)),"")," ",IFERROR(INDEX(Накл!$C$9:$C$550,SMALL(IF(Накл!$B$9:$B$550=A161,ROW(Накл!$B$9:$B$550)-ROW(Накл!$B$9)+1),ROW(D167)-ROW(A161)+1)),"")," ",IFERROR(INDEX(Накл!$C$9:$C$550,SMALL(IF(Накл!$B$9:$B$550=A161,ROW(Накл!$B$9:$B$550)-ROW(Накл!$B$9)+1),ROW(D168)-ROW(A161)+1)),"")," ",IFERROR(INDEX(Накл!$C$9:$C$550,SMALL(IF(Накл!$B$9:$B$550=A161,ROW(Накл!$B$9:$B$550)-ROW(Накл!$B$9)+1),ROW(D169)-ROW(A161)+1)),"")," ",IFERROR(INDEX(Накл!$C$9:$C$550,SMALL(IF(Накл!$B$9:$B$550=A161,ROW(Накл!$B$9:$B$550)-ROW(Накл!$B$9)+1),ROW(D170)-ROW(A161)+1)),""))</f>
        <v xml:space="preserve">         </v>
      </c>
      <c r="E161" s="26" t="str">
        <f t="array" ref="E161">IF(LEN(D161)&lt;10,CONCATENATE(IFERROR(INDEX(Накл!$C$9:$C$550,SMALL(IF(Накл!$A$9:$A$550=VALUE(LEFT(A161,8)),ROW(Накл!$A$9:$A$550)-ROW(Накл!$A$9)+1),ROW(E161)-ROW(B161)+1)),"")," ",IFERROR(INDEX(Накл!$C$9:$C$550,SMALL(IF(Накл!$A$9:$A$550=VALUE(LEFT(A161,8)),ROW(Накл!$A$9:$A$550)-ROW(Накл!$A$9)+1),ROW(E162)-ROW(B161)+1)),"")," ",IFERROR(INDEX(Накл!$C$9:$C$550,SMALL(IF(Накл!$A$9:$A$550=VALUE(LEFT(A161,8)),ROW(Накл!$A$9:$A$550)-ROW(Накл!$A$9)+1),ROW(E163)-ROW(B161)+1)),"")," ",IFERROR(INDEX(Накл!$C$9:$C$550,SMALL(IF(Накл!$A$9:$A$550=VALUE(LEFT(A161,8)),ROW(Накл!$A$9:$A$550)-ROW(Накл!$A$9)+1),ROW(E164)-ROW(B161)+1)),"")),"")</f>
        <v xml:space="preserve">   </v>
      </c>
    </row>
    <row r="162" spans="1:5">
      <c r="A162" s="26" t="str">
        <f>IFERROR(CONCATENATE(VALUE(SUBSTITUTE(SUBSTITUTE(LEFT(Накл!G169,11),".",""),"-",""))," ",Накл!J169),"-")</f>
        <v>-</v>
      </c>
      <c r="B162" s="26" t="str">
        <f>IFERROR(VLOOKUP(VALUE(LEFT(A162,8)),Накл!$A$9:$D$550,4,0),"-")</f>
        <v>-</v>
      </c>
      <c r="C162" s="26">
        <f>Накл!J169</f>
        <v>0</v>
      </c>
      <c r="D162" s="33" t="str">
        <f t="array" ref="D162">CONCATENATE(IFERROR(INDEX(Накл!$C$9:$C$550,SMALL(IF(Накл!$B$9:$B$550=A162,ROW(Накл!$B$9:$B$550)-ROW(Накл!$B$9)+1),ROW(D162)-ROW(A162)+1)),"")," ",IFERROR(INDEX(Накл!$C$9:$C$550,SMALL(IF(Накл!$B$9:$B$550=A162,ROW(Накл!$B$9:$B$550)-ROW(Накл!$B$9)+1),ROW(D163)-ROW(A162)+1)),"")," ",IFERROR(INDEX(Накл!$C$9:$C$550,SMALL(IF(Накл!$B$9:$B$550=A162,ROW(Накл!$B$9:$B$550)-ROW(Накл!$B$9)+1),ROW(D164)-ROW(A162)+1)),"")," ",IFERROR(INDEX(Накл!$C$9:$C$550,SMALL(IF(Накл!$B$9:$B$550=A162,ROW(Накл!$B$9:$B$550)-ROW(Накл!$B$9)+1),ROW(D165)-ROW(A162)+1)),"")," ",IFERROR(INDEX(Накл!$C$9:$C$550,SMALL(IF(Накл!$B$9:$B$550=A162,ROW(Накл!$B$9:$B$550)-ROW(Накл!$B$9)+1),ROW(D166)-ROW(A162)+1)),"")," ",IFERROR(INDEX(Накл!$C$9:$C$550,SMALL(IF(Накл!$B$9:$B$550=A162,ROW(Накл!$B$9:$B$550)-ROW(Накл!$B$9)+1),ROW(D167)-ROW(A162)+1)),"")," ",IFERROR(INDEX(Накл!$C$9:$C$550,SMALL(IF(Накл!$B$9:$B$550=A162,ROW(Накл!$B$9:$B$550)-ROW(Накл!$B$9)+1),ROW(D168)-ROW(A162)+1)),"")," ",IFERROR(INDEX(Накл!$C$9:$C$550,SMALL(IF(Накл!$B$9:$B$550=A162,ROW(Накл!$B$9:$B$550)-ROW(Накл!$B$9)+1),ROW(D169)-ROW(A162)+1)),"")," ",IFERROR(INDEX(Накл!$C$9:$C$550,SMALL(IF(Накл!$B$9:$B$550=A162,ROW(Накл!$B$9:$B$550)-ROW(Накл!$B$9)+1),ROW(D170)-ROW(A162)+1)),"")," ",IFERROR(INDEX(Накл!$C$9:$C$550,SMALL(IF(Накл!$B$9:$B$550=A162,ROW(Накл!$B$9:$B$550)-ROW(Накл!$B$9)+1),ROW(D171)-ROW(A162)+1)),""))</f>
        <v xml:space="preserve">         </v>
      </c>
      <c r="E162" s="26" t="str">
        <f t="array" ref="E162">IF(LEN(D162)&lt;10,CONCATENATE(IFERROR(INDEX(Накл!$C$9:$C$550,SMALL(IF(Накл!$A$9:$A$550=VALUE(LEFT(A162,8)),ROW(Накл!$A$9:$A$550)-ROW(Накл!$A$9)+1),ROW(E162)-ROW(B162)+1)),"")," ",IFERROR(INDEX(Накл!$C$9:$C$550,SMALL(IF(Накл!$A$9:$A$550=VALUE(LEFT(A162,8)),ROW(Накл!$A$9:$A$550)-ROW(Накл!$A$9)+1),ROW(E163)-ROW(B162)+1)),"")," ",IFERROR(INDEX(Накл!$C$9:$C$550,SMALL(IF(Накл!$A$9:$A$550=VALUE(LEFT(A162,8)),ROW(Накл!$A$9:$A$550)-ROW(Накл!$A$9)+1),ROW(E164)-ROW(B162)+1)),"")," ",IFERROR(INDEX(Накл!$C$9:$C$550,SMALL(IF(Накл!$A$9:$A$550=VALUE(LEFT(A162,8)),ROW(Накл!$A$9:$A$550)-ROW(Накл!$A$9)+1),ROW(E165)-ROW(B162)+1)),"")),"")</f>
        <v xml:space="preserve">   </v>
      </c>
    </row>
    <row r="163" spans="1:5">
      <c r="A163" s="26" t="str">
        <f>IFERROR(CONCATENATE(VALUE(SUBSTITUTE(SUBSTITUTE(LEFT(Накл!G170,11),".",""),"-",""))," ",Накл!J170),"-")</f>
        <v>-</v>
      </c>
      <c r="B163" s="26" t="str">
        <f>IFERROR(VLOOKUP(VALUE(LEFT(A163,8)),Накл!$A$9:$D$550,4,0),"-")</f>
        <v>-</v>
      </c>
      <c r="C163" s="26">
        <f>Накл!J170</f>
        <v>0</v>
      </c>
      <c r="D163" s="33" t="str">
        <f t="array" ref="D163">CONCATENATE(IFERROR(INDEX(Накл!$C$9:$C$550,SMALL(IF(Накл!$B$9:$B$550=A163,ROW(Накл!$B$9:$B$550)-ROW(Накл!$B$9)+1),ROW(D163)-ROW(A163)+1)),"")," ",IFERROR(INDEX(Накл!$C$9:$C$550,SMALL(IF(Накл!$B$9:$B$550=A163,ROW(Накл!$B$9:$B$550)-ROW(Накл!$B$9)+1),ROW(D164)-ROW(A163)+1)),"")," ",IFERROR(INDEX(Накл!$C$9:$C$550,SMALL(IF(Накл!$B$9:$B$550=A163,ROW(Накл!$B$9:$B$550)-ROW(Накл!$B$9)+1),ROW(D165)-ROW(A163)+1)),"")," ",IFERROR(INDEX(Накл!$C$9:$C$550,SMALL(IF(Накл!$B$9:$B$550=A163,ROW(Накл!$B$9:$B$550)-ROW(Накл!$B$9)+1),ROW(D166)-ROW(A163)+1)),"")," ",IFERROR(INDEX(Накл!$C$9:$C$550,SMALL(IF(Накл!$B$9:$B$550=A163,ROW(Накл!$B$9:$B$550)-ROW(Накл!$B$9)+1),ROW(D167)-ROW(A163)+1)),"")," ",IFERROR(INDEX(Накл!$C$9:$C$550,SMALL(IF(Накл!$B$9:$B$550=A163,ROW(Накл!$B$9:$B$550)-ROW(Накл!$B$9)+1),ROW(D168)-ROW(A163)+1)),"")," ",IFERROR(INDEX(Накл!$C$9:$C$550,SMALL(IF(Накл!$B$9:$B$550=A163,ROW(Накл!$B$9:$B$550)-ROW(Накл!$B$9)+1),ROW(D169)-ROW(A163)+1)),"")," ",IFERROR(INDEX(Накл!$C$9:$C$550,SMALL(IF(Накл!$B$9:$B$550=A163,ROW(Накл!$B$9:$B$550)-ROW(Накл!$B$9)+1),ROW(D170)-ROW(A163)+1)),"")," ",IFERROR(INDEX(Накл!$C$9:$C$550,SMALL(IF(Накл!$B$9:$B$550=A163,ROW(Накл!$B$9:$B$550)-ROW(Накл!$B$9)+1),ROW(D171)-ROW(A163)+1)),"")," ",IFERROR(INDEX(Накл!$C$9:$C$550,SMALL(IF(Накл!$B$9:$B$550=A163,ROW(Накл!$B$9:$B$550)-ROW(Накл!$B$9)+1),ROW(D172)-ROW(A163)+1)),""))</f>
        <v xml:space="preserve">         </v>
      </c>
      <c r="E163" s="26" t="str">
        <f t="array" ref="E163">IF(LEN(D163)&lt;10,CONCATENATE(IFERROR(INDEX(Накл!$C$9:$C$550,SMALL(IF(Накл!$A$9:$A$550=VALUE(LEFT(A163,8)),ROW(Накл!$A$9:$A$550)-ROW(Накл!$A$9)+1),ROW(E163)-ROW(B163)+1)),"")," ",IFERROR(INDEX(Накл!$C$9:$C$550,SMALL(IF(Накл!$A$9:$A$550=VALUE(LEFT(A163,8)),ROW(Накл!$A$9:$A$550)-ROW(Накл!$A$9)+1),ROW(E164)-ROW(B163)+1)),"")," ",IFERROR(INDEX(Накл!$C$9:$C$550,SMALL(IF(Накл!$A$9:$A$550=VALUE(LEFT(A163,8)),ROW(Накл!$A$9:$A$550)-ROW(Накл!$A$9)+1),ROW(E165)-ROW(B163)+1)),"")," ",IFERROR(INDEX(Накл!$C$9:$C$550,SMALL(IF(Накл!$A$9:$A$550=VALUE(LEFT(A163,8)),ROW(Накл!$A$9:$A$550)-ROW(Накл!$A$9)+1),ROW(E166)-ROW(B163)+1)),"")),"")</f>
        <v xml:space="preserve">   </v>
      </c>
    </row>
    <row r="164" spans="1:5">
      <c r="A164" s="26" t="str">
        <f>IFERROR(CONCATENATE(VALUE(SUBSTITUTE(SUBSTITUTE(LEFT(Накл!G171,11),".",""),"-",""))," ",Накл!J171),"-")</f>
        <v>-</v>
      </c>
      <c r="B164" s="26" t="str">
        <f>IFERROR(VLOOKUP(VALUE(LEFT(A164,8)),Накл!$A$9:$D$550,4,0),"-")</f>
        <v>-</v>
      </c>
      <c r="C164" s="26">
        <f>Накл!J171</f>
        <v>0</v>
      </c>
      <c r="D164" s="33" t="str">
        <f t="array" ref="D164">CONCATENATE(IFERROR(INDEX(Накл!$C$9:$C$550,SMALL(IF(Накл!$B$9:$B$550=A164,ROW(Накл!$B$9:$B$550)-ROW(Накл!$B$9)+1),ROW(D164)-ROW(A164)+1)),"")," ",IFERROR(INDEX(Накл!$C$9:$C$550,SMALL(IF(Накл!$B$9:$B$550=A164,ROW(Накл!$B$9:$B$550)-ROW(Накл!$B$9)+1),ROW(D165)-ROW(A164)+1)),"")," ",IFERROR(INDEX(Накл!$C$9:$C$550,SMALL(IF(Накл!$B$9:$B$550=A164,ROW(Накл!$B$9:$B$550)-ROW(Накл!$B$9)+1),ROW(D166)-ROW(A164)+1)),"")," ",IFERROR(INDEX(Накл!$C$9:$C$550,SMALL(IF(Накл!$B$9:$B$550=A164,ROW(Накл!$B$9:$B$550)-ROW(Накл!$B$9)+1),ROW(D167)-ROW(A164)+1)),"")," ",IFERROR(INDEX(Накл!$C$9:$C$550,SMALL(IF(Накл!$B$9:$B$550=A164,ROW(Накл!$B$9:$B$550)-ROW(Накл!$B$9)+1),ROW(D168)-ROW(A164)+1)),"")," ",IFERROR(INDEX(Накл!$C$9:$C$550,SMALL(IF(Накл!$B$9:$B$550=A164,ROW(Накл!$B$9:$B$550)-ROW(Накл!$B$9)+1),ROW(D169)-ROW(A164)+1)),"")," ",IFERROR(INDEX(Накл!$C$9:$C$550,SMALL(IF(Накл!$B$9:$B$550=A164,ROW(Накл!$B$9:$B$550)-ROW(Накл!$B$9)+1),ROW(D170)-ROW(A164)+1)),"")," ",IFERROR(INDEX(Накл!$C$9:$C$550,SMALL(IF(Накл!$B$9:$B$550=A164,ROW(Накл!$B$9:$B$550)-ROW(Накл!$B$9)+1),ROW(D171)-ROW(A164)+1)),"")," ",IFERROR(INDEX(Накл!$C$9:$C$550,SMALL(IF(Накл!$B$9:$B$550=A164,ROW(Накл!$B$9:$B$550)-ROW(Накл!$B$9)+1),ROW(D172)-ROW(A164)+1)),"")," ",IFERROR(INDEX(Накл!$C$9:$C$550,SMALL(IF(Накл!$B$9:$B$550=A164,ROW(Накл!$B$9:$B$550)-ROW(Накл!$B$9)+1),ROW(D173)-ROW(A164)+1)),""))</f>
        <v xml:space="preserve">         </v>
      </c>
      <c r="E164" s="26" t="str">
        <f t="array" ref="E164">IF(LEN(D164)&lt;10,CONCATENATE(IFERROR(INDEX(Накл!$C$9:$C$550,SMALL(IF(Накл!$A$9:$A$550=VALUE(LEFT(A164,8)),ROW(Накл!$A$9:$A$550)-ROW(Накл!$A$9)+1),ROW(E164)-ROW(B164)+1)),"")," ",IFERROR(INDEX(Накл!$C$9:$C$550,SMALL(IF(Накл!$A$9:$A$550=VALUE(LEFT(A164,8)),ROW(Накл!$A$9:$A$550)-ROW(Накл!$A$9)+1),ROW(E165)-ROW(B164)+1)),"")," ",IFERROR(INDEX(Накл!$C$9:$C$550,SMALL(IF(Накл!$A$9:$A$550=VALUE(LEFT(A164,8)),ROW(Накл!$A$9:$A$550)-ROW(Накл!$A$9)+1),ROW(E166)-ROW(B164)+1)),"")," ",IFERROR(INDEX(Накл!$C$9:$C$550,SMALL(IF(Накл!$A$9:$A$550=VALUE(LEFT(A164,8)),ROW(Накл!$A$9:$A$550)-ROW(Накл!$A$9)+1),ROW(E167)-ROW(B164)+1)),"")),"")</f>
        <v xml:space="preserve">   </v>
      </c>
    </row>
    <row r="165" spans="1:5">
      <c r="A165" s="26" t="str">
        <f>IFERROR(CONCATENATE(VALUE(SUBSTITUTE(SUBSTITUTE(LEFT(Накл!G172,11),".",""),"-",""))," ",Накл!J172),"-")</f>
        <v>-</v>
      </c>
      <c r="B165" s="26" t="str">
        <f>IFERROR(VLOOKUP(VALUE(LEFT(A165,8)),Накл!$A$9:$D$550,4,0),"-")</f>
        <v>-</v>
      </c>
      <c r="C165" s="26">
        <f>Накл!J172</f>
        <v>0</v>
      </c>
      <c r="D165" s="33" t="str">
        <f t="array" ref="D165">CONCATENATE(IFERROR(INDEX(Накл!$C$9:$C$550,SMALL(IF(Накл!$B$9:$B$550=A165,ROW(Накл!$B$9:$B$550)-ROW(Накл!$B$9)+1),ROW(D165)-ROW(A165)+1)),"")," ",IFERROR(INDEX(Накл!$C$9:$C$550,SMALL(IF(Накл!$B$9:$B$550=A165,ROW(Накл!$B$9:$B$550)-ROW(Накл!$B$9)+1),ROW(D166)-ROW(A165)+1)),"")," ",IFERROR(INDEX(Накл!$C$9:$C$550,SMALL(IF(Накл!$B$9:$B$550=A165,ROW(Накл!$B$9:$B$550)-ROW(Накл!$B$9)+1),ROW(D167)-ROW(A165)+1)),"")," ",IFERROR(INDEX(Накл!$C$9:$C$550,SMALL(IF(Накл!$B$9:$B$550=A165,ROW(Накл!$B$9:$B$550)-ROW(Накл!$B$9)+1),ROW(D168)-ROW(A165)+1)),"")," ",IFERROR(INDEX(Накл!$C$9:$C$550,SMALL(IF(Накл!$B$9:$B$550=A165,ROW(Накл!$B$9:$B$550)-ROW(Накл!$B$9)+1),ROW(D169)-ROW(A165)+1)),"")," ",IFERROR(INDEX(Накл!$C$9:$C$550,SMALL(IF(Накл!$B$9:$B$550=A165,ROW(Накл!$B$9:$B$550)-ROW(Накл!$B$9)+1),ROW(D170)-ROW(A165)+1)),"")," ",IFERROR(INDEX(Накл!$C$9:$C$550,SMALL(IF(Накл!$B$9:$B$550=A165,ROW(Накл!$B$9:$B$550)-ROW(Накл!$B$9)+1),ROW(D171)-ROW(A165)+1)),"")," ",IFERROR(INDEX(Накл!$C$9:$C$550,SMALL(IF(Накл!$B$9:$B$550=A165,ROW(Накл!$B$9:$B$550)-ROW(Накл!$B$9)+1),ROW(D172)-ROW(A165)+1)),"")," ",IFERROR(INDEX(Накл!$C$9:$C$550,SMALL(IF(Накл!$B$9:$B$550=A165,ROW(Накл!$B$9:$B$550)-ROW(Накл!$B$9)+1),ROW(D173)-ROW(A165)+1)),"")," ",IFERROR(INDEX(Накл!$C$9:$C$550,SMALL(IF(Накл!$B$9:$B$550=A165,ROW(Накл!$B$9:$B$550)-ROW(Накл!$B$9)+1),ROW(D174)-ROW(A165)+1)),""))</f>
        <v xml:space="preserve">         </v>
      </c>
      <c r="E165" s="26" t="str">
        <f t="array" ref="E165">IF(LEN(D165)&lt;10,CONCATENATE(IFERROR(INDEX(Накл!$C$9:$C$550,SMALL(IF(Накл!$A$9:$A$550=VALUE(LEFT(A165,8)),ROW(Накл!$A$9:$A$550)-ROW(Накл!$A$9)+1),ROW(E165)-ROW(B165)+1)),"")," ",IFERROR(INDEX(Накл!$C$9:$C$550,SMALL(IF(Накл!$A$9:$A$550=VALUE(LEFT(A165,8)),ROW(Накл!$A$9:$A$550)-ROW(Накл!$A$9)+1),ROW(E166)-ROW(B165)+1)),"")," ",IFERROR(INDEX(Накл!$C$9:$C$550,SMALL(IF(Накл!$A$9:$A$550=VALUE(LEFT(A165,8)),ROW(Накл!$A$9:$A$550)-ROW(Накл!$A$9)+1),ROW(E167)-ROW(B165)+1)),"")," ",IFERROR(INDEX(Накл!$C$9:$C$550,SMALL(IF(Накл!$A$9:$A$550=VALUE(LEFT(A165,8)),ROW(Накл!$A$9:$A$550)-ROW(Накл!$A$9)+1),ROW(E168)-ROW(B165)+1)),"")),"")</f>
        <v xml:space="preserve">   </v>
      </c>
    </row>
    <row r="166" spans="1:5">
      <c r="A166" s="26" t="str">
        <f>IFERROR(CONCATENATE(VALUE(SUBSTITUTE(SUBSTITUTE(LEFT(Накл!G173,11),".",""),"-",""))," ",Накл!J173),"-")</f>
        <v>-</v>
      </c>
      <c r="B166" s="26" t="str">
        <f>IFERROR(VLOOKUP(VALUE(LEFT(A166,8)),Накл!$A$9:$D$550,4,0),"-")</f>
        <v>-</v>
      </c>
      <c r="C166" s="26">
        <f>Накл!J173</f>
        <v>0</v>
      </c>
      <c r="D166" s="33" t="str">
        <f t="array" ref="D166">CONCATENATE(IFERROR(INDEX(Накл!$C$9:$C$550,SMALL(IF(Накл!$B$9:$B$550=A166,ROW(Накл!$B$9:$B$550)-ROW(Накл!$B$9)+1),ROW(D166)-ROW(A166)+1)),"")," ",IFERROR(INDEX(Накл!$C$9:$C$550,SMALL(IF(Накл!$B$9:$B$550=A166,ROW(Накл!$B$9:$B$550)-ROW(Накл!$B$9)+1),ROW(D167)-ROW(A166)+1)),"")," ",IFERROR(INDEX(Накл!$C$9:$C$550,SMALL(IF(Накл!$B$9:$B$550=A166,ROW(Накл!$B$9:$B$550)-ROW(Накл!$B$9)+1),ROW(D168)-ROW(A166)+1)),"")," ",IFERROR(INDEX(Накл!$C$9:$C$550,SMALL(IF(Накл!$B$9:$B$550=A166,ROW(Накл!$B$9:$B$550)-ROW(Накл!$B$9)+1),ROW(D169)-ROW(A166)+1)),"")," ",IFERROR(INDEX(Накл!$C$9:$C$550,SMALL(IF(Накл!$B$9:$B$550=A166,ROW(Накл!$B$9:$B$550)-ROW(Накл!$B$9)+1),ROW(D170)-ROW(A166)+1)),"")," ",IFERROR(INDEX(Накл!$C$9:$C$550,SMALL(IF(Накл!$B$9:$B$550=A166,ROW(Накл!$B$9:$B$550)-ROW(Накл!$B$9)+1),ROW(D171)-ROW(A166)+1)),"")," ",IFERROR(INDEX(Накл!$C$9:$C$550,SMALL(IF(Накл!$B$9:$B$550=A166,ROW(Накл!$B$9:$B$550)-ROW(Накл!$B$9)+1),ROW(D172)-ROW(A166)+1)),"")," ",IFERROR(INDEX(Накл!$C$9:$C$550,SMALL(IF(Накл!$B$9:$B$550=A166,ROW(Накл!$B$9:$B$550)-ROW(Накл!$B$9)+1),ROW(D173)-ROW(A166)+1)),"")," ",IFERROR(INDEX(Накл!$C$9:$C$550,SMALL(IF(Накл!$B$9:$B$550=A166,ROW(Накл!$B$9:$B$550)-ROW(Накл!$B$9)+1),ROW(D174)-ROW(A166)+1)),"")," ",IFERROR(INDEX(Накл!$C$9:$C$550,SMALL(IF(Накл!$B$9:$B$550=A166,ROW(Накл!$B$9:$B$550)-ROW(Накл!$B$9)+1),ROW(D175)-ROW(A166)+1)),""))</f>
        <v xml:space="preserve">         </v>
      </c>
      <c r="E166" s="26" t="str">
        <f t="array" ref="E166">IF(LEN(D166)&lt;10,CONCATENATE(IFERROR(INDEX(Накл!$C$9:$C$550,SMALL(IF(Накл!$A$9:$A$550=VALUE(LEFT(A166,8)),ROW(Накл!$A$9:$A$550)-ROW(Накл!$A$9)+1),ROW(E166)-ROW(B166)+1)),"")," ",IFERROR(INDEX(Накл!$C$9:$C$550,SMALL(IF(Накл!$A$9:$A$550=VALUE(LEFT(A166,8)),ROW(Накл!$A$9:$A$550)-ROW(Накл!$A$9)+1),ROW(E167)-ROW(B166)+1)),"")," ",IFERROR(INDEX(Накл!$C$9:$C$550,SMALL(IF(Накл!$A$9:$A$550=VALUE(LEFT(A166,8)),ROW(Накл!$A$9:$A$550)-ROW(Накл!$A$9)+1),ROW(E168)-ROW(B166)+1)),"")," ",IFERROR(INDEX(Накл!$C$9:$C$550,SMALL(IF(Накл!$A$9:$A$550=VALUE(LEFT(A166,8)),ROW(Накл!$A$9:$A$550)-ROW(Накл!$A$9)+1),ROW(E169)-ROW(B166)+1)),"")),"")</f>
        <v xml:space="preserve">   </v>
      </c>
    </row>
    <row r="167" spans="1:5">
      <c r="A167" s="26" t="str">
        <f>IFERROR(CONCATENATE(VALUE(SUBSTITUTE(SUBSTITUTE(LEFT(Накл!G174,11),".",""),"-",""))," ",Накл!J174),"-")</f>
        <v>-</v>
      </c>
      <c r="B167" s="26" t="str">
        <f>IFERROR(VLOOKUP(VALUE(LEFT(A167,8)),Накл!$A$9:$D$550,4,0),"-")</f>
        <v>-</v>
      </c>
      <c r="C167" s="26">
        <f>Накл!J174</f>
        <v>0</v>
      </c>
      <c r="D167" s="33" t="str">
        <f t="array" ref="D167">CONCATENATE(IFERROR(INDEX(Накл!$C$9:$C$550,SMALL(IF(Накл!$B$9:$B$550=A167,ROW(Накл!$B$9:$B$550)-ROW(Накл!$B$9)+1),ROW(D167)-ROW(A167)+1)),"")," ",IFERROR(INDEX(Накл!$C$9:$C$550,SMALL(IF(Накл!$B$9:$B$550=A167,ROW(Накл!$B$9:$B$550)-ROW(Накл!$B$9)+1),ROW(D168)-ROW(A167)+1)),"")," ",IFERROR(INDEX(Накл!$C$9:$C$550,SMALL(IF(Накл!$B$9:$B$550=A167,ROW(Накл!$B$9:$B$550)-ROW(Накл!$B$9)+1),ROW(D169)-ROW(A167)+1)),"")," ",IFERROR(INDEX(Накл!$C$9:$C$550,SMALL(IF(Накл!$B$9:$B$550=A167,ROW(Накл!$B$9:$B$550)-ROW(Накл!$B$9)+1),ROW(D170)-ROW(A167)+1)),"")," ",IFERROR(INDEX(Накл!$C$9:$C$550,SMALL(IF(Накл!$B$9:$B$550=A167,ROW(Накл!$B$9:$B$550)-ROW(Накл!$B$9)+1),ROW(D171)-ROW(A167)+1)),"")," ",IFERROR(INDEX(Накл!$C$9:$C$550,SMALL(IF(Накл!$B$9:$B$550=A167,ROW(Накл!$B$9:$B$550)-ROW(Накл!$B$9)+1),ROW(D172)-ROW(A167)+1)),"")," ",IFERROR(INDEX(Накл!$C$9:$C$550,SMALL(IF(Накл!$B$9:$B$550=A167,ROW(Накл!$B$9:$B$550)-ROW(Накл!$B$9)+1),ROW(D173)-ROW(A167)+1)),"")," ",IFERROR(INDEX(Накл!$C$9:$C$550,SMALL(IF(Накл!$B$9:$B$550=A167,ROW(Накл!$B$9:$B$550)-ROW(Накл!$B$9)+1),ROW(D174)-ROW(A167)+1)),"")," ",IFERROR(INDEX(Накл!$C$9:$C$550,SMALL(IF(Накл!$B$9:$B$550=A167,ROW(Накл!$B$9:$B$550)-ROW(Накл!$B$9)+1),ROW(D175)-ROW(A167)+1)),"")," ",IFERROR(INDEX(Накл!$C$9:$C$550,SMALL(IF(Накл!$B$9:$B$550=A167,ROW(Накл!$B$9:$B$550)-ROW(Накл!$B$9)+1),ROW(D176)-ROW(A167)+1)),""))</f>
        <v xml:space="preserve">         </v>
      </c>
      <c r="E167" s="26" t="str">
        <f t="array" ref="E167">IF(LEN(D167)&lt;10,CONCATENATE(IFERROR(INDEX(Накл!$C$9:$C$550,SMALL(IF(Накл!$A$9:$A$550=VALUE(LEFT(A167,8)),ROW(Накл!$A$9:$A$550)-ROW(Накл!$A$9)+1),ROW(E167)-ROW(B167)+1)),"")," ",IFERROR(INDEX(Накл!$C$9:$C$550,SMALL(IF(Накл!$A$9:$A$550=VALUE(LEFT(A167,8)),ROW(Накл!$A$9:$A$550)-ROW(Накл!$A$9)+1),ROW(E168)-ROW(B167)+1)),"")," ",IFERROR(INDEX(Накл!$C$9:$C$550,SMALL(IF(Накл!$A$9:$A$550=VALUE(LEFT(A167,8)),ROW(Накл!$A$9:$A$550)-ROW(Накл!$A$9)+1),ROW(E169)-ROW(B167)+1)),"")," ",IFERROR(INDEX(Накл!$C$9:$C$550,SMALL(IF(Накл!$A$9:$A$550=VALUE(LEFT(A167,8)),ROW(Накл!$A$9:$A$550)-ROW(Накл!$A$9)+1),ROW(E170)-ROW(B167)+1)),"")),"")</f>
        <v xml:space="preserve">   </v>
      </c>
    </row>
    <row r="168" spans="1:5">
      <c r="A168" s="26" t="str">
        <f>IFERROR(CONCATENATE(VALUE(SUBSTITUTE(SUBSTITUTE(LEFT(Накл!G175,11),".",""),"-",""))," ",Накл!J175),"-")</f>
        <v>-</v>
      </c>
      <c r="B168" s="26" t="str">
        <f>IFERROR(VLOOKUP(VALUE(LEFT(A168,8)),Накл!$A$9:$D$550,4,0),"-")</f>
        <v>-</v>
      </c>
      <c r="C168" s="26">
        <f>Накл!J175</f>
        <v>0</v>
      </c>
      <c r="D168" s="33" t="str">
        <f t="array" ref="D168">CONCATENATE(IFERROR(INDEX(Накл!$C$9:$C$550,SMALL(IF(Накл!$B$9:$B$550=A168,ROW(Накл!$B$9:$B$550)-ROW(Накл!$B$9)+1),ROW(D168)-ROW(A168)+1)),"")," ",IFERROR(INDEX(Накл!$C$9:$C$550,SMALL(IF(Накл!$B$9:$B$550=A168,ROW(Накл!$B$9:$B$550)-ROW(Накл!$B$9)+1),ROW(D169)-ROW(A168)+1)),"")," ",IFERROR(INDEX(Накл!$C$9:$C$550,SMALL(IF(Накл!$B$9:$B$550=A168,ROW(Накл!$B$9:$B$550)-ROW(Накл!$B$9)+1),ROW(D170)-ROW(A168)+1)),"")," ",IFERROR(INDEX(Накл!$C$9:$C$550,SMALL(IF(Накл!$B$9:$B$550=A168,ROW(Накл!$B$9:$B$550)-ROW(Накл!$B$9)+1),ROW(D171)-ROW(A168)+1)),"")," ",IFERROR(INDEX(Накл!$C$9:$C$550,SMALL(IF(Накл!$B$9:$B$550=A168,ROW(Накл!$B$9:$B$550)-ROW(Накл!$B$9)+1),ROW(D172)-ROW(A168)+1)),"")," ",IFERROR(INDEX(Накл!$C$9:$C$550,SMALL(IF(Накл!$B$9:$B$550=A168,ROW(Накл!$B$9:$B$550)-ROW(Накл!$B$9)+1),ROW(D173)-ROW(A168)+1)),"")," ",IFERROR(INDEX(Накл!$C$9:$C$550,SMALL(IF(Накл!$B$9:$B$550=A168,ROW(Накл!$B$9:$B$550)-ROW(Накл!$B$9)+1),ROW(D174)-ROW(A168)+1)),"")," ",IFERROR(INDEX(Накл!$C$9:$C$550,SMALL(IF(Накл!$B$9:$B$550=A168,ROW(Накл!$B$9:$B$550)-ROW(Накл!$B$9)+1),ROW(D175)-ROW(A168)+1)),"")," ",IFERROR(INDEX(Накл!$C$9:$C$550,SMALL(IF(Накл!$B$9:$B$550=A168,ROW(Накл!$B$9:$B$550)-ROW(Накл!$B$9)+1),ROW(D176)-ROW(A168)+1)),"")," ",IFERROR(INDEX(Накл!$C$9:$C$550,SMALL(IF(Накл!$B$9:$B$550=A168,ROW(Накл!$B$9:$B$550)-ROW(Накл!$B$9)+1),ROW(D177)-ROW(A168)+1)),""))</f>
        <v xml:space="preserve">         </v>
      </c>
      <c r="E168" s="26" t="str">
        <f t="array" ref="E168">IF(LEN(D168)&lt;10,CONCATENATE(IFERROR(INDEX(Накл!$C$9:$C$550,SMALL(IF(Накл!$A$9:$A$550=VALUE(LEFT(A168,8)),ROW(Накл!$A$9:$A$550)-ROW(Накл!$A$9)+1),ROW(E168)-ROW(B168)+1)),"")," ",IFERROR(INDEX(Накл!$C$9:$C$550,SMALL(IF(Накл!$A$9:$A$550=VALUE(LEFT(A168,8)),ROW(Накл!$A$9:$A$550)-ROW(Накл!$A$9)+1),ROW(E169)-ROW(B168)+1)),"")," ",IFERROR(INDEX(Накл!$C$9:$C$550,SMALL(IF(Накл!$A$9:$A$550=VALUE(LEFT(A168,8)),ROW(Накл!$A$9:$A$550)-ROW(Накл!$A$9)+1),ROW(E170)-ROW(B168)+1)),"")," ",IFERROR(INDEX(Накл!$C$9:$C$550,SMALL(IF(Накл!$A$9:$A$550=VALUE(LEFT(A168,8)),ROW(Накл!$A$9:$A$550)-ROW(Накл!$A$9)+1),ROW(E171)-ROW(B168)+1)),"")),"")</f>
        <v xml:space="preserve">   </v>
      </c>
    </row>
    <row r="169" spans="1:5">
      <c r="A169" s="26" t="str">
        <f>IFERROR(CONCATENATE(VALUE(SUBSTITUTE(SUBSTITUTE(LEFT(Накл!G176,11),".",""),"-",""))," ",Накл!J176),"-")</f>
        <v>-</v>
      </c>
      <c r="B169" s="26" t="str">
        <f>IFERROR(VLOOKUP(VALUE(LEFT(A169,8)),Накл!$A$9:$D$550,4,0),"-")</f>
        <v>-</v>
      </c>
      <c r="C169" s="26">
        <f>Накл!J176</f>
        <v>0</v>
      </c>
      <c r="D169" s="33" t="str">
        <f t="array" ref="D169">CONCATENATE(IFERROR(INDEX(Накл!$C$9:$C$550,SMALL(IF(Накл!$B$9:$B$550=A169,ROW(Накл!$B$9:$B$550)-ROW(Накл!$B$9)+1),ROW(D169)-ROW(A169)+1)),"")," ",IFERROR(INDEX(Накл!$C$9:$C$550,SMALL(IF(Накл!$B$9:$B$550=A169,ROW(Накл!$B$9:$B$550)-ROW(Накл!$B$9)+1),ROW(D170)-ROW(A169)+1)),"")," ",IFERROR(INDEX(Накл!$C$9:$C$550,SMALL(IF(Накл!$B$9:$B$550=A169,ROW(Накл!$B$9:$B$550)-ROW(Накл!$B$9)+1),ROW(D171)-ROW(A169)+1)),"")," ",IFERROR(INDEX(Накл!$C$9:$C$550,SMALL(IF(Накл!$B$9:$B$550=A169,ROW(Накл!$B$9:$B$550)-ROW(Накл!$B$9)+1),ROW(D172)-ROW(A169)+1)),"")," ",IFERROR(INDEX(Накл!$C$9:$C$550,SMALL(IF(Накл!$B$9:$B$550=A169,ROW(Накл!$B$9:$B$550)-ROW(Накл!$B$9)+1),ROW(D173)-ROW(A169)+1)),"")," ",IFERROR(INDEX(Накл!$C$9:$C$550,SMALL(IF(Накл!$B$9:$B$550=A169,ROW(Накл!$B$9:$B$550)-ROW(Накл!$B$9)+1),ROW(D174)-ROW(A169)+1)),"")," ",IFERROR(INDEX(Накл!$C$9:$C$550,SMALL(IF(Накл!$B$9:$B$550=A169,ROW(Накл!$B$9:$B$550)-ROW(Накл!$B$9)+1),ROW(D175)-ROW(A169)+1)),"")," ",IFERROR(INDEX(Накл!$C$9:$C$550,SMALL(IF(Накл!$B$9:$B$550=A169,ROW(Накл!$B$9:$B$550)-ROW(Накл!$B$9)+1),ROW(D176)-ROW(A169)+1)),"")," ",IFERROR(INDEX(Накл!$C$9:$C$550,SMALL(IF(Накл!$B$9:$B$550=A169,ROW(Накл!$B$9:$B$550)-ROW(Накл!$B$9)+1),ROW(D177)-ROW(A169)+1)),"")," ",IFERROR(INDEX(Накл!$C$9:$C$550,SMALL(IF(Накл!$B$9:$B$550=A169,ROW(Накл!$B$9:$B$550)-ROW(Накл!$B$9)+1),ROW(D178)-ROW(A169)+1)),""))</f>
        <v xml:space="preserve">         </v>
      </c>
      <c r="E169" s="26" t="str">
        <f t="array" ref="E169">IF(LEN(D169)&lt;10,CONCATENATE(IFERROR(INDEX(Накл!$C$9:$C$550,SMALL(IF(Накл!$A$9:$A$550=VALUE(LEFT(A169,8)),ROW(Накл!$A$9:$A$550)-ROW(Накл!$A$9)+1),ROW(E169)-ROW(B169)+1)),"")," ",IFERROR(INDEX(Накл!$C$9:$C$550,SMALL(IF(Накл!$A$9:$A$550=VALUE(LEFT(A169,8)),ROW(Накл!$A$9:$A$550)-ROW(Накл!$A$9)+1),ROW(E170)-ROW(B169)+1)),"")," ",IFERROR(INDEX(Накл!$C$9:$C$550,SMALL(IF(Накл!$A$9:$A$550=VALUE(LEFT(A169,8)),ROW(Накл!$A$9:$A$550)-ROW(Накл!$A$9)+1),ROW(E171)-ROW(B169)+1)),"")," ",IFERROR(INDEX(Накл!$C$9:$C$550,SMALL(IF(Накл!$A$9:$A$550=VALUE(LEFT(A169,8)),ROW(Накл!$A$9:$A$550)-ROW(Накл!$A$9)+1),ROW(E172)-ROW(B169)+1)),"")),"")</f>
        <v xml:space="preserve">   </v>
      </c>
    </row>
    <row r="170" spans="1:5">
      <c r="A170" s="26" t="str">
        <f>IFERROR(CONCATENATE(VALUE(SUBSTITUTE(SUBSTITUTE(LEFT(Накл!G177,11),".",""),"-",""))," ",Накл!J177),"-")</f>
        <v>-</v>
      </c>
      <c r="B170" s="26" t="str">
        <f>IFERROR(VLOOKUP(VALUE(LEFT(A170,8)),Накл!$A$9:$D$550,4,0),"-")</f>
        <v>-</v>
      </c>
      <c r="C170" s="26">
        <f>Накл!J177</f>
        <v>0</v>
      </c>
      <c r="D170" s="33" t="str">
        <f t="array" ref="D170">CONCATENATE(IFERROR(INDEX(Накл!$C$9:$C$550,SMALL(IF(Накл!$B$9:$B$550=A170,ROW(Накл!$B$9:$B$550)-ROW(Накл!$B$9)+1),ROW(D170)-ROW(A170)+1)),"")," ",IFERROR(INDEX(Накл!$C$9:$C$550,SMALL(IF(Накл!$B$9:$B$550=A170,ROW(Накл!$B$9:$B$550)-ROW(Накл!$B$9)+1),ROW(D171)-ROW(A170)+1)),"")," ",IFERROR(INDEX(Накл!$C$9:$C$550,SMALL(IF(Накл!$B$9:$B$550=A170,ROW(Накл!$B$9:$B$550)-ROW(Накл!$B$9)+1),ROW(D172)-ROW(A170)+1)),"")," ",IFERROR(INDEX(Накл!$C$9:$C$550,SMALL(IF(Накл!$B$9:$B$550=A170,ROW(Накл!$B$9:$B$550)-ROW(Накл!$B$9)+1),ROW(D173)-ROW(A170)+1)),"")," ",IFERROR(INDEX(Накл!$C$9:$C$550,SMALL(IF(Накл!$B$9:$B$550=A170,ROW(Накл!$B$9:$B$550)-ROW(Накл!$B$9)+1),ROW(D174)-ROW(A170)+1)),"")," ",IFERROR(INDEX(Накл!$C$9:$C$550,SMALL(IF(Накл!$B$9:$B$550=A170,ROW(Накл!$B$9:$B$550)-ROW(Накл!$B$9)+1),ROW(D175)-ROW(A170)+1)),"")," ",IFERROR(INDEX(Накл!$C$9:$C$550,SMALL(IF(Накл!$B$9:$B$550=A170,ROW(Накл!$B$9:$B$550)-ROW(Накл!$B$9)+1),ROW(D176)-ROW(A170)+1)),"")," ",IFERROR(INDEX(Накл!$C$9:$C$550,SMALL(IF(Накл!$B$9:$B$550=A170,ROW(Накл!$B$9:$B$550)-ROW(Накл!$B$9)+1),ROW(D177)-ROW(A170)+1)),"")," ",IFERROR(INDEX(Накл!$C$9:$C$550,SMALL(IF(Накл!$B$9:$B$550=A170,ROW(Накл!$B$9:$B$550)-ROW(Накл!$B$9)+1),ROW(D178)-ROW(A170)+1)),"")," ",IFERROR(INDEX(Накл!$C$9:$C$550,SMALL(IF(Накл!$B$9:$B$550=A170,ROW(Накл!$B$9:$B$550)-ROW(Накл!$B$9)+1),ROW(D179)-ROW(A170)+1)),""))</f>
        <v xml:space="preserve">         </v>
      </c>
      <c r="E170" s="26" t="str">
        <f t="array" ref="E170">IF(LEN(D170)&lt;10,CONCATENATE(IFERROR(INDEX(Накл!$C$9:$C$550,SMALL(IF(Накл!$A$9:$A$550=VALUE(LEFT(A170,8)),ROW(Накл!$A$9:$A$550)-ROW(Накл!$A$9)+1),ROW(E170)-ROW(B170)+1)),"")," ",IFERROR(INDEX(Накл!$C$9:$C$550,SMALL(IF(Накл!$A$9:$A$550=VALUE(LEFT(A170,8)),ROW(Накл!$A$9:$A$550)-ROW(Накл!$A$9)+1),ROW(E171)-ROW(B170)+1)),"")," ",IFERROR(INDEX(Накл!$C$9:$C$550,SMALL(IF(Накл!$A$9:$A$550=VALUE(LEFT(A170,8)),ROW(Накл!$A$9:$A$550)-ROW(Накл!$A$9)+1),ROW(E172)-ROW(B170)+1)),"")," ",IFERROR(INDEX(Накл!$C$9:$C$550,SMALL(IF(Накл!$A$9:$A$550=VALUE(LEFT(A170,8)),ROW(Накл!$A$9:$A$550)-ROW(Накл!$A$9)+1),ROW(E173)-ROW(B170)+1)),"")),"")</f>
        <v xml:space="preserve">   </v>
      </c>
    </row>
    <row r="171" spans="1:5">
      <c r="A171" s="26" t="str">
        <f>IFERROR(CONCATENATE(VALUE(SUBSTITUTE(SUBSTITUTE(LEFT(Накл!G178,11),".",""),"-",""))," ",Накл!J178),"-")</f>
        <v>-</v>
      </c>
      <c r="B171" s="26" t="str">
        <f>IFERROR(VLOOKUP(VALUE(LEFT(A171,8)),Накл!$A$9:$D$550,4,0),"-")</f>
        <v>-</v>
      </c>
      <c r="C171" s="26">
        <f>Накл!J178</f>
        <v>0</v>
      </c>
      <c r="D171" s="33" t="str">
        <f t="array" ref="D171">CONCATENATE(IFERROR(INDEX(Накл!$C$9:$C$550,SMALL(IF(Накл!$B$9:$B$550=A171,ROW(Накл!$B$9:$B$550)-ROW(Накл!$B$9)+1),ROW(D171)-ROW(A171)+1)),"")," ",IFERROR(INDEX(Накл!$C$9:$C$550,SMALL(IF(Накл!$B$9:$B$550=A171,ROW(Накл!$B$9:$B$550)-ROW(Накл!$B$9)+1),ROW(D172)-ROW(A171)+1)),"")," ",IFERROR(INDEX(Накл!$C$9:$C$550,SMALL(IF(Накл!$B$9:$B$550=A171,ROW(Накл!$B$9:$B$550)-ROW(Накл!$B$9)+1),ROW(D173)-ROW(A171)+1)),"")," ",IFERROR(INDEX(Накл!$C$9:$C$550,SMALL(IF(Накл!$B$9:$B$550=A171,ROW(Накл!$B$9:$B$550)-ROW(Накл!$B$9)+1),ROW(D174)-ROW(A171)+1)),"")," ",IFERROR(INDEX(Накл!$C$9:$C$550,SMALL(IF(Накл!$B$9:$B$550=A171,ROW(Накл!$B$9:$B$550)-ROW(Накл!$B$9)+1),ROW(D175)-ROW(A171)+1)),"")," ",IFERROR(INDEX(Накл!$C$9:$C$550,SMALL(IF(Накл!$B$9:$B$550=A171,ROW(Накл!$B$9:$B$550)-ROW(Накл!$B$9)+1),ROW(D176)-ROW(A171)+1)),"")," ",IFERROR(INDEX(Накл!$C$9:$C$550,SMALL(IF(Накл!$B$9:$B$550=A171,ROW(Накл!$B$9:$B$550)-ROW(Накл!$B$9)+1),ROW(D177)-ROW(A171)+1)),"")," ",IFERROR(INDEX(Накл!$C$9:$C$550,SMALL(IF(Накл!$B$9:$B$550=A171,ROW(Накл!$B$9:$B$550)-ROW(Накл!$B$9)+1),ROW(D178)-ROW(A171)+1)),"")," ",IFERROR(INDEX(Накл!$C$9:$C$550,SMALL(IF(Накл!$B$9:$B$550=A171,ROW(Накл!$B$9:$B$550)-ROW(Накл!$B$9)+1),ROW(D179)-ROW(A171)+1)),"")," ",IFERROR(INDEX(Накл!$C$9:$C$550,SMALL(IF(Накл!$B$9:$B$550=A171,ROW(Накл!$B$9:$B$550)-ROW(Накл!$B$9)+1),ROW(D180)-ROW(A171)+1)),""))</f>
        <v xml:space="preserve">         </v>
      </c>
      <c r="E171" s="26" t="str">
        <f t="array" ref="E171">IF(LEN(D171)&lt;10,CONCATENATE(IFERROR(INDEX(Накл!$C$9:$C$550,SMALL(IF(Накл!$A$9:$A$550=VALUE(LEFT(A171,8)),ROW(Накл!$A$9:$A$550)-ROW(Накл!$A$9)+1),ROW(E171)-ROW(B171)+1)),"")," ",IFERROR(INDEX(Накл!$C$9:$C$550,SMALL(IF(Накл!$A$9:$A$550=VALUE(LEFT(A171,8)),ROW(Накл!$A$9:$A$550)-ROW(Накл!$A$9)+1),ROW(E172)-ROW(B171)+1)),"")," ",IFERROR(INDEX(Накл!$C$9:$C$550,SMALL(IF(Накл!$A$9:$A$550=VALUE(LEFT(A171,8)),ROW(Накл!$A$9:$A$550)-ROW(Накл!$A$9)+1),ROW(E173)-ROW(B171)+1)),"")," ",IFERROR(INDEX(Накл!$C$9:$C$550,SMALL(IF(Накл!$A$9:$A$550=VALUE(LEFT(A171,8)),ROW(Накл!$A$9:$A$550)-ROW(Накл!$A$9)+1),ROW(E174)-ROW(B171)+1)),"")),"")</f>
        <v xml:space="preserve">   </v>
      </c>
    </row>
    <row r="172" spans="1:5">
      <c r="A172" s="26" t="str">
        <f>IFERROR(CONCATENATE(VALUE(SUBSTITUTE(SUBSTITUTE(LEFT(Накл!G179,11),".",""),"-",""))," ",Накл!J179),"-")</f>
        <v>-</v>
      </c>
      <c r="B172" s="26" t="str">
        <f>IFERROR(VLOOKUP(VALUE(LEFT(A172,8)),Накл!$A$9:$D$550,4,0),"-")</f>
        <v>-</v>
      </c>
      <c r="C172" s="26">
        <f>Накл!J179</f>
        <v>0</v>
      </c>
      <c r="D172" s="33" t="str">
        <f t="array" ref="D172">CONCATENATE(IFERROR(INDEX(Накл!$C$9:$C$550,SMALL(IF(Накл!$B$9:$B$550=A172,ROW(Накл!$B$9:$B$550)-ROW(Накл!$B$9)+1),ROW(D172)-ROW(A172)+1)),"")," ",IFERROR(INDEX(Накл!$C$9:$C$550,SMALL(IF(Накл!$B$9:$B$550=A172,ROW(Накл!$B$9:$B$550)-ROW(Накл!$B$9)+1),ROW(D173)-ROW(A172)+1)),"")," ",IFERROR(INDEX(Накл!$C$9:$C$550,SMALL(IF(Накл!$B$9:$B$550=A172,ROW(Накл!$B$9:$B$550)-ROW(Накл!$B$9)+1),ROW(D174)-ROW(A172)+1)),"")," ",IFERROR(INDEX(Накл!$C$9:$C$550,SMALL(IF(Накл!$B$9:$B$550=A172,ROW(Накл!$B$9:$B$550)-ROW(Накл!$B$9)+1),ROW(D175)-ROW(A172)+1)),"")," ",IFERROR(INDEX(Накл!$C$9:$C$550,SMALL(IF(Накл!$B$9:$B$550=A172,ROW(Накл!$B$9:$B$550)-ROW(Накл!$B$9)+1),ROW(D176)-ROW(A172)+1)),"")," ",IFERROR(INDEX(Накл!$C$9:$C$550,SMALL(IF(Накл!$B$9:$B$550=A172,ROW(Накл!$B$9:$B$550)-ROW(Накл!$B$9)+1),ROW(D177)-ROW(A172)+1)),"")," ",IFERROR(INDEX(Накл!$C$9:$C$550,SMALL(IF(Накл!$B$9:$B$550=A172,ROW(Накл!$B$9:$B$550)-ROW(Накл!$B$9)+1),ROW(D178)-ROW(A172)+1)),"")," ",IFERROR(INDEX(Накл!$C$9:$C$550,SMALL(IF(Накл!$B$9:$B$550=A172,ROW(Накл!$B$9:$B$550)-ROW(Накл!$B$9)+1),ROW(D179)-ROW(A172)+1)),"")," ",IFERROR(INDEX(Накл!$C$9:$C$550,SMALL(IF(Накл!$B$9:$B$550=A172,ROW(Накл!$B$9:$B$550)-ROW(Накл!$B$9)+1),ROW(D180)-ROW(A172)+1)),"")," ",IFERROR(INDEX(Накл!$C$9:$C$550,SMALL(IF(Накл!$B$9:$B$550=A172,ROW(Накл!$B$9:$B$550)-ROW(Накл!$B$9)+1),ROW(D181)-ROW(A172)+1)),""))</f>
        <v xml:space="preserve">         </v>
      </c>
      <c r="E172" s="26" t="str">
        <f t="array" ref="E172">IF(LEN(D172)&lt;10,CONCATENATE(IFERROR(INDEX(Накл!$C$9:$C$550,SMALL(IF(Накл!$A$9:$A$550=VALUE(LEFT(A172,8)),ROW(Накл!$A$9:$A$550)-ROW(Накл!$A$9)+1),ROW(E172)-ROW(B172)+1)),"")," ",IFERROR(INDEX(Накл!$C$9:$C$550,SMALL(IF(Накл!$A$9:$A$550=VALUE(LEFT(A172,8)),ROW(Накл!$A$9:$A$550)-ROW(Накл!$A$9)+1),ROW(E173)-ROW(B172)+1)),"")," ",IFERROR(INDEX(Накл!$C$9:$C$550,SMALL(IF(Накл!$A$9:$A$550=VALUE(LEFT(A172,8)),ROW(Накл!$A$9:$A$550)-ROW(Накл!$A$9)+1),ROW(E174)-ROW(B172)+1)),"")," ",IFERROR(INDEX(Накл!$C$9:$C$550,SMALL(IF(Накл!$A$9:$A$550=VALUE(LEFT(A172,8)),ROW(Накл!$A$9:$A$550)-ROW(Накл!$A$9)+1),ROW(E175)-ROW(B172)+1)),"")),"")</f>
        <v xml:space="preserve">   </v>
      </c>
    </row>
    <row r="173" spans="1:5">
      <c r="A173" s="26" t="str">
        <f>IFERROR(CONCATENATE(VALUE(SUBSTITUTE(SUBSTITUTE(LEFT(Накл!G180,11),".",""),"-",""))," ",Накл!J180),"-")</f>
        <v>-</v>
      </c>
      <c r="B173" s="26" t="str">
        <f>IFERROR(VLOOKUP(VALUE(LEFT(A173,8)),Накл!$A$9:$D$550,4,0),"-")</f>
        <v>-</v>
      </c>
      <c r="C173" s="26">
        <f>Накл!J180</f>
        <v>0</v>
      </c>
      <c r="D173" s="33" t="str">
        <f t="array" ref="D173">CONCATENATE(IFERROR(INDEX(Накл!$C$9:$C$550,SMALL(IF(Накл!$B$9:$B$550=A173,ROW(Накл!$B$9:$B$550)-ROW(Накл!$B$9)+1),ROW(D173)-ROW(A173)+1)),"")," ",IFERROR(INDEX(Накл!$C$9:$C$550,SMALL(IF(Накл!$B$9:$B$550=A173,ROW(Накл!$B$9:$B$550)-ROW(Накл!$B$9)+1),ROW(D174)-ROW(A173)+1)),"")," ",IFERROR(INDEX(Накл!$C$9:$C$550,SMALL(IF(Накл!$B$9:$B$550=A173,ROW(Накл!$B$9:$B$550)-ROW(Накл!$B$9)+1),ROW(D175)-ROW(A173)+1)),"")," ",IFERROR(INDEX(Накл!$C$9:$C$550,SMALL(IF(Накл!$B$9:$B$550=A173,ROW(Накл!$B$9:$B$550)-ROW(Накл!$B$9)+1),ROW(D176)-ROW(A173)+1)),"")," ",IFERROR(INDEX(Накл!$C$9:$C$550,SMALL(IF(Накл!$B$9:$B$550=A173,ROW(Накл!$B$9:$B$550)-ROW(Накл!$B$9)+1),ROW(D177)-ROW(A173)+1)),"")," ",IFERROR(INDEX(Накл!$C$9:$C$550,SMALL(IF(Накл!$B$9:$B$550=A173,ROW(Накл!$B$9:$B$550)-ROW(Накл!$B$9)+1),ROW(D178)-ROW(A173)+1)),"")," ",IFERROR(INDEX(Накл!$C$9:$C$550,SMALL(IF(Накл!$B$9:$B$550=A173,ROW(Накл!$B$9:$B$550)-ROW(Накл!$B$9)+1),ROW(D179)-ROW(A173)+1)),"")," ",IFERROR(INDEX(Накл!$C$9:$C$550,SMALL(IF(Накл!$B$9:$B$550=A173,ROW(Накл!$B$9:$B$550)-ROW(Накл!$B$9)+1),ROW(D180)-ROW(A173)+1)),"")," ",IFERROR(INDEX(Накл!$C$9:$C$550,SMALL(IF(Накл!$B$9:$B$550=A173,ROW(Накл!$B$9:$B$550)-ROW(Накл!$B$9)+1),ROW(D181)-ROW(A173)+1)),"")," ",IFERROR(INDEX(Накл!$C$9:$C$550,SMALL(IF(Накл!$B$9:$B$550=A173,ROW(Накл!$B$9:$B$550)-ROW(Накл!$B$9)+1),ROW(D182)-ROW(A173)+1)),""))</f>
        <v xml:space="preserve">         </v>
      </c>
      <c r="E173" s="26" t="str">
        <f t="array" ref="E173">IF(LEN(D173)&lt;10,CONCATENATE(IFERROR(INDEX(Накл!$C$9:$C$550,SMALL(IF(Накл!$A$9:$A$550=VALUE(LEFT(A173,8)),ROW(Накл!$A$9:$A$550)-ROW(Накл!$A$9)+1),ROW(E173)-ROW(B173)+1)),"")," ",IFERROR(INDEX(Накл!$C$9:$C$550,SMALL(IF(Накл!$A$9:$A$550=VALUE(LEFT(A173,8)),ROW(Накл!$A$9:$A$550)-ROW(Накл!$A$9)+1),ROW(E174)-ROW(B173)+1)),"")," ",IFERROR(INDEX(Накл!$C$9:$C$550,SMALL(IF(Накл!$A$9:$A$550=VALUE(LEFT(A173,8)),ROW(Накл!$A$9:$A$550)-ROW(Накл!$A$9)+1),ROW(E175)-ROW(B173)+1)),"")," ",IFERROR(INDEX(Накл!$C$9:$C$550,SMALL(IF(Накл!$A$9:$A$550=VALUE(LEFT(A173,8)),ROW(Накл!$A$9:$A$550)-ROW(Накл!$A$9)+1),ROW(E176)-ROW(B173)+1)),"")),"")</f>
        <v xml:space="preserve">   </v>
      </c>
    </row>
    <row r="174" spans="1:5">
      <c r="A174" s="26" t="str">
        <f>IFERROR(CONCATENATE(VALUE(SUBSTITUTE(SUBSTITUTE(LEFT(Накл!G181,11),".",""),"-",""))," ",Накл!J181),"-")</f>
        <v>-</v>
      </c>
      <c r="B174" s="26" t="str">
        <f>IFERROR(VLOOKUP(VALUE(LEFT(A174,8)),Накл!$A$9:$D$550,4,0),"-")</f>
        <v>-</v>
      </c>
      <c r="C174" s="26">
        <f>Накл!J181</f>
        <v>0</v>
      </c>
      <c r="D174" s="33" t="str">
        <f t="array" ref="D174">CONCATENATE(IFERROR(INDEX(Накл!$C$9:$C$550,SMALL(IF(Накл!$B$9:$B$550=A174,ROW(Накл!$B$9:$B$550)-ROW(Накл!$B$9)+1),ROW(D174)-ROW(A174)+1)),"")," ",IFERROR(INDEX(Накл!$C$9:$C$550,SMALL(IF(Накл!$B$9:$B$550=A174,ROW(Накл!$B$9:$B$550)-ROW(Накл!$B$9)+1),ROW(D175)-ROW(A174)+1)),"")," ",IFERROR(INDEX(Накл!$C$9:$C$550,SMALL(IF(Накл!$B$9:$B$550=A174,ROW(Накл!$B$9:$B$550)-ROW(Накл!$B$9)+1),ROW(D176)-ROW(A174)+1)),"")," ",IFERROR(INDEX(Накл!$C$9:$C$550,SMALL(IF(Накл!$B$9:$B$550=A174,ROW(Накл!$B$9:$B$550)-ROW(Накл!$B$9)+1),ROW(D177)-ROW(A174)+1)),"")," ",IFERROR(INDEX(Накл!$C$9:$C$550,SMALL(IF(Накл!$B$9:$B$550=A174,ROW(Накл!$B$9:$B$550)-ROW(Накл!$B$9)+1),ROW(D178)-ROW(A174)+1)),"")," ",IFERROR(INDEX(Накл!$C$9:$C$550,SMALL(IF(Накл!$B$9:$B$550=A174,ROW(Накл!$B$9:$B$550)-ROW(Накл!$B$9)+1),ROW(D179)-ROW(A174)+1)),"")," ",IFERROR(INDEX(Накл!$C$9:$C$550,SMALL(IF(Накл!$B$9:$B$550=A174,ROW(Накл!$B$9:$B$550)-ROW(Накл!$B$9)+1),ROW(D180)-ROW(A174)+1)),"")," ",IFERROR(INDEX(Накл!$C$9:$C$550,SMALL(IF(Накл!$B$9:$B$550=A174,ROW(Накл!$B$9:$B$550)-ROW(Накл!$B$9)+1),ROW(D181)-ROW(A174)+1)),"")," ",IFERROR(INDEX(Накл!$C$9:$C$550,SMALL(IF(Накл!$B$9:$B$550=A174,ROW(Накл!$B$9:$B$550)-ROW(Накл!$B$9)+1),ROW(D182)-ROW(A174)+1)),"")," ",IFERROR(INDEX(Накл!$C$9:$C$550,SMALL(IF(Накл!$B$9:$B$550=A174,ROW(Накл!$B$9:$B$550)-ROW(Накл!$B$9)+1),ROW(D183)-ROW(A174)+1)),""))</f>
        <v xml:space="preserve">         </v>
      </c>
      <c r="E174" s="26" t="str">
        <f t="array" ref="E174">IF(LEN(D174)&lt;10,CONCATENATE(IFERROR(INDEX(Накл!$C$9:$C$550,SMALL(IF(Накл!$A$9:$A$550=VALUE(LEFT(A174,8)),ROW(Накл!$A$9:$A$550)-ROW(Накл!$A$9)+1),ROW(E174)-ROW(B174)+1)),"")," ",IFERROR(INDEX(Накл!$C$9:$C$550,SMALL(IF(Накл!$A$9:$A$550=VALUE(LEFT(A174,8)),ROW(Накл!$A$9:$A$550)-ROW(Накл!$A$9)+1),ROW(E175)-ROW(B174)+1)),"")," ",IFERROR(INDEX(Накл!$C$9:$C$550,SMALL(IF(Накл!$A$9:$A$550=VALUE(LEFT(A174,8)),ROW(Накл!$A$9:$A$550)-ROW(Накл!$A$9)+1),ROW(E176)-ROW(B174)+1)),"")," ",IFERROR(INDEX(Накл!$C$9:$C$550,SMALL(IF(Накл!$A$9:$A$550=VALUE(LEFT(A174,8)),ROW(Накл!$A$9:$A$550)-ROW(Накл!$A$9)+1),ROW(E177)-ROW(B174)+1)),"")),"")</f>
        <v xml:space="preserve">   </v>
      </c>
    </row>
    <row r="175" spans="1:5">
      <c r="A175" s="26" t="str">
        <f>IFERROR(CONCATENATE(VALUE(SUBSTITUTE(SUBSTITUTE(LEFT(Накл!G182,11),".",""),"-",""))," ",Накл!J182),"-")</f>
        <v>-</v>
      </c>
      <c r="B175" s="26" t="str">
        <f>IFERROR(VLOOKUP(VALUE(LEFT(A175,8)),Накл!$A$9:$D$550,4,0),"-")</f>
        <v>-</v>
      </c>
      <c r="C175" s="26">
        <f>Накл!J182</f>
        <v>0</v>
      </c>
      <c r="D175" s="33" t="str">
        <f t="array" ref="D175">CONCATENATE(IFERROR(INDEX(Накл!$C$9:$C$550,SMALL(IF(Накл!$B$9:$B$550=A175,ROW(Накл!$B$9:$B$550)-ROW(Накл!$B$9)+1),ROW(D175)-ROW(A175)+1)),"")," ",IFERROR(INDEX(Накл!$C$9:$C$550,SMALL(IF(Накл!$B$9:$B$550=A175,ROW(Накл!$B$9:$B$550)-ROW(Накл!$B$9)+1),ROW(D176)-ROW(A175)+1)),"")," ",IFERROR(INDEX(Накл!$C$9:$C$550,SMALL(IF(Накл!$B$9:$B$550=A175,ROW(Накл!$B$9:$B$550)-ROW(Накл!$B$9)+1),ROW(D177)-ROW(A175)+1)),"")," ",IFERROR(INDEX(Накл!$C$9:$C$550,SMALL(IF(Накл!$B$9:$B$550=A175,ROW(Накл!$B$9:$B$550)-ROW(Накл!$B$9)+1),ROW(D178)-ROW(A175)+1)),"")," ",IFERROR(INDEX(Накл!$C$9:$C$550,SMALL(IF(Накл!$B$9:$B$550=A175,ROW(Накл!$B$9:$B$550)-ROW(Накл!$B$9)+1),ROW(D179)-ROW(A175)+1)),"")," ",IFERROR(INDEX(Накл!$C$9:$C$550,SMALL(IF(Накл!$B$9:$B$550=A175,ROW(Накл!$B$9:$B$550)-ROW(Накл!$B$9)+1),ROW(D180)-ROW(A175)+1)),"")," ",IFERROR(INDEX(Накл!$C$9:$C$550,SMALL(IF(Накл!$B$9:$B$550=A175,ROW(Накл!$B$9:$B$550)-ROW(Накл!$B$9)+1),ROW(D181)-ROW(A175)+1)),"")," ",IFERROR(INDEX(Накл!$C$9:$C$550,SMALL(IF(Накл!$B$9:$B$550=A175,ROW(Накл!$B$9:$B$550)-ROW(Накл!$B$9)+1),ROW(D182)-ROW(A175)+1)),"")," ",IFERROR(INDEX(Накл!$C$9:$C$550,SMALL(IF(Накл!$B$9:$B$550=A175,ROW(Накл!$B$9:$B$550)-ROW(Накл!$B$9)+1),ROW(D183)-ROW(A175)+1)),"")," ",IFERROR(INDEX(Накл!$C$9:$C$550,SMALL(IF(Накл!$B$9:$B$550=A175,ROW(Накл!$B$9:$B$550)-ROW(Накл!$B$9)+1),ROW(D184)-ROW(A175)+1)),""))</f>
        <v xml:space="preserve">         </v>
      </c>
      <c r="E175" s="26" t="str">
        <f t="array" ref="E175">IF(LEN(D175)&lt;10,CONCATENATE(IFERROR(INDEX(Накл!$C$9:$C$550,SMALL(IF(Накл!$A$9:$A$550=VALUE(LEFT(A175,8)),ROW(Накл!$A$9:$A$550)-ROW(Накл!$A$9)+1),ROW(E175)-ROW(B175)+1)),"")," ",IFERROR(INDEX(Накл!$C$9:$C$550,SMALL(IF(Накл!$A$9:$A$550=VALUE(LEFT(A175,8)),ROW(Накл!$A$9:$A$550)-ROW(Накл!$A$9)+1),ROW(E176)-ROW(B175)+1)),"")," ",IFERROR(INDEX(Накл!$C$9:$C$550,SMALL(IF(Накл!$A$9:$A$550=VALUE(LEFT(A175,8)),ROW(Накл!$A$9:$A$550)-ROW(Накл!$A$9)+1),ROW(E177)-ROW(B175)+1)),"")," ",IFERROR(INDEX(Накл!$C$9:$C$550,SMALL(IF(Накл!$A$9:$A$550=VALUE(LEFT(A175,8)),ROW(Накл!$A$9:$A$550)-ROW(Накл!$A$9)+1),ROW(E178)-ROW(B175)+1)),"")),"")</f>
        <v xml:space="preserve">   </v>
      </c>
    </row>
    <row r="176" spans="1:5">
      <c r="A176" s="26" t="str">
        <f>IFERROR(CONCATENATE(VALUE(SUBSTITUTE(SUBSTITUTE(LEFT(Накл!G183,11),".",""),"-",""))," ",Накл!J183),"-")</f>
        <v>-</v>
      </c>
      <c r="B176" s="26" t="str">
        <f>IFERROR(VLOOKUP(VALUE(LEFT(A176,8)),Накл!$A$9:$D$550,4,0),"-")</f>
        <v>-</v>
      </c>
      <c r="C176" s="26">
        <f>Накл!J183</f>
        <v>0</v>
      </c>
      <c r="D176" s="33" t="str">
        <f t="array" ref="D176">CONCATENATE(IFERROR(INDEX(Накл!$C$9:$C$550,SMALL(IF(Накл!$B$9:$B$550=A176,ROW(Накл!$B$9:$B$550)-ROW(Накл!$B$9)+1),ROW(D176)-ROW(A176)+1)),"")," ",IFERROR(INDEX(Накл!$C$9:$C$550,SMALL(IF(Накл!$B$9:$B$550=A176,ROW(Накл!$B$9:$B$550)-ROW(Накл!$B$9)+1),ROW(D177)-ROW(A176)+1)),"")," ",IFERROR(INDEX(Накл!$C$9:$C$550,SMALL(IF(Накл!$B$9:$B$550=A176,ROW(Накл!$B$9:$B$550)-ROW(Накл!$B$9)+1),ROW(D178)-ROW(A176)+1)),"")," ",IFERROR(INDEX(Накл!$C$9:$C$550,SMALL(IF(Накл!$B$9:$B$550=A176,ROW(Накл!$B$9:$B$550)-ROW(Накл!$B$9)+1),ROW(D179)-ROW(A176)+1)),"")," ",IFERROR(INDEX(Накл!$C$9:$C$550,SMALL(IF(Накл!$B$9:$B$550=A176,ROW(Накл!$B$9:$B$550)-ROW(Накл!$B$9)+1),ROW(D180)-ROW(A176)+1)),"")," ",IFERROR(INDEX(Накл!$C$9:$C$550,SMALL(IF(Накл!$B$9:$B$550=A176,ROW(Накл!$B$9:$B$550)-ROW(Накл!$B$9)+1),ROW(D181)-ROW(A176)+1)),"")," ",IFERROR(INDEX(Накл!$C$9:$C$550,SMALL(IF(Накл!$B$9:$B$550=A176,ROW(Накл!$B$9:$B$550)-ROW(Накл!$B$9)+1),ROW(D182)-ROW(A176)+1)),"")," ",IFERROR(INDEX(Накл!$C$9:$C$550,SMALL(IF(Накл!$B$9:$B$550=A176,ROW(Накл!$B$9:$B$550)-ROW(Накл!$B$9)+1),ROW(D183)-ROW(A176)+1)),"")," ",IFERROR(INDEX(Накл!$C$9:$C$550,SMALL(IF(Накл!$B$9:$B$550=A176,ROW(Накл!$B$9:$B$550)-ROW(Накл!$B$9)+1),ROW(D184)-ROW(A176)+1)),"")," ",IFERROR(INDEX(Накл!$C$9:$C$550,SMALL(IF(Накл!$B$9:$B$550=A176,ROW(Накл!$B$9:$B$550)-ROW(Накл!$B$9)+1),ROW(D185)-ROW(A176)+1)),""))</f>
        <v xml:space="preserve">         </v>
      </c>
      <c r="E176" s="26" t="str">
        <f t="array" ref="E176">IF(LEN(D176)&lt;10,CONCATENATE(IFERROR(INDEX(Накл!$C$9:$C$550,SMALL(IF(Накл!$A$9:$A$550=VALUE(LEFT(A176,8)),ROW(Накл!$A$9:$A$550)-ROW(Накл!$A$9)+1),ROW(E176)-ROW(B176)+1)),"")," ",IFERROR(INDEX(Накл!$C$9:$C$550,SMALL(IF(Накл!$A$9:$A$550=VALUE(LEFT(A176,8)),ROW(Накл!$A$9:$A$550)-ROW(Накл!$A$9)+1),ROW(E177)-ROW(B176)+1)),"")," ",IFERROR(INDEX(Накл!$C$9:$C$550,SMALL(IF(Накл!$A$9:$A$550=VALUE(LEFT(A176,8)),ROW(Накл!$A$9:$A$550)-ROW(Накл!$A$9)+1),ROW(E178)-ROW(B176)+1)),"")," ",IFERROR(INDEX(Накл!$C$9:$C$550,SMALL(IF(Накл!$A$9:$A$550=VALUE(LEFT(A176,8)),ROW(Накл!$A$9:$A$550)-ROW(Накл!$A$9)+1),ROW(E179)-ROW(B176)+1)),"")),"")</f>
        <v xml:space="preserve">   </v>
      </c>
    </row>
    <row r="177" spans="1:5">
      <c r="A177" s="26" t="str">
        <f>IFERROR(CONCATENATE(VALUE(SUBSTITUTE(SUBSTITUTE(LEFT(Накл!G184,11),".",""),"-",""))," ",Накл!J184),"-")</f>
        <v>-</v>
      </c>
      <c r="B177" s="26" t="str">
        <f>IFERROR(VLOOKUP(VALUE(LEFT(A177,8)),Накл!$A$9:$D$550,4,0),"-")</f>
        <v>-</v>
      </c>
      <c r="C177" s="26">
        <f>Накл!J184</f>
        <v>0</v>
      </c>
      <c r="D177" s="33" t="str">
        <f t="array" ref="D177">CONCATENATE(IFERROR(INDEX(Накл!$C$9:$C$550,SMALL(IF(Накл!$B$9:$B$550=A177,ROW(Накл!$B$9:$B$550)-ROW(Накл!$B$9)+1),ROW(D177)-ROW(A177)+1)),"")," ",IFERROR(INDEX(Накл!$C$9:$C$550,SMALL(IF(Накл!$B$9:$B$550=A177,ROW(Накл!$B$9:$B$550)-ROW(Накл!$B$9)+1),ROW(D178)-ROW(A177)+1)),"")," ",IFERROR(INDEX(Накл!$C$9:$C$550,SMALL(IF(Накл!$B$9:$B$550=A177,ROW(Накл!$B$9:$B$550)-ROW(Накл!$B$9)+1),ROW(D179)-ROW(A177)+1)),"")," ",IFERROR(INDEX(Накл!$C$9:$C$550,SMALL(IF(Накл!$B$9:$B$550=A177,ROW(Накл!$B$9:$B$550)-ROW(Накл!$B$9)+1),ROW(D180)-ROW(A177)+1)),"")," ",IFERROR(INDEX(Накл!$C$9:$C$550,SMALL(IF(Накл!$B$9:$B$550=A177,ROW(Накл!$B$9:$B$550)-ROW(Накл!$B$9)+1),ROW(D181)-ROW(A177)+1)),"")," ",IFERROR(INDEX(Накл!$C$9:$C$550,SMALL(IF(Накл!$B$9:$B$550=A177,ROW(Накл!$B$9:$B$550)-ROW(Накл!$B$9)+1),ROW(D182)-ROW(A177)+1)),"")," ",IFERROR(INDEX(Накл!$C$9:$C$550,SMALL(IF(Накл!$B$9:$B$550=A177,ROW(Накл!$B$9:$B$550)-ROW(Накл!$B$9)+1),ROW(D183)-ROW(A177)+1)),"")," ",IFERROR(INDEX(Накл!$C$9:$C$550,SMALL(IF(Накл!$B$9:$B$550=A177,ROW(Накл!$B$9:$B$550)-ROW(Накл!$B$9)+1),ROW(D184)-ROW(A177)+1)),"")," ",IFERROR(INDEX(Накл!$C$9:$C$550,SMALL(IF(Накл!$B$9:$B$550=A177,ROW(Накл!$B$9:$B$550)-ROW(Накл!$B$9)+1),ROW(D185)-ROW(A177)+1)),"")," ",IFERROR(INDEX(Накл!$C$9:$C$550,SMALL(IF(Накл!$B$9:$B$550=A177,ROW(Накл!$B$9:$B$550)-ROW(Накл!$B$9)+1),ROW(D186)-ROW(A177)+1)),""))</f>
        <v xml:space="preserve">         </v>
      </c>
      <c r="E177" s="26" t="str">
        <f t="array" ref="E177">IF(LEN(D177)&lt;10,CONCATENATE(IFERROR(INDEX(Накл!$C$9:$C$550,SMALL(IF(Накл!$A$9:$A$550=VALUE(LEFT(A177,8)),ROW(Накл!$A$9:$A$550)-ROW(Накл!$A$9)+1),ROW(E177)-ROW(B177)+1)),"")," ",IFERROR(INDEX(Накл!$C$9:$C$550,SMALL(IF(Накл!$A$9:$A$550=VALUE(LEFT(A177,8)),ROW(Накл!$A$9:$A$550)-ROW(Накл!$A$9)+1),ROW(E178)-ROW(B177)+1)),"")," ",IFERROR(INDEX(Накл!$C$9:$C$550,SMALL(IF(Накл!$A$9:$A$550=VALUE(LEFT(A177,8)),ROW(Накл!$A$9:$A$550)-ROW(Накл!$A$9)+1),ROW(E179)-ROW(B177)+1)),"")," ",IFERROR(INDEX(Накл!$C$9:$C$550,SMALL(IF(Накл!$A$9:$A$550=VALUE(LEFT(A177,8)),ROW(Накл!$A$9:$A$550)-ROW(Накл!$A$9)+1),ROW(E180)-ROW(B177)+1)),"")),"")</f>
        <v xml:space="preserve">   </v>
      </c>
    </row>
    <row r="178" spans="1:5">
      <c r="A178" s="26" t="str">
        <f>IFERROR(CONCATENATE(VALUE(SUBSTITUTE(SUBSTITUTE(LEFT(Накл!G185,11),".",""),"-",""))," ",Накл!J185),"-")</f>
        <v>-</v>
      </c>
      <c r="B178" s="26" t="str">
        <f>IFERROR(VLOOKUP(VALUE(LEFT(A178,8)),Накл!$A$9:$D$550,4,0),"-")</f>
        <v>-</v>
      </c>
      <c r="C178" s="26">
        <f>Накл!J185</f>
        <v>0</v>
      </c>
      <c r="D178" s="33" t="str">
        <f t="array" ref="D178">CONCATENATE(IFERROR(INDEX(Накл!$C$9:$C$550,SMALL(IF(Накл!$B$9:$B$550=A178,ROW(Накл!$B$9:$B$550)-ROW(Накл!$B$9)+1),ROW(D178)-ROW(A178)+1)),"")," ",IFERROR(INDEX(Накл!$C$9:$C$550,SMALL(IF(Накл!$B$9:$B$550=A178,ROW(Накл!$B$9:$B$550)-ROW(Накл!$B$9)+1),ROW(D179)-ROW(A178)+1)),"")," ",IFERROR(INDEX(Накл!$C$9:$C$550,SMALL(IF(Накл!$B$9:$B$550=A178,ROW(Накл!$B$9:$B$550)-ROW(Накл!$B$9)+1),ROW(D180)-ROW(A178)+1)),"")," ",IFERROR(INDEX(Накл!$C$9:$C$550,SMALL(IF(Накл!$B$9:$B$550=A178,ROW(Накл!$B$9:$B$550)-ROW(Накл!$B$9)+1),ROW(D181)-ROW(A178)+1)),"")," ",IFERROR(INDEX(Накл!$C$9:$C$550,SMALL(IF(Накл!$B$9:$B$550=A178,ROW(Накл!$B$9:$B$550)-ROW(Накл!$B$9)+1),ROW(D182)-ROW(A178)+1)),"")," ",IFERROR(INDEX(Накл!$C$9:$C$550,SMALL(IF(Накл!$B$9:$B$550=A178,ROW(Накл!$B$9:$B$550)-ROW(Накл!$B$9)+1),ROW(D183)-ROW(A178)+1)),"")," ",IFERROR(INDEX(Накл!$C$9:$C$550,SMALL(IF(Накл!$B$9:$B$550=A178,ROW(Накл!$B$9:$B$550)-ROW(Накл!$B$9)+1),ROW(D184)-ROW(A178)+1)),"")," ",IFERROR(INDEX(Накл!$C$9:$C$550,SMALL(IF(Накл!$B$9:$B$550=A178,ROW(Накл!$B$9:$B$550)-ROW(Накл!$B$9)+1),ROW(D185)-ROW(A178)+1)),"")," ",IFERROR(INDEX(Накл!$C$9:$C$550,SMALL(IF(Накл!$B$9:$B$550=A178,ROW(Накл!$B$9:$B$550)-ROW(Накл!$B$9)+1),ROW(D186)-ROW(A178)+1)),"")," ",IFERROR(INDEX(Накл!$C$9:$C$550,SMALL(IF(Накл!$B$9:$B$550=A178,ROW(Накл!$B$9:$B$550)-ROW(Накл!$B$9)+1),ROW(D187)-ROW(A178)+1)),""))</f>
        <v xml:space="preserve">         </v>
      </c>
      <c r="E178" s="26" t="str">
        <f t="array" ref="E178">IF(LEN(D178)&lt;10,CONCATENATE(IFERROR(INDEX(Накл!$C$9:$C$550,SMALL(IF(Накл!$A$9:$A$550=VALUE(LEFT(A178,8)),ROW(Накл!$A$9:$A$550)-ROW(Накл!$A$9)+1),ROW(E178)-ROW(B178)+1)),"")," ",IFERROR(INDEX(Накл!$C$9:$C$550,SMALL(IF(Накл!$A$9:$A$550=VALUE(LEFT(A178,8)),ROW(Накл!$A$9:$A$550)-ROW(Накл!$A$9)+1),ROW(E179)-ROW(B178)+1)),"")," ",IFERROR(INDEX(Накл!$C$9:$C$550,SMALL(IF(Накл!$A$9:$A$550=VALUE(LEFT(A178,8)),ROW(Накл!$A$9:$A$550)-ROW(Накл!$A$9)+1),ROW(E180)-ROW(B178)+1)),"")," ",IFERROR(INDEX(Накл!$C$9:$C$550,SMALL(IF(Накл!$A$9:$A$550=VALUE(LEFT(A178,8)),ROW(Накл!$A$9:$A$550)-ROW(Накл!$A$9)+1),ROW(E181)-ROW(B178)+1)),"")),"")</f>
        <v xml:space="preserve">   </v>
      </c>
    </row>
    <row r="179" spans="1:5">
      <c r="A179" s="26" t="str">
        <f>IFERROR(CONCATENATE(VALUE(SUBSTITUTE(SUBSTITUTE(LEFT(Накл!G186,11),".",""),"-",""))," ",Накл!J186),"-")</f>
        <v>-</v>
      </c>
      <c r="B179" s="26" t="str">
        <f>IFERROR(VLOOKUP(VALUE(LEFT(A179,8)),Накл!$A$9:$D$550,4,0),"-")</f>
        <v>-</v>
      </c>
      <c r="C179" s="26">
        <f>Накл!J186</f>
        <v>0</v>
      </c>
      <c r="D179" s="33" t="str">
        <f t="array" ref="D179">CONCATENATE(IFERROR(INDEX(Накл!$C$9:$C$550,SMALL(IF(Накл!$B$9:$B$550=A179,ROW(Накл!$B$9:$B$550)-ROW(Накл!$B$9)+1),ROW(D179)-ROW(A179)+1)),"")," ",IFERROR(INDEX(Накл!$C$9:$C$550,SMALL(IF(Накл!$B$9:$B$550=A179,ROW(Накл!$B$9:$B$550)-ROW(Накл!$B$9)+1),ROW(D180)-ROW(A179)+1)),"")," ",IFERROR(INDEX(Накл!$C$9:$C$550,SMALL(IF(Накл!$B$9:$B$550=A179,ROW(Накл!$B$9:$B$550)-ROW(Накл!$B$9)+1),ROW(D181)-ROW(A179)+1)),"")," ",IFERROR(INDEX(Накл!$C$9:$C$550,SMALL(IF(Накл!$B$9:$B$550=A179,ROW(Накл!$B$9:$B$550)-ROW(Накл!$B$9)+1),ROW(D182)-ROW(A179)+1)),"")," ",IFERROR(INDEX(Накл!$C$9:$C$550,SMALL(IF(Накл!$B$9:$B$550=A179,ROW(Накл!$B$9:$B$550)-ROW(Накл!$B$9)+1),ROW(D183)-ROW(A179)+1)),"")," ",IFERROR(INDEX(Накл!$C$9:$C$550,SMALL(IF(Накл!$B$9:$B$550=A179,ROW(Накл!$B$9:$B$550)-ROW(Накл!$B$9)+1),ROW(D184)-ROW(A179)+1)),"")," ",IFERROR(INDEX(Накл!$C$9:$C$550,SMALL(IF(Накл!$B$9:$B$550=A179,ROW(Накл!$B$9:$B$550)-ROW(Накл!$B$9)+1),ROW(D185)-ROW(A179)+1)),"")," ",IFERROR(INDEX(Накл!$C$9:$C$550,SMALL(IF(Накл!$B$9:$B$550=A179,ROW(Накл!$B$9:$B$550)-ROW(Накл!$B$9)+1),ROW(D186)-ROW(A179)+1)),"")," ",IFERROR(INDEX(Накл!$C$9:$C$550,SMALL(IF(Накл!$B$9:$B$550=A179,ROW(Накл!$B$9:$B$550)-ROW(Накл!$B$9)+1),ROW(D187)-ROW(A179)+1)),"")," ",IFERROR(INDEX(Накл!$C$9:$C$550,SMALL(IF(Накл!$B$9:$B$550=A179,ROW(Накл!$B$9:$B$550)-ROW(Накл!$B$9)+1),ROW(D188)-ROW(A179)+1)),""))</f>
        <v xml:space="preserve">         </v>
      </c>
      <c r="E179" s="26" t="str">
        <f t="array" ref="E179">IF(LEN(D179)&lt;10,CONCATENATE(IFERROR(INDEX(Накл!$C$9:$C$550,SMALL(IF(Накл!$A$9:$A$550=VALUE(LEFT(A179,8)),ROW(Накл!$A$9:$A$550)-ROW(Накл!$A$9)+1),ROW(E179)-ROW(B179)+1)),"")," ",IFERROR(INDEX(Накл!$C$9:$C$550,SMALL(IF(Накл!$A$9:$A$550=VALUE(LEFT(A179,8)),ROW(Накл!$A$9:$A$550)-ROW(Накл!$A$9)+1),ROW(E180)-ROW(B179)+1)),"")," ",IFERROR(INDEX(Накл!$C$9:$C$550,SMALL(IF(Накл!$A$9:$A$550=VALUE(LEFT(A179,8)),ROW(Накл!$A$9:$A$550)-ROW(Накл!$A$9)+1),ROW(E181)-ROW(B179)+1)),"")," ",IFERROR(INDEX(Накл!$C$9:$C$550,SMALL(IF(Накл!$A$9:$A$550=VALUE(LEFT(A179,8)),ROW(Накл!$A$9:$A$550)-ROW(Накл!$A$9)+1),ROW(E182)-ROW(B179)+1)),"")),"")</f>
        <v xml:space="preserve">   </v>
      </c>
    </row>
    <row r="180" spans="1:5">
      <c r="A180" s="26" t="str">
        <f>IFERROR(CONCATENATE(VALUE(SUBSTITUTE(SUBSTITUTE(LEFT(Накл!G187,11),".",""),"-",""))," ",Накл!J187),"-")</f>
        <v>-</v>
      </c>
      <c r="B180" s="26" t="str">
        <f>IFERROR(VLOOKUP(VALUE(LEFT(A180,8)),Накл!$A$9:$D$550,4,0),"-")</f>
        <v>-</v>
      </c>
      <c r="C180" s="26">
        <f>Накл!J187</f>
        <v>0</v>
      </c>
      <c r="D180" s="33" t="str">
        <f t="array" ref="D180">CONCATENATE(IFERROR(INDEX(Накл!$C$9:$C$550,SMALL(IF(Накл!$B$9:$B$550=A180,ROW(Накл!$B$9:$B$550)-ROW(Накл!$B$9)+1),ROW(D180)-ROW(A180)+1)),"")," ",IFERROR(INDEX(Накл!$C$9:$C$550,SMALL(IF(Накл!$B$9:$B$550=A180,ROW(Накл!$B$9:$B$550)-ROW(Накл!$B$9)+1),ROW(D181)-ROW(A180)+1)),"")," ",IFERROR(INDEX(Накл!$C$9:$C$550,SMALL(IF(Накл!$B$9:$B$550=A180,ROW(Накл!$B$9:$B$550)-ROW(Накл!$B$9)+1),ROW(D182)-ROW(A180)+1)),"")," ",IFERROR(INDEX(Накл!$C$9:$C$550,SMALL(IF(Накл!$B$9:$B$550=A180,ROW(Накл!$B$9:$B$550)-ROW(Накл!$B$9)+1),ROW(D183)-ROW(A180)+1)),"")," ",IFERROR(INDEX(Накл!$C$9:$C$550,SMALL(IF(Накл!$B$9:$B$550=A180,ROW(Накл!$B$9:$B$550)-ROW(Накл!$B$9)+1),ROW(D184)-ROW(A180)+1)),"")," ",IFERROR(INDEX(Накл!$C$9:$C$550,SMALL(IF(Накл!$B$9:$B$550=A180,ROW(Накл!$B$9:$B$550)-ROW(Накл!$B$9)+1),ROW(D185)-ROW(A180)+1)),"")," ",IFERROR(INDEX(Накл!$C$9:$C$550,SMALL(IF(Накл!$B$9:$B$550=A180,ROW(Накл!$B$9:$B$550)-ROW(Накл!$B$9)+1),ROW(D186)-ROW(A180)+1)),"")," ",IFERROR(INDEX(Накл!$C$9:$C$550,SMALL(IF(Накл!$B$9:$B$550=A180,ROW(Накл!$B$9:$B$550)-ROW(Накл!$B$9)+1),ROW(D187)-ROW(A180)+1)),"")," ",IFERROR(INDEX(Накл!$C$9:$C$550,SMALL(IF(Накл!$B$9:$B$550=A180,ROW(Накл!$B$9:$B$550)-ROW(Накл!$B$9)+1),ROW(D188)-ROW(A180)+1)),"")," ",IFERROR(INDEX(Накл!$C$9:$C$550,SMALL(IF(Накл!$B$9:$B$550=A180,ROW(Накл!$B$9:$B$550)-ROW(Накл!$B$9)+1),ROW(D189)-ROW(A180)+1)),""))</f>
        <v xml:space="preserve">         </v>
      </c>
      <c r="E180" s="26" t="str">
        <f t="array" ref="E180">IF(LEN(D180)&lt;10,CONCATENATE(IFERROR(INDEX(Накл!$C$9:$C$550,SMALL(IF(Накл!$A$9:$A$550=VALUE(LEFT(A180,8)),ROW(Накл!$A$9:$A$550)-ROW(Накл!$A$9)+1),ROW(E180)-ROW(B180)+1)),"")," ",IFERROR(INDEX(Накл!$C$9:$C$550,SMALL(IF(Накл!$A$9:$A$550=VALUE(LEFT(A180,8)),ROW(Накл!$A$9:$A$550)-ROW(Накл!$A$9)+1),ROW(E181)-ROW(B180)+1)),"")," ",IFERROR(INDEX(Накл!$C$9:$C$550,SMALL(IF(Накл!$A$9:$A$550=VALUE(LEFT(A180,8)),ROW(Накл!$A$9:$A$550)-ROW(Накл!$A$9)+1),ROW(E182)-ROW(B180)+1)),"")," ",IFERROR(INDEX(Накл!$C$9:$C$550,SMALL(IF(Накл!$A$9:$A$550=VALUE(LEFT(A180,8)),ROW(Накл!$A$9:$A$550)-ROW(Накл!$A$9)+1),ROW(E183)-ROW(B180)+1)),"")),"")</f>
        <v xml:space="preserve">   </v>
      </c>
    </row>
    <row r="181" spans="1:5">
      <c r="A181" s="26" t="str">
        <f>IFERROR(CONCATENATE(VALUE(SUBSTITUTE(SUBSTITUTE(LEFT(Накл!G188,11),".",""),"-",""))," ",Накл!J188),"-")</f>
        <v>-</v>
      </c>
      <c r="B181" s="26" t="str">
        <f>IFERROR(VLOOKUP(VALUE(LEFT(A181,8)),Накл!$A$9:$D$550,4,0),"-")</f>
        <v>-</v>
      </c>
      <c r="C181" s="26">
        <f>Накл!J188</f>
        <v>0</v>
      </c>
      <c r="D181" s="33" t="str">
        <f t="array" ref="D181">CONCATENATE(IFERROR(INDEX(Накл!$C$9:$C$550,SMALL(IF(Накл!$B$9:$B$550=A181,ROW(Накл!$B$9:$B$550)-ROW(Накл!$B$9)+1),ROW(D181)-ROW(A181)+1)),"")," ",IFERROR(INDEX(Накл!$C$9:$C$550,SMALL(IF(Накл!$B$9:$B$550=A181,ROW(Накл!$B$9:$B$550)-ROW(Накл!$B$9)+1),ROW(D182)-ROW(A181)+1)),"")," ",IFERROR(INDEX(Накл!$C$9:$C$550,SMALL(IF(Накл!$B$9:$B$550=A181,ROW(Накл!$B$9:$B$550)-ROW(Накл!$B$9)+1),ROW(D183)-ROW(A181)+1)),"")," ",IFERROR(INDEX(Накл!$C$9:$C$550,SMALL(IF(Накл!$B$9:$B$550=A181,ROW(Накл!$B$9:$B$550)-ROW(Накл!$B$9)+1),ROW(D184)-ROW(A181)+1)),"")," ",IFERROR(INDEX(Накл!$C$9:$C$550,SMALL(IF(Накл!$B$9:$B$550=A181,ROW(Накл!$B$9:$B$550)-ROW(Накл!$B$9)+1),ROW(D185)-ROW(A181)+1)),"")," ",IFERROR(INDEX(Накл!$C$9:$C$550,SMALL(IF(Накл!$B$9:$B$550=A181,ROW(Накл!$B$9:$B$550)-ROW(Накл!$B$9)+1),ROW(D186)-ROW(A181)+1)),"")," ",IFERROR(INDEX(Накл!$C$9:$C$550,SMALL(IF(Накл!$B$9:$B$550=A181,ROW(Накл!$B$9:$B$550)-ROW(Накл!$B$9)+1),ROW(D187)-ROW(A181)+1)),"")," ",IFERROR(INDEX(Накл!$C$9:$C$550,SMALL(IF(Накл!$B$9:$B$550=A181,ROW(Накл!$B$9:$B$550)-ROW(Накл!$B$9)+1),ROW(D188)-ROW(A181)+1)),"")," ",IFERROR(INDEX(Накл!$C$9:$C$550,SMALL(IF(Накл!$B$9:$B$550=A181,ROW(Накл!$B$9:$B$550)-ROW(Накл!$B$9)+1),ROW(D189)-ROW(A181)+1)),"")," ",IFERROR(INDEX(Накл!$C$9:$C$550,SMALL(IF(Накл!$B$9:$B$550=A181,ROW(Накл!$B$9:$B$550)-ROW(Накл!$B$9)+1),ROW(D190)-ROW(A181)+1)),""))</f>
        <v xml:space="preserve">         </v>
      </c>
      <c r="E181" s="26" t="str">
        <f t="array" ref="E181">IF(LEN(D181)&lt;10,CONCATENATE(IFERROR(INDEX(Накл!$C$9:$C$550,SMALL(IF(Накл!$A$9:$A$550=VALUE(LEFT(A181,8)),ROW(Накл!$A$9:$A$550)-ROW(Накл!$A$9)+1),ROW(E181)-ROW(B181)+1)),"")," ",IFERROR(INDEX(Накл!$C$9:$C$550,SMALL(IF(Накл!$A$9:$A$550=VALUE(LEFT(A181,8)),ROW(Накл!$A$9:$A$550)-ROW(Накл!$A$9)+1),ROW(E182)-ROW(B181)+1)),"")," ",IFERROR(INDEX(Накл!$C$9:$C$550,SMALL(IF(Накл!$A$9:$A$550=VALUE(LEFT(A181,8)),ROW(Накл!$A$9:$A$550)-ROW(Накл!$A$9)+1),ROW(E183)-ROW(B181)+1)),"")," ",IFERROR(INDEX(Накл!$C$9:$C$550,SMALL(IF(Накл!$A$9:$A$550=VALUE(LEFT(A181,8)),ROW(Накл!$A$9:$A$550)-ROW(Накл!$A$9)+1),ROW(E184)-ROW(B181)+1)),"")),"")</f>
        <v xml:space="preserve">   </v>
      </c>
    </row>
    <row r="182" spans="1:5">
      <c r="A182" s="26" t="str">
        <f>IFERROR(CONCATENATE(VALUE(SUBSTITUTE(SUBSTITUTE(LEFT(Накл!G189,11),".",""),"-",""))," ",Накл!J189),"-")</f>
        <v>-</v>
      </c>
      <c r="B182" s="26" t="str">
        <f>IFERROR(VLOOKUP(VALUE(LEFT(A182,8)),Накл!$A$9:$D$550,4,0),"-")</f>
        <v>-</v>
      </c>
      <c r="C182" s="26">
        <f>Накл!J189</f>
        <v>0</v>
      </c>
      <c r="D182" s="33" t="str">
        <f t="array" ref="D182">CONCATENATE(IFERROR(INDEX(Накл!$C$9:$C$550,SMALL(IF(Накл!$B$9:$B$550=A182,ROW(Накл!$B$9:$B$550)-ROW(Накл!$B$9)+1),ROW(D182)-ROW(A182)+1)),"")," ",IFERROR(INDEX(Накл!$C$9:$C$550,SMALL(IF(Накл!$B$9:$B$550=A182,ROW(Накл!$B$9:$B$550)-ROW(Накл!$B$9)+1),ROW(D183)-ROW(A182)+1)),"")," ",IFERROR(INDEX(Накл!$C$9:$C$550,SMALL(IF(Накл!$B$9:$B$550=A182,ROW(Накл!$B$9:$B$550)-ROW(Накл!$B$9)+1),ROW(D184)-ROW(A182)+1)),"")," ",IFERROR(INDEX(Накл!$C$9:$C$550,SMALL(IF(Накл!$B$9:$B$550=A182,ROW(Накл!$B$9:$B$550)-ROW(Накл!$B$9)+1),ROW(D185)-ROW(A182)+1)),"")," ",IFERROR(INDEX(Накл!$C$9:$C$550,SMALL(IF(Накл!$B$9:$B$550=A182,ROW(Накл!$B$9:$B$550)-ROW(Накл!$B$9)+1),ROW(D186)-ROW(A182)+1)),"")," ",IFERROR(INDEX(Накл!$C$9:$C$550,SMALL(IF(Накл!$B$9:$B$550=A182,ROW(Накл!$B$9:$B$550)-ROW(Накл!$B$9)+1),ROW(D187)-ROW(A182)+1)),"")," ",IFERROR(INDEX(Накл!$C$9:$C$550,SMALL(IF(Накл!$B$9:$B$550=A182,ROW(Накл!$B$9:$B$550)-ROW(Накл!$B$9)+1),ROW(D188)-ROW(A182)+1)),"")," ",IFERROR(INDEX(Накл!$C$9:$C$550,SMALL(IF(Накл!$B$9:$B$550=A182,ROW(Накл!$B$9:$B$550)-ROW(Накл!$B$9)+1),ROW(D189)-ROW(A182)+1)),"")," ",IFERROR(INDEX(Накл!$C$9:$C$550,SMALL(IF(Накл!$B$9:$B$550=A182,ROW(Накл!$B$9:$B$550)-ROW(Накл!$B$9)+1),ROW(D190)-ROW(A182)+1)),"")," ",IFERROR(INDEX(Накл!$C$9:$C$550,SMALL(IF(Накл!$B$9:$B$550=A182,ROW(Накл!$B$9:$B$550)-ROW(Накл!$B$9)+1),ROW(D191)-ROW(A182)+1)),""))</f>
        <v xml:space="preserve">         </v>
      </c>
      <c r="E182" s="26" t="str">
        <f t="array" ref="E182">IF(LEN(D182)&lt;10,CONCATENATE(IFERROR(INDEX(Накл!$C$9:$C$550,SMALL(IF(Накл!$A$9:$A$550=VALUE(LEFT(A182,8)),ROW(Накл!$A$9:$A$550)-ROW(Накл!$A$9)+1),ROW(E182)-ROW(B182)+1)),"")," ",IFERROR(INDEX(Накл!$C$9:$C$550,SMALL(IF(Накл!$A$9:$A$550=VALUE(LEFT(A182,8)),ROW(Накл!$A$9:$A$550)-ROW(Накл!$A$9)+1),ROW(E183)-ROW(B182)+1)),"")," ",IFERROR(INDEX(Накл!$C$9:$C$550,SMALL(IF(Накл!$A$9:$A$550=VALUE(LEFT(A182,8)),ROW(Накл!$A$9:$A$550)-ROW(Накл!$A$9)+1),ROW(E184)-ROW(B182)+1)),"")," ",IFERROR(INDEX(Накл!$C$9:$C$550,SMALL(IF(Накл!$A$9:$A$550=VALUE(LEFT(A182,8)),ROW(Накл!$A$9:$A$550)-ROW(Накл!$A$9)+1),ROW(E185)-ROW(B182)+1)),"")),"")</f>
        <v xml:space="preserve">   </v>
      </c>
    </row>
    <row r="183" spans="1:5">
      <c r="A183" s="26" t="str">
        <f>IFERROR(CONCATENATE(VALUE(SUBSTITUTE(SUBSTITUTE(LEFT(Накл!G190,11),".",""),"-",""))," ",Накл!J190),"-")</f>
        <v>-</v>
      </c>
      <c r="B183" s="26" t="str">
        <f>IFERROR(VLOOKUP(VALUE(LEFT(A183,8)),Накл!$A$9:$D$550,4,0),"-")</f>
        <v>-</v>
      </c>
      <c r="C183" s="26">
        <f>Накл!J190</f>
        <v>0</v>
      </c>
      <c r="D183" s="33" t="str">
        <f t="array" ref="D183">CONCATENATE(IFERROR(INDEX(Накл!$C$9:$C$550,SMALL(IF(Накл!$B$9:$B$550=A183,ROW(Накл!$B$9:$B$550)-ROW(Накл!$B$9)+1),ROW(D183)-ROW(A183)+1)),"")," ",IFERROR(INDEX(Накл!$C$9:$C$550,SMALL(IF(Накл!$B$9:$B$550=A183,ROW(Накл!$B$9:$B$550)-ROW(Накл!$B$9)+1),ROW(D184)-ROW(A183)+1)),"")," ",IFERROR(INDEX(Накл!$C$9:$C$550,SMALL(IF(Накл!$B$9:$B$550=A183,ROW(Накл!$B$9:$B$550)-ROW(Накл!$B$9)+1),ROW(D185)-ROW(A183)+1)),"")," ",IFERROR(INDEX(Накл!$C$9:$C$550,SMALL(IF(Накл!$B$9:$B$550=A183,ROW(Накл!$B$9:$B$550)-ROW(Накл!$B$9)+1),ROW(D186)-ROW(A183)+1)),"")," ",IFERROR(INDEX(Накл!$C$9:$C$550,SMALL(IF(Накл!$B$9:$B$550=A183,ROW(Накл!$B$9:$B$550)-ROW(Накл!$B$9)+1),ROW(D187)-ROW(A183)+1)),"")," ",IFERROR(INDEX(Накл!$C$9:$C$550,SMALL(IF(Накл!$B$9:$B$550=A183,ROW(Накл!$B$9:$B$550)-ROW(Накл!$B$9)+1),ROW(D188)-ROW(A183)+1)),"")," ",IFERROR(INDEX(Накл!$C$9:$C$550,SMALL(IF(Накл!$B$9:$B$550=A183,ROW(Накл!$B$9:$B$550)-ROW(Накл!$B$9)+1),ROW(D189)-ROW(A183)+1)),"")," ",IFERROR(INDEX(Накл!$C$9:$C$550,SMALL(IF(Накл!$B$9:$B$550=A183,ROW(Накл!$B$9:$B$550)-ROW(Накл!$B$9)+1),ROW(D190)-ROW(A183)+1)),"")," ",IFERROR(INDEX(Накл!$C$9:$C$550,SMALL(IF(Накл!$B$9:$B$550=A183,ROW(Накл!$B$9:$B$550)-ROW(Накл!$B$9)+1),ROW(D191)-ROW(A183)+1)),"")," ",IFERROR(INDEX(Накл!$C$9:$C$550,SMALL(IF(Накл!$B$9:$B$550=A183,ROW(Накл!$B$9:$B$550)-ROW(Накл!$B$9)+1),ROW(D192)-ROW(A183)+1)),""))</f>
        <v xml:space="preserve">         </v>
      </c>
      <c r="E183" s="26" t="str">
        <f t="array" ref="E183">IF(LEN(D183)&lt;10,CONCATENATE(IFERROR(INDEX(Накл!$C$9:$C$550,SMALL(IF(Накл!$A$9:$A$550=VALUE(LEFT(A183,8)),ROW(Накл!$A$9:$A$550)-ROW(Накл!$A$9)+1),ROW(E183)-ROW(B183)+1)),"")," ",IFERROR(INDEX(Накл!$C$9:$C$550,SMALL(IF(Накл!$A$9:$A$550=VALUE(LEFT(A183,8)),ROW(Накл!$A$9:$A$550)-ROW(Накл!$A$9)+1),ROW(E184)-ROW(B183)+1)),"")," ",IFERROR(INDEX(Накл!$C$9:$C$550,SMALL(IF(Накл!$A$9:$A$550=VALUE(LEFT(A183,8)),ROW(Накл!$A$9:$A$550)-ROW(Накл!$A$9)+1),ROW(E185)-ROW(B183)+1)),"")," ",IFERROR(INDEX(Накл!$C$9:$C$550,SMALL(IF(Накл!$A$9:$A$550=VALUE(LEFT(A183,8)),ROW(Накл!$A$9:$A$550)-ROW(Накл!$A$9)+1),ROW(E186)-ROW(B183)+1)),"")),"")</f>
        <v xml:space="preserve">   </v>
      </c>
    </row>
    <row r="184" spans="1:5">
      <c r="A184" s="26" t="str">
        <f>IFERROR(CONCATENATE(VALUE(SUBSTITUTE(SUBSTITUTE(LEFT(Накл!G191,11),".",""),"-",""))," ",Накл!J191),"-")</f>
        <v>-</v>
      </c>
      <c r="B184" s="26" t="str">
        <f>IFERROR(VLOOKUP(VALUE(LEFT(A184,8)),Накл!$A$9:$D$550,4,0),"-")</f>
        <v>-</v>
      </c>
      <c r="C184" s="26">
        <f>Накл!J191</f>
        <v>0</v>
      </c>
      <c r="D184" s="33" t="str">
        <f t="array" ref="D184">CONCATENATE(IFERROR(INDEX(Накл!$C$9:$C$550,SMALL(IF(Накл!$B$9:$B$550=A184,ROW(Накл!$B$9:$B$550)-ROW(Накл!$B$9)+1),ROW(D184)-ROW(A184)+1)),"")," ",IFERROR(INDEX(Накл!$C$9:$C$550,SMALL(IF(Накл!$B$9:$B$550=A184,ROW(Накл!$B$9:$B$550)-ROW(Накл!$B$9)+1),ROW(D185)-ROW(A184)+1)),"")," ",IFERROR(INDEX(Накл!$C$9:$C$550,SMALL(IF(Накл!$B$9:$B$550=A184,ROW(Накл!$B$9:$B$550)-ROW(Накл!$B$9)+1),ROW(D186)-ROW(A184)+1)),"")," ",IFERROR(INDEX(Накл!$C$9:$C$550,SMALL(IF(Накл!$B$9:$B$550=A184,ROW(Накл!$B$9:$B$550)-ROW(Накл!$B$9)+1),ROW(D187)-ROW(A184)+1)),"")," ",IFERROR(INDEX(Накл!$C$9:$C$550,SMALL(IF(Накл!$B$9:$B$550=A184,ROW(Накл!$B$9:$B$550)-ROW(Накл!$B$9)+1),ROW(D188)-ROW(A184)+1)),"")," ",IFERROR(INDEX(Накл!$C$9:$C$550,SMALL(IF(Накл!$B$9:$B$550=A184,ROW(Накл!$B$9:$B$550)-ROW(Накл!$B$9)+1),ROW(D189)-ROW(A184)+1)),"")," ",IFERROR(INDEX(Накл!$C$9:$C$550,SMALL(IF(Накл!$B$9:$B$550=A184,ROW(Накл!$B$9:$B$550)-ROW(Накл!$B$9)+1),ROW(D190)-ROW(A184)+1)),"")," ",IFERROR(INDEX(Накл!$C$9:$C$550,SMALL(IF(Накл!$B$9:$B$550=A184,ROW(Накл!$B$9:$B$550)-ROW(Накл!$B$9)+1),ROW(D191)-ROW(A184)+1)),"")," ",IFERROR(INDEX(Накл!$C$9:$C$550,SMALL(IF(Накл!$B$9:$B$550=A184,ROW(Накл!$B$9:$B$550)-ROW(Накл!$B$9)+1),ROW(D192)-ROW(A184)+1)),"")," ",IFERROR(INDEX(Накл!$C$9:$C$550,SMALL(IF(Накл!$B$9:$B$550=A184,ROW(Накл!$B$9:$B$550)-ROW(Накл!$B$9)+1),ROW(D193)-ROW(A184)+1)),""))</f>
        <v xml:space="preserve">         </v>
      </c>
      <c r="E184" s="26" t="str">
        <f t="array" ref="E184">IF(LEN(D184)&lt;10,CONCATENATE(IFERROR(INDEX(Накл!$C$9:$C$550,SMALL(IF(Накл!$A$9:$A$550=VALUE(LEFT(A184,8)),ROW(Накл!$A$9:$A$550)-ROW(Накл!$A$9)+1),ROW(E184)-ROW(B184)+1)),"")," ",IFERROR(INDEX(Накл!$C$9:$C$550,SMALL(IF(Накл!$A$9:$A$550=VALUE(LEFT(A184,8)),ROW(Накл!$A$9:$A$550)-ROW(Накл!$A$9)+1),ROW(E185)-ROW(B184)+1)),"")," ",IFERROR(INDEX(Накл!$C$9:$C$550,SMALL(IF(Накл!$A$9:$A$550=VALUE(LEFT(A184,8)),ROW(Накл!$A$9:$A$550)-ROW(Накл!$A$9)+1),ROW(E186)-ROW(B184)+1)),"")," ",IFERROR(INDEX(Накл!$C$9:$C$550,SMALL(IF(Накл!$A$9:$A$550=VALUE(LEFT(A184,8)),ROW(Накл!$A$9:$A$550)-ROW(Накл!$A$9)+1),ROW(E187)-ROW(B184)+1)),"")),"")</f>
        <v xml:space="preserve">   </v>
      </c>
    </row>
    <row r="185" spans="1:5">
      <c r="A185" s="26" t="str">
        <f>IFERROR(CONCATENATE(VALUE(SUBSTITUTE(SUBSTITUTE(LEFT(Накл!G192,11),".",""),"-",""))," ",Накл!J192),"-")</f>
        <v>-</v>
      </c>
      <c r="B185" s="26" t="str">
        <f>IFERROR(VLOOKUP(VALUE(LEFT(A185,8)),Накл!$A$9:$D$550,4,0),"-")</f>
        <v>-</v>
      </c>
      <c r="C185" s="26">
        <f>Накл!J192</f>
        <v>0</v>
      </c>
      <c r="D185" s="33" t="str">
        <f t="array" ref="D185">CONCATENATE(IFERROR(INDEX(Накл!$C$9:$C$550,SMALL(IF(Накл!$B$9:$B$550=A185,ROW(Накл!$B$9:$B$550)-ROW(Накл!$B$9)+1),ROW(D185)-ROW(A185)+1)),"")," ",IFERROR(INDEX(Накл!$C$9:$C$550,SMALL(IF(Накл!$B$9:$B$550=A185,ROW(Накл!$B$9:$B$550)-ROW(Накл!$B$9)+1),ROW(D186)-ROW(A185)+1)),"")," ",IFERROR(INDEX(Накл!$C$9:$C$550,SMALL(IF(Накл!$B$9:$B$550=A185,ROW(Накл!$B$9:$B$550)-ROW(Накл!$B$9)+1),ROW(D187)-ROW(A185)+1)),"")," ",IFERROR(INDEX(Накл!$C$9:$C$550,SMALL(IF(Накл!$B$9:$B$550=A185,ROW(Накл!$B$9:$B$550)-ROW(Накл!$B$9)+1),ROW(D188)-ROW(A185)+1)),"")," ",IFERROR(INDEX(Накл!$C$9:$C$550,SMALL(IF(Накл!$B$9:$B$550=A185,ROW(Накл!$B$9:$B$550)-ROW(Накл!$B$9)+1),ROW(D189)-ROW(A185)+1)),"")," ",IFERROR(INDEX(Накл!$C$9:$C$550,SMALL(IF(Накл!$B$9:$B$550=A185,ROW(Накл!$B$9:$B$550)-ROW(Накл!$B$9)+1),ROW(D190)-ROW(A185)+1)),"")," ",IFERROR(INDEX(Накл!$C$9:$C$550,SMALL(IF(Накл!$B$9:$B$550=A185,ROW(Накл!$B$9:$B$550)-ROW(Накл!$B$9)+1),ROW(D191)-ROW(A185)+1)),"")," ",IFERROR(INDEX(Накл!$C$9:$C$550,SMALL(IF(Накл!$B$9:$B$550=A185,ROW(Накл!$B$9:$B$550)-ROW(Накл!$B$9)+1),ROW(D192)-ROW(A185)+1)),"")," ",IFERROR(INDEX(Накл!$C$9:$C$550,SMALL(IF(Накл!$B$9:$B$550=A185,ROW(Накл!$B$9:$B$550)-ROW(Накл!$B$9)+1),ROW(D193)-ROW(A185)+1)),"")," ",IFERROR(INDEX(Накл!$C$9:$C$550,SMALL(IF(Накл!$B$9:$B$550=A185,ROW(Накл!$B$9:$B$550)-ROW(Накл!$B$9)+1),ROW(D194)-ROW(A185)+1)),""))</f>
        <v xml:space="preserve">         </v>
      </c>
      <c r="E185" s="26" t="str">
        <f t="array" ref="E185">IF(LEN(D185)&lt;10,CONCATENATE(IFERROR(INDEX(Накл!$C$9:$C$550,SMALL(IF(Накл!$A$9:$A$550=VALUE(LEFT(A185,8)),ROW(Накл!$A$9:$A$550)-ROW(Накл!$A$9)+1),ROW(E185)-ROW(B185)+1)),"")," ",IFERROR(INDEX(Накл!$C$9:$C$550,SMALL(IF(Накл!$A$9:$A$550=VALUE(LEFT(A185,8)),ROW(Накл!$A$9:$A$550)-ROW(Накл!$A$9)+1),ROW(E186)-ROW(B185)+1)),"")," ",IFERROR(INDEX(Накл!$C$9:$C$550,SMALL(IF(Накл!$A$9:$A$550=VALUE(LEFT(A185,8)),ROW(Накл!$A$9:$A$550)-ROW(Накл!$A$9)+1),ROW(E187)-ROW(B185)+1)),"")," ",IFERROR(INDEX(Накл!$C$9:$C$550,SMALL(IF(Накл!$A$9:$A$550=VALUE(LEFT(A185,8)),ROW(Накл!$A$9:$A$550)-ROW(Накл!$A$9)+1),ROW(E188)-ROW(B185)+1)),"")),"")</f>
        <v xml:space="preserve">   </v>
      </c>
    </row>
    <row r="186" spans="1:5">
      <c r="A186" s="26" t="str">
        <f>IFERROR(CONCATENATE(VALUE(SUBSTITUTE(SUBSTITUTE(LEFT(Накл!G193,11),".",""),"-",""))," ",Накл!J193),"-")</f>
        <v>-</v>
      </c>
      <c r="B186" s="26" t="str">
        <f>IFERROR(VLOOKUP(VALUE(LEFT(A186,8)),Накл!$A$9:$D$550,4,0),"-")</f>
        <v>-</v>
      </c>
      <c r="C186" s="26">
        <f>Накл!J193</f>
        <v>0</v>
      </c>
      <c r="D186" s="33" t="str">
        <f t="array" ref="D186">CONCATENATE(IFERROR(INDEX(Накл!$C$9:$C$550,SMALL(IF(Накл!$B$9:$B$550=A186,ROW(Накл!$B$9:$B$550)-ROW(Накл!$B$9)+1),ROW(D186)-ROW(A186)+1)),"")," ",IFERROR(INDEX(Накл!$C$9:$C$550,SMALL(IF(Накл!$B$9:$B$550=A186,ROW(Накл!$B$9:$B$550)-ROW(Накл!$B$9)+1),ROW(D187)-ROW(A186)+1)),"")," ",IFERROR(INDEX(Накл!$C$9:$C$550,SMALL(IF(Накл!$B$9:$B$550=A186,ROW(Накл!$B$9:$B$550)-ROW(Накл!$B$9)+1),ROW(D188)-ROW(A186)+1)),"")," ",IFERROR(INDEX(Накл!$C$9:$C$550,SMALL(IF(Накл!$B$9:$B$550=A186,ROW(Накл!$B$9:$B$550)-ROW(Накл!$B$9)+1),ROW(D189)-ROW(A186)+1)),"")," ",IFERROR(INDEX(Накл!$C$9:$C$550,SMALL(IF(Накл!$B$9:$B$550=A186,ROW(Накл!$B$9:$B$550)-ROW(Накл!$B$9)+1),ROW(D190)-ROW(A186)+1)),"")," ",IFERROR(INDEX(Накл!$C$9:$C$550,SMALL(IF(Накл!$B$9:$B$550=A186,ROW(Накл!$B$9:$B$550)-ROW(Накл!$B$9)+1),ROW(D191)-ROW(A186)+1)),"")," ",IFERROR(INDEX(Накл!$C$9:$C$550,SMALL(IF(Накл!$B$9:$B$550=A186,ROW(Накл!$B$9:$B$550)-ROW(Накл!$B$9)+1),ROW(D192)-ROW(A186)+1)),"")," ",IFERROR(INDEX(Накл!$C$9:$C$550,SMALL(IF(Накл!$B$9:$B$550=A186,ROW(Накл!$B$9:$B$550)-ROW(Накл!$B$9)+1),ROW(D193)-ROW(A186)+1)),"")," ",IFERROR(INDEX(Накл!$C$9:$C$550,SMALL(IF(Накл!$B$9:$B$550=A186,ROW(Накл!$B$9:$B$550)-ROW(Накл!$B$9)+1),ROW(D194)-ROW(A186)+1)),"")," ",IFERROR(INDEX(Накл!$C$9:$C$550,SMALL(IF(Накл!$B$9:$B$550=A186,ROW(Накл!$B$9:$B$550)-ROW(Накл!$B$9)+1),ROW(D195)-ROW(A186)+1)),""))</f>
        <v xml:space="preserve">         </v>
      </c>
      <c r="E186" s="26" t="str">
        <f t="array" ref="E186">IF(LEN(D186)&lt;10,CONCATENATE(IFERROR(INDEX(Накл!$C$9:$C$550,SMALL(IF(Накл!$A$9:$A$550=VALUE(LEFT(A186,8)),ROW(Накл!$A$9:$A$550)-ROW(Накл!$A$9)+1),ROW(E186)-ROW(B186)+1)),"")," ",IFERROR(INDEX(Накл!$C$9:$C$550,SMALL(IF(Накл!$A$9:$A$550=VALUE(LEFT(A186,8)),ROW(Накл!$A$9:$A$550)-ROW(Накл!$A$9)+1),ROW(E187)-ROW(B186)+1)),"")," ",IFERROR(INDEX(Накл!$C$9:$C$550,SMALL(IF(Накл!$A$9:$A$550=VALUE(LEFT(A186,8)),ROW(Накл!$A$9:$A$550)-ROW(Накл!$A$9)+1),ROW(E188)-ROW(B186)+1)),"")," ",IFERROR(INDEX(Накл!$C$9:$C$550,SMALL(IF(Накл!$A$9:$A$550=VALUE(LEFT(A186,8)),ROW(Накл!$A$9:$A$550)-ROW(Накл!$A$9)+1),ROW(E189)-ROW(B186)+1)),"")),"")</f>
        <v xml:space="preserve">   </v>
      </c>
    </row>
    <row r="187" spans="1:5">
      <c r="A187" s="26" t="str">
        <f>IFERROR(CONCATENATE(VALUE(SUBSTITUTE(SUBSTITUTE(LEFT(Накл!G194,11),".",""),"-",""))," ",Накл!J194),"-")</f>
        <v>-</v>
      </c>
      <c r="B187" s="26" t="str">
        <f>IFERROR(VLOOKUP(VALUE(LEFT(A187,8)),Накл!$A$9:$D$550,4,0),"-")</f>
        <v>-</v>
      </c>
      <c r="C187" s="26">
        <f>Накл!J194</f>
        <v>0</v>
      </c>
      <c r="D187" s="33" t="str">
        <f t="array" ref="D187">CONCATENATE(IFERROR(INDEX(Накл!$C$9:$C$550,SMALL(IF(Накл!$B$9:$B$550=A187,ROW(Накл!$B$9:$B$550)-ROW(Накл!$B$9)+1),ROW(D187)-ROW(A187)+1)),"")," ",IFERROR(INDEX(Накл!$C$9:$C$550,SMALL(IF(Накл!$B$9:$B$550=A187,ROW(Накл!$B$9:$B$550)-ROW(Накл!$B$9)+1),ROW(D188)-ROW(A187)+1)),"")," ",IFERROR(INDEX(Накл!$C$9:$C$550,SMALL(IF(Накл!$B$9:$B$550=A187,ROW(Накл!$B$9:$B$550)-ROW(Накл!$B$9)+1),ROW(D189)-ROW(A187)+1)),"")," ",IFERROR(INDEX(Накл!$C$9:$C$550,SMALL(IF(Накл!$B$9:$B$550=A187,ROW(Накл!$B$9:$B$550)-ROW(Накл!$B$9)+1),ROW(D190)-ROW(A187)+1)),"")," ",IFERROR(INDEX(Накл!$C$9:$C$550,SMALL(IF(Накл!$B$9:$B$550=A187,ROW(Накл!$B$9:$B$550)-ROW(Накл!$B$9)+1),ROW(D191)-ROW(A187)+1)),"")," ",IFERROR(INDEX(Накл!$C$9:$C$550,SMALL(IF(Накл!$B$9:$B$550=A187,ROW(Накл!$B$9:$B$550)-ROW(Накл!$B$9)+1),ROW(D192)-ROW(A187)+1)),"")," ",IFERROR(INDEX(Накл!$C$9:$C$550,SMALL(IF(Накл!$B$9:$B$550=A187,ROW(Накл!$B$9:$B$550)-ROW(Накл!$B$9)+1),ROW(D193)-ROW(A187)+1)),"")," ",IFERROR(INDEX(Накл!$C$9:$C$550,SMALL(IF(Накл!$B$9:$B$550=A187,ROW(Накл!$B$9:$B$550)-ROW(Накл!$B$9)+1),ROW(D194)-ROW(A187)+1)),"")," ",IFERROR(INDEX(Накл!$C$9:$C$550,SMALL(IF(Накл!$B$9:$B$550=A187,ROW(Накл!$B$9:$B$550)-ROW(Накл!$B$9)+1),ROW(D195)-ROW(A187)+1)),"")," ",IFERROR(INDEX(Накл!$C$9:$C$550,SMALL(IF(Накл!$B$9:$B$550=A187,ROW(Накл!$B$9:$B$550)-ROW(Накл!$B$9)+1),ROW(D196)-ROW(A187)+1)),""))</f>
        <v xml:space="preserve">         </v>
      </c>
      <c r="E187" s="26" t="str">
        <f t="array" ref="E187">IF(LEN(D187)&lt;10,CONCATENATE(IFERROR(INDEX(Накл!$C$9:$C$550,SMALL(IF(Накл!$A$9:$A$550=VALUE(LEFT(A187,8)),ROW(Накл!$A$9:$A$550)-ROW(Накл!$A$9)+1),ROW(E187)-ROW(B187)+1)),"")," ",IFERROR(INDEX(Накл!$C$9:$C$550,SMALL(IF(Накл!$A$9:$A$550=VALUE(LEFT(A187,8)),ROW(Накл!$A$9:$A$550)-ROW(Накл!$A$9)+1),ROW(E188)-ROW(B187)+1)),"")," ",IFERROR(INDEX(Накл!$C$9:$C$550,SMALL(IF(Накл!$A$9:$A$550=VALUE(LEFT(A187,8)),ROW(Накл!$A$9:$A$550)-ROW(Накл!$A$9)+1),ROW(E189)-ROW(B187)+1)),"")," ",IFERROR(INDEX(Накл!$C$9:$C$550,SMALL(IF(Накл!$A$9:$A$550=VALUE(LEFT(A187,8)),ROW(Накл!$A$9:$A$550)-ROW(Накл!$A$9)+1),ROW(E190)-ROW(B187)+1)),"")),"")</f>
        <v xml:space="preserve">   </v>
      </c>
    </row>
    <row r="188" spans="1:5">
      <c r="A188" s="26" t="str">
        <f>IFERROR(CONCATENATE(VALUE(SUBSTITUTE(SUBSTITUTE(LEFT(Накл!G195,11),".",""),"-",""))," ",Накл!J195),"-")</f>
        <v>-</v>
      </c>
      <c r="B188" s="26" t="str">
        <f>IFERROR(VLOOKUP(VALUE(LEFT(A188,8)),Накл!$A$9:$D$550,4,0),"-")</f>
        <v>-</v>
      </c>
      <c r="C188" s="26">
        <f>Накл!J195</f>
        <v>0</v>
      </c>
      <c r="D188" s="33" t="str">
        <f t="array" ref="D188">CONCATENATE(IFERROR(INDEX(Накл!$C$9:$C$550,SMALL(IF(Накл!$B$9:$B$550=A188,ROW(Накл!$B$9:$B$550)-ROW(Накл!$B$9)+1),ROW(D188)-ROW(A188)+1)),"")," ",IFERROR(INDEX(Накл!$C$9:$C$550,SMALL(IF(Накл!$B$9:$B$550=A188,ROW(Накл!$B$9:$B$550)-ROW(Накл!$B$9)+1),ROW(D189)-ROW(A188)+1)),"")," ",IFERROR(INDEX(Накл!$C$9:$C$550,SMALL(IF(Накл!$B$9:$B$550=A188,ROW(Накл!$B$9:$B$550)-ROW(Накл!$B$9)+1),ROW(D190)-ROW(A188)+1)),"")," ",IFERROR(INDEX(Накл!$C$9:$C$550,SMALL(IF(Накл!$B$9:$B$550=A188,ROW(Накл!$B$9:$B$550)-ROW(Накл!$B$9)+1),ROW(D191)-ROW(A188)+1)),"")," ",IFERROR(INDEX(Накл!$C$9:$C$550,SMALL(IF(Накл!$B$9:$B$550=A188,ROW(Накл!$B$9:$B$550)-ROW(Накл!$B$9)+1),ROW(D192)-ROW(A188)+1)),"")," ",IFERROR(INDEX(Накл!$C$9:$C$550,SMALL(IF(Накл!$B$9:$B$550=A188,ROW(Накл!$B$9:$B$550)-ROW(Накл!$B$9)+1),ROW(D193)-ROW(A188)+1)),"")," ",IFERROR(INDEX(Накл!$C$9:$C$550,SMALL(IF(Накл!$B$9:$B$550=A188,ROW(Накл!$B$9:$B$550)-ROW(Накл!$B$9)+1),ROW(D194)-ROW(A188)+1)),"")," ",IFERROR(INDEX(Накл!$C$9:$C$550,SMALL(IF(Накл!$B$9:$B$550=A188,ROW(Накл!$B$9:$B$550)-ROW(Накл!$B$9)+1),ROW(D195)-ROW(A188)+1)),"")," ",IFERROR(INDEX(Накл!$C$9:$C$550,SMALL(IF(Накл!$B$9:$B$550=A188,ROW(Накл!$B$9:$B$550)-ROW(Накл!$B$9)+1),ROW(D196)-ROW(A188)+1)),"")," ",IFERROR(INDEX(Накл!$C$9:$C$550,SMALL(IF(Накл!$B$9:$B$550=A188,ROW(Накл!$B$9:$B$550)-ROW(Накл!$B$9)+1),ROW(D197)-ROW(A188)+1)),""))</f>
        <v xml:space="preserve">         </v>
      </c>
      <c r="E188" s="26" t="str">
        <f t="array" ref="E188">IF(LEN(D188)&lt;10,CONCATENATE(IFERROR(INDEX(Накл!$C$9:$C$550,SMALL(IF(Накл!$A$9:$A$550=VALUE(LEFT(A188,8)),ROW(Накл!$A$9:$A$550)-ROW(Накл!$A$9)+1),ROW(E188)-ROW(B188)+1)),"")," ",IFERROR(INDEX(Накл!$C$9:$C$550,SMALL(IF(Накл!$A$9:$A$550=VALUE(LEFT(A188,8)),ROW(Накл!$A$9:$A$550)-ROW(Накл!$A$9)+1),ROW(E189)-ROW(B188)+1)),"")," ",IFERROR(INDEX(Накл!$C$9:$C$550,SMALL(IF(Накл!$A$9:$A$550=VALUE(LEFT(A188,8)),ROW(Накл!$A$9:$A$550)-ROW(Накл!$A$9)+1),ROW(E190)-ROW(B188)+1)),"")," ",IFERROR(INDEX(Накл!$C$9:$C$550,SMALL(IF(Накл!$A$9:$A$550=VALUE(LEFT(A188,8)),ROW(Накл!$A$9:$A$550)-ROW(Накл!$A$9)+1),ROW(E191)-ROW(B188)+1)),"")),"")</f>
        <v xml:space="preserve">   </v>
      </c>
    </row>
    <row r="189" spans="1:5">
      <c r="A189" s="26" t="str">
        <f>IFERROR(CONCATENATE(VALUE(SUBSTITUTE(SUBSTITUTE(LEFT(Накл!G196,11),".",""),"-",""))," ",Накл!J196),"-")</f>
        <v>-</v>
      </c>
      <c r="B189" s="26" t="str">
        <f>IFERROR(VLOOKUP(VALUE(LEFT(A189,8)),Накл!$A$9:$D$550,4,0),"-")</f>
        <v>-</v>
      </c>
      <c r="C189" s="26">
        <f>Накл!J196</f>
        <v>0</v>
      </c>
      <c r="D189" s="33" t="str">
        <f t="array" ref="D189">CONCATENATE(IFERROR(INDEX(Накл!$C$9:$C$550,SMALL(IF(Накл!$B$9:$B$550=A189,ROW(Накл!$B$9:$B$550)-ROW(Накл!$B$9)+1),ROW(D189)-ROW(A189)+1)),"")," ",IFERROR(INDEX(Накл!$C$9:$C$550,SMALL(IF(Накл!$B$9:$B$550=A189,ROW(Накл!$B$9:$B$550)-ROW(Накл!$B$9)+1),ROW(D190)-ROW(A189)+1)),"")," ",IFERROR(INDEX(Накл!$C$9:$C$550,SMALL(IF(Накл!$B$9:$B$550=A189,ROW(Накл!$B$9:$B$550)-ROW(Накл!$B$9)+1),ROW(D191)-ROW(A189)+1)),"")," ",IFERROR(INDEX(Накл!$C$9:$C$550,SMALL(IF(Накл!$B$9:$B$550=A189,ROW(Накл!$B$9:$B$550)-ROW(Накл!$B$9)+1),ROW(D192)-ROW(A189)+1)),"")," ",IFERROR(INDEX(Накл!$C$9:$C$550,SMALL(IF(Накл!$B$9:$B$550=A189,ROW(Накл!$B$9:$B$550)-ROW(Накл!$B$9)+1),ROW(D193)-ROW(A189)+1)),"")," ",IFERROR(INDEX(Накл!$C$9:$C$550,SMALL(IF(Накл!$B$9:$B$550=A189,ROW(Накл!$B$9:$B$550)-ROW(Накл!$B$9)+1),ROW(D194)-ROW(A189)+1)),"")," ",IFERROR(INDEX(Накл!$C$9:$C$550,SMALL(IF(Накл!$B$9:$B$550=A189,ROW(Накл!$B$9:$B$550)-ROW(Накл!$B$9)+1),ROW(D195)-ROW(A189)+1)),"")," ",IFERROR(INDEX(Накл!$C$9:$C$550,SMALL(IF(Накл!$B$9:$B$550=A189,ROW(Накл!$B$9:$B$550)-ROW(Накл!$B$9)+1),ROW(D196)-ROW(A189)+1)),"")," ",IFERROR(INDEX(Накл!$C$9:$C$550,SMALL(IF(Накл!$B$9:$B$550=A189,ROW(Накл!$B$9:$B$550)-ROW(Накл!$B$9)+1),ROW(D197)-ROW(A189)+1)),"")," ",IFERROR(INDEX(Накл!$C$9:$C$550,SMALL(IF(Накл!$B$9:$B$550=A189,ROW(Накл!$B$9:$B$550)-ROW(Накл!$B$9)+1),ROW(D198)-ROW(A189)+1)),""))</f>
        <v xml:space="preserve">         </v>
      </c>
      <c r="E189" s="26" t="str">
        <f t="array" ref="E189">IF(LEN(D189)&lt;10,CONCATENATE(IFERROR(INDEX(Накл!$C$9:$C$550,SMALL(IF(Накл!$A$9:$A$550=VALUE(LEFT(A189,8)),ROW(Накл!$A$9:$A$550)-ROW(Накл!$A$9)+1),ROW(E189)-ROW(B189)+1)),"")," ",IFERROR(INDEX(Накл!$C$9:$C$550,SMALL(IF(Накл!$A$9:$A$550=VALUE(LEFT(A189,8)),ROW(Накл!$A$9:$A$550)-ROW(Накл!$A$9)+1),ROW(E190)-ROW(B189)+1)),"")," ",IFERROR(INDEX(Накл!$C$9:$C$550,SMALL(IF(Накл!$A$9:$A$550=VALUE(LEFT(A189,8)),ROW(Накл!$A$9:$A$550)-ROW(Накл!$A$9)+1),ROW(E191)-ROW(B189)+1)),"")," ",IFERROR(INDEX(Накл!$C$9:$C$550,SMALL(IF(Накл!$A$9:$A$550=VALUE(LEFT(A189,8)),ROW(Накл!$A$9:$A$550)-ROW(Накл!$A$9)+1),ROW(E192)-ROW(B189)+1)),"")),"")</f>
        <v xml:space="preserve">   </v>
      </c>
    </row>
    <row r="190" spans="1:5">
      <c r="A190" s="26" t="str">
        <f>IFERROR(CONCATENATE(VALUE(SUBSTITUTE(SUBSTITUTE(LEFT(Накл!G197,11),".",""),"-",""))," ",Накл!J197),"-")</f>
        <v>-</v>
      </c>
      <c r="B190" s="26" t="str">
        <f>IFERROR(VLOOKUP(VALUE(LEFT(A190,8)),Накл!$A$9:$D$550,4,0),"-")</f>
        <v>-</v>
      </c>
      <c r="C190" s="26">
        <f>Накл!J197</f>
        <v>0</v>
      </c>
      <c r="D190" s="33" t="str">
        <f t="array" ref="D190">CONCATENATE(IFERROR(INDEX(Накл!$C$9:$C$550,SMALL(IF(Накл!$B$9:$B$550=A190,ROW(Накл!$B$9:$B$550)-ROW(Накл!$B$9)+1),ROW(D190)-ROW(A190)+1)),"")," ",IFERROR(INDEX(Накл!$C$9:$C$550,SMALL(IF(Накл!$B$9:$B$550=A190,ROW(Накл!$B$9:$B$550)-ROW(Накл!$B$9)+1),ROW(D191)-ROW(A190)+1)),"")," ",IFERROR(INDEX(Накл!$C$9:$C$550,SMALL(IF(Накл!$B$9:$B$550=A190,ROW(Накл!$B$9:$B$550)-ROW(Накл!$B$9)+1),ROW(D192)-ROW(A190)+1)),"")," ",IFERROR(INDEX(Накл!$C$9:$C$550,SMALL(IF(Накл!$B$9:$B$550=A190,ROW(Накл!$B$9:$B$550)-ROW(Накл!$B$9)+1),ROW(D193)-ROW(A190)+1)),"")," ",IFERROR(INDEX(Накл!$C$9:$C$550,SMALL(IF(Накл!$B$9:$B$550=A190,ROW(Накл!$B$9:$B$550)-ROW(Накл!$B$9)+1),ROW(D194)-ROW(A190)+1)),"")," ",IFERROR(INDEX(Накл!$C$9:$C$550,SMALL(IF(Накл!$B$9:$B$550=A190,ROW(Накл!$B$9:$B$550)-ROW(Накл!$B$9)+1),ROW(D195)-ROW(A190)+1)),"")," ",IFERROR(INDEX(Накл!$C$9:$C$550,SMALL(IF(Накл!$B$9:$B$550=A190,ROW(Накл!$B$9:$B$550)-ROW(Накл!$B$9)+1),ROW(D196)-ROW(A190)+1)),"")," ",IFERROR(INDEX(Накл!$C$9:$C$550,SMALL(IF(Накл!$B$9:$B$550=A190,ROW(Накл!$B$9:$B$550)-ROW(Накл!$B$9)+1),ROW(D197)-ROW(A190)+1)),"")," ",IFERROR(INDEX(Накл!$C$9:$C$550,SMALL(IF(Накл!$B$9:$B$550=A190,ROW(Накл!$B$9:$B$550)-ROW(Накл!$B$9)+1),ROW(D198)-ROW(A190)+1)),"")," ",IFERROR(INDEX(Накл!$C$9:$C$550,SMALL(IF(Накл!$B$9:$B$550=A190,ROW(Накл!$B$9:$B$550)-ROW(Накл!$B$9)+1),ROW(D199)-ROW(A190)+1)),""))</f>
        <v xml:space="preserve">         </v>
      </c>
      <c r="E190" s="26" t="str">
        <f t="array" ref="E190">IF(LEN(D190)&lt;10,CONCATENATE(IFERROR(INDEX(Накл!$C$9:$C$550,SMALL(IF(Накл!$A$9:$A$550=VALUE(LEFT(A190,8)),ROW(Накл!$A$9:$A$550)-ROW(Накл!$A$9)+1),ROW(E190)-ROW(B190)+1)),"")," ",IFERROR(INDEX(Накл!$C$9:$C$550,SMALL(IF(Накл!$A$9:$A$550=VALUE(LEFT(A190,8)),ROW(Накл!$A$9:$A$550)-ROW(Накл!$A$9)+1),ROW(E191)-ROW(B190)+1)),"")," ",IFERROR(INDEX(Накл!$C$9:$C$550,SMALL(IF(Накл!$A$9:$A$550=VALUE(LEFT(A190,8)),ROW(Накл!$A$9:$A$550)-ROW(Накл!$A$9)+1),ROW(E192)-ROW(B190)+1)),"")," ",IFERROR(INDEX(Накл!$C$9:$C$550,SMALL(IF(Накл!$A$9:$A$550=VALUE(LEFT(A190,8)),ROW(Накл!$A$9:$A$550)-ROW(Накл!$A$9)+1),ROW(E193)-ROW(B190)+1)),"")),"")</f>
        <v xml:space="preserve">   </v>
      </c>
    </row>
    <row r="191" spans="1:5">
      <c r="A191" s="26" t="str">
        <f>IFERROR(CONCATENATE(VALUE(SUBSTITUTE(SUBSTITUTE(LEFT(Накл!G198,11),".",""),"-",""))," ",Накл!J198),"-")</f>
        <v>-</v>
      </c>
      <c r="B191" s="26" t="str">
        <f>IFERROR(VLOOKUP(VALUE(LEFT(A191,8)),Накл!$A$9:$D$550,4,0),"-")</f>
        <v>-</v>
      </c>
      <c r="C191" s="26">
        <f>Накл!J198</f>
        <v>0</v>
      </c>
      <c r="D191" s="33" t="str">
        <f t="array" ref="D191">CONCATENATE(IFERROR(INDEX(Накл!$C$9:$C$550,SMALL(IF(Накл!$B$9:$B$550=A191,ROW(Накл!$B$9:$B$550)-ROW(Накл!$B$9)+1),ROW(D191)-ROW(A191)+1)),"")," ",IFERROR(INDEX(Накл!$C$9:$C$550,SMALL(IF(Накл!$B$9:$B$550=A191,ROW(Накл!$B$9:$B$550)-ROW(Накл!$B$9)+1),ROW(D192)-ROW(A191)+1)),"")," ",IFERROR(INDEX(Накл!$C$9:$C$550,SMALL(IF(Накл!$B$9:$B$550=A191,ROW(Накл!$B$9:$B$550)-ROW(Накл!$B$9)+1),ROW(D193)-ROW(A191)+1)),"")," ",IFERROR(INDEX(Накл!$C$9:$C$550,SMALL(IF(Накл!$B$9:$B$550=A191,ROW(Накл!$B$9:$B$550)-ROW(Накл!$B$9)+1),ROW(D194)-ROW(A191)+1)),"")," ",IFERROR(INDEX(Накл!$C$9:$C$550,SMALL(IF(Накл!$B$9:$B$550=A191,ROW(Накл!$B$9:$B$550)-ROW(Накл!$B$9)+1),ROW(D195)-ROW(A191)+1)),"")," ",IFERROR(INDEX(Накл!$C$9:$C$550,SMALL(IF(Накл!$B$9:$B$550=A191,ROW(Накл!$B$9:$B$550)-ROW(Накл!$B$9)+1),ROW(D196)-ROW(A191)+1)),"")," ",IFERROR(INDEX(Накл!$C$9:$C$550,SMALL(IF(Накл!$B$9:$B$550=A191,ROW(Накл!$B$9:$B$550)-ROW(Накл!$B$9)+1),ROW(D197)-ROW(A191)+1)),"")," ",IFERROR(INDEX(Накл!$C$9:$C$550,SMALL(IF(Накл!$B$9:$B$550=A191,ROW(Накл!$B$9:$B$550)-ROW(Накл!$B$9)+1),ROW(D198)-ROW(A191)+1)),"")," ",IFERROR(INDEX(Накл!$C$9:$C$550,SMALL(IF(Накл!$B$9:$B$550=A191,ROW(Накл!$B$9:$B$550)-ROW(Накл!$B$9)+1),ROW(D199)-ROW(A191)+1)),"")," ",IFERROR(INDEX(Накл!$C$9:$C$550,SMALL(IF(Накл!$B$9:$B$550=A191,ROW(Накл!$B$9:$B$550)-ROW(Накл!$B$9)+1),ROW(D200)-ROW(A191)+1)),""))</f>
        <v xml:space="preserve">         </v>
      </c>
      <c r="E191" s="26" t="str">
        <f t="array" ref="E191">IF(LEN(D191)&lt;10,CONCATENATE(IFERROR(INDEX(Накл!$C$9:$C$550,SMALL(IF(Накл!$A$9:$A$550=VALUE(LEFT(A191,8)),ROW(Накл!$A$9:$A$550)-ROW(Накл!$A$9)+1),ROW(E191)-ROW(B191)+1)),"")," ",IFERROR(INDEX(Накл!$C$9:$C$550,SMALL(IF(Накл!$A$9:$A$550=VALUE(LEFT(A191,8)),ROW(Накл!$A$9:$A$550)-ROW(Накл!$A$9)+1),ROW(E192)-ROW(B191)+1)),"")," ",IFERROR(INDEX(Накл!$C$9:$C$550,SMALL(IF(Накл!$A$9:$A$550=VALUE(LEFT(A191,8)),ROW(Накл!$A$9:$A$550)-ROW(Накл!$A$9)+1),ROW(E193)-ROW(B191)+1)),"")," ",IFERROR(INDEX(Накл!$C$9:$C$550,SMALL(IF(Накл!$A$9:$A$550=VALUE(LEFT(A191,8)),ROW(Накл!$A$9:$A$550)-ROW(Накл!$A$9)+1),ROW(E194)-ROW(B191)+1)),"")),"")</f>
        <v xml:space="preserve">   </v>
      </c>
    </row>
    <row r="192" spans="1:5">
      <c r="A192" s="26" t="str">
        <f>IFERROR(CONCATENATE(VALUE(SUBSTITUTE(SUBSTITUTE(LEFT(Накл!G199,11),".",""),"-",""))," ",Накл!J199),"-")</f>
        <v>-</v>
      </c>
      <c r="B192" s="26" t="str">
        <f>IFERROR(VLOOKUP(VALUE(LEFT(A192,8)),Накл!$A$9:$D$550,4,0),"-")</f>
        <v>-</v>
      </c>
      <c r="C192" s="26">
        <f>Накл!J199</f>
        <v>0</v>
      </c>
      <c r="D192" s="33" t="str">
        <f t="array" ref="D192">CONCATENATE(IFERROR(INDEX(Накл!$C$9:$C$550,SMALL(IF(Накл!$B$9:$B$550=A192,ROW(Накл!$B$9:$B$550)-ROW(Накл!$B$9)+1),ROW(D192)-ROW(A192)+1)),"")," ",IFERROR(INDEX(Накл!$C$9:$C$550,SMALL(IF(Накл!$B$9:$B$550=A192,ROW(Накл!$B$9:$B$550)-ROW(Накл!$B$9)+1),ROW(D193)-ROW(A192)+1)),"")," ",IFERROR(INDEX(Накл!$C$9:$C$550,SMALL(IF(Накл!$B$9:$B$550=A192,ROW(Накл!$B$9:$B$550)-ROW(Накл!$B$9)+1),ROW(D194)-ROW(A192)+1)),"")," ",IFERROR(INDEX(Накл!$C$9:$C$550,SMALL(IF(Накл!$B$9:$B$550=A192,ROW(Накл!$B$9:$B$550)-ROW(Накл!$B$9)+1),ROW(D195)-ROW(A192)+1)),"")," ",IFERROR(INDEX(Накл!$C$9:$C$550,SMALL(IF(Накл!$B$9:$B$550=A192,ROW(Накл!$B$9:$B$550)-ROW(Накл!$B$9)+1),ROW(D196)-ROW(A192)+1)),"")," ",IFERROR(INDEX(Накл!$C$9:$C$550,SMALL(IF(Накл!$B$9:$B$550=A192,ROW(Накл!$B$9:$B$550)-ROW(Накл!$B$9)+1),ROW(D197)-ROW(A192)+1)),"")," ",IFERROR(INDEX(Накл!$C$9:$C$550,SMALL(IF(Накл!$B$9:$B$550=A192,ROW(Накл!$B$9:$B$550)-ROW(Накл!$B$9)+1),ROW(D198)-ROW(A192)+1)),"")," ",IFERROR(INDEX(Накл!$C$9:$C$550,SMALL(IF(Накл!$B$9:$B$550=A192,ROW(Накл!$B$9:$B$550)-ROW(Накл!$B$9)+1),ROW(D199)-ROW(A192)+1)),"")," ",IFERROR(INDEX(Накл!$C$9:$C$550,SMALL(IF(Накл!$B$9:$B$550=A192,ROW(Накл!$B$9:$B$550)-ROW(Накл!$B$9)+1),ROW(D200)-ROW(A192)+1)),"")," ",IFERROR(INDEX(Накл!$C$9:$C$550,SMALL(IF(Накл!$B$9:$B$550=A192,ROW(Накл!$B$9:$B$550)-ROW(Накл!$B$9)+1),ROW(D201)-ROW(A192)+1)),""))</f>
        <v xml:space="preserve">         </v>
      </c>
      <c r="E192" s="26" t="str">
        <f t="array" ref="E192">IF(LEN(D192)&lt;10,CONCATENATE(IFERROR(INDEX(Накл!$C$9:$C$550,SMALL(IF(Накл!$A$9:$A$550=VALUE(LEFT(A192,8)),ROW(Накл!$A$9:$A$550)-ROW(Накл!$A$9)+1),ROW(E192)-ROW(B192)+1)),"")," ",IFERROR(INDEX(Накл!$C$9:$C$550,SMALL(IF(Накл!$A$9:$A$550=VALUE(LEFT(A192,8)),ROW(Накл!$A$9:$A$550)-ROW(Накл!$A$9)+1),ROW(E193)-ROW(B192)+1)),"")," ",IFERROR(INDEX(Накл!$C$9:$C$550,SMALL(IF(Накл!$A$9:$A$550=VALUE(LEFT(A192,8)),ROW(Накл!$A$9:$A$550)-ROW(Накл!$A$9)+1),ROW(E194)-ROW(B192)+1)),"")," ",IFERROR(INDEX(Накл!$C$9:$C$550,SMALL(IF(Накл!$A$9:$A$550=VALUE(LEFT(A192,8)),ROW(Накл!$A$9:$A$550)-ROW(Накл!$A$9)+1),ROW(E195)-ROW(B192)+1)),"")),"")</f>
        <v xml:space="preserve">   </v>
      </c>
    </row>
    <row r="193" spans="1:5">
      <c r="A193" s="26" t="str">
        <f>IFERROR(CONCATENATE(VALUE(SUBSTITUTE(SUBSTITUTE(LEFT(Накл!G200,11),".",""),"-",""))," ",Накл!J200),"-")</f>
        <v>-</v>
      </c>
      <c r="B193" s="26" t="str">
        <f>IFERROR(VLOOKUP(VALUE(LEFT(A193,8)),Накл!$A$9:$D$550,4,0),"-")</f>
        <v>-</v>
      </c>
      <c r="C193" s="26">
        <f>Накл!J200</f>
        <v>0</v>
      </c>
      <c r="D193" s="33" t="str">
        <f t="array" ref="D193">CONCATENATE(IFERROR(INDEX(Накл!$C$9:$C$550,SMALL(IF(Накл!$B$9:$B$550=A193,ROW(Накл!$B$9:$B$550)-ROW(Накл!$B$9)+1),ROW(D193)-ROW(A193)+1)),"")," ",IFERROR(INDEX(Накл!$C$9:$C$550,SMALL(IF(Накл!$B$9:$B$550=A193,ROW(Накл!$B$9:$B$550)-ROW(Накл!$B$9)+1),ROW(D194)-ROW(A193)+1)),"")," ",IFERROR(INDEX(Накл!$C$9:$C$550,SMALL(IF(Накл!$B$9:$B$550=A193,ROW(Накл!$B$9:$B$550)-ROW(Накл!$B$9)+1),ROW(D195)-ROW(A193)+1)),"")," ",IFERROR(INDEX(Накл!$C$9:$C$550,SMALL(IF(Накл!$B$9:$B$550=A193,ROW(Накл!$B$9:$B$550)-ROW(Накл!$B$9)+1),ROW(D196)-ROW(A193)+1)),"")," ",IFERROR(INDEX(Накл!$C$9:$C$550,SMALL(IF(Накл!$B$9:$B$550=A193,ROW(Накл!$B$9:$B$550)-ROW(Накл!$B$9)+1),ROW(D197)-ROW(A193)+1)),"")," ",IFERROR(INDEX(Накл!$C$9:$C$550,SMALL(IF(Накл!$B$9:$B$550=A193,ROW(Накл!$B$9:$B$550)-ROW(Накл!$B$9)+1),ROW(D198)-ROW(A193)+1)),"")," ",IFERROR(INDEX(Накл!$C$9:$C$550,SMALL(IF(Накл!$B$9:$B$550=A193,ROW(Накл!$B$9:$B$550)-ROW(Накл!$B$9)+1),ROW(D199)-ROW(A193)+1)),"")," ",IFERROR(INDEX(Накл!$C$9:$C$550,SMALL(IF(Накл!$B$9:$B$550=A193,ROW(Накл!$B$9:$B$550)-ROW(Накл!$B$9)+1),ROW(D200)-ROW(A193)+1)),"")," ",IFERROR(INDEX(Накл!$C$9:$C$550,SMALL(IF(Накл!$B$9:$B$550=A193,ROW(Накл!$B$9:$B$550)-ROW(Накл!$B$9)+1),ROW(D201)-ROW(A193)+1)),"")," ",IFERROR(INDEX(Накл!$C$9:$C$550,SMALL(IF(Накл!$B$9:$B$550=A193,ROW(Накл!$B$9:$B$550)-ROW(Накл!$B$9)+1),ROW(D202)-ROW(A193)+1)),""))</f>
        <v xml:space="preserve">         </v>
      </c>
      <c r="E193" s="26" t="str">
        <f t="array" ref="E193">IF(LEN(D193)&lt;10,CONCATENATE(IFERROR(INDEX(Накл!$C$9:$C$550,SMALL(IF(Накл!$A$9:$A$550=VALUE(LEFT(A193,8)),ROW(Накл!$A$9:$A$550)-ROW(Накл!$A$9)+1),ROW(E193)-ROW(B193)+1)),"")," ",IFERROR(INDEX(Накл!$C$9:$C$550,SMALL(IF(Накл!$A$9:$A$550=VALUE(LEFT(A193,8)),ROW(Накл!$A$9:$A$550)-ROW(Накл!$A$9)+1),ROW(E194)-ROW(B193)+1)),"")," ",IFERROR(INDEX(Накл!$C$9:$C$550,SMALL(IF(Накл!$A$9:$A$550=VALUE(LEFT(A193,8)),ROW(Накл!$A$9:$A$550)-ROW(Накл!$A$9)+1),ROW(E195)-ROW(B193)+1)),"")," ",IFERROR(INDEX(Накл!$C$9:$C$550,SMALL(IF(Накл!$A$9:$A$550=VALUE(LEFT(A193,8)),ROW(Накл!$A$9:$A$550)-ROW(Накл!$A$9)+1),ROW(E196)-ROW(B193)+1)),"")),"")</f>
        <v xml:space="preserve">   </v>
      </c>
    </row>
    <row r="194" spans="1:5">
      <c r="A194" s="26" t="str">
        <f>IFERROR(CONCATENATE(VALUE(SUBSTITUTE(SUBSTITUTE(LEFT(Накл!G201,11),".",""),"-",""))," ",Накл!J201),"-")</f>
        <v>-</v>
      </c>
      <c r="B194" s="26" t="str">
        <f>IFERROR(VLOOKUP(VALUE(LEFT(A194,8)),Накл!$A$9:$D$550,4,0),"-")</f>
        <v>-</v>
      </c>
      <c r="C194" s="26">
        <f>Накл!J201</f>
        <v>0</v>
      </c>
      <c r="D194" s="33" t="str">
        <f t="array" ref="D194">CONCATENATE(IFERROR(INDEX(Накл!$C$9:$C$550,SMALL(IF(Накл!$B$9:$B$550=A194,ROW(Накл!$B$9:$B$550)-ROW(Накл!$B$9)+1),ROW(D194)-ROW(A194)+1)),"")," ",IFERROR(INDEX(Накл!$C$9:$C$550,SMALL(IF(Накл!$B$9:$B$550=A194,ROW(Накл!$B$9:$B$550)-ROW(Накл!$B$9)+1),ROW(D195)-ROW(A194)+1)),"")," ",IFERROR(INDEX(Накл!$C$9:$C$550,SMALL(IF(Накл!$B$9:$B$550=A194,ROW(Накл!$B$9:$B$550)-ROW(Накл!$B$9)+1),ROW(D196)-ROW(A194)+1)),"")," ",IFERROR(INDEX(Накл!$C$9:$C$550,SMALL(IF(Накл!$B$9:$B$550=A194,ROW(Накл!$B$9:$B$550)-ROW(Накл!$B$9)+1),ROW(D197)-ROW(A194)+1)),"")," ",IFERROR(INDEX(Накл!$C$9:$C$550,SMALL(IF(Накл!$B$9:$B$550=A194,ROW(Накл!$B$9:$B$550)-ROW(Накл!$B$9)+1),ROW(D198)-ROW(A194)+1)),"")," ",IFERROR(INDEX(Накл!$C$9:$C$550,SMALL(IF(Накл!$B$9:$B$550=A194,ROW(Накл!$B$9:$B$550)-ROW(Накл!$B$9)+1),ROW(D199)-ROW(A194)+1)),"")," ",IFERROR(INDEX(Накл!$C$9:$C$550,SMALL(IF(Накл!$B$9:$B$550=A194,ROW(Накл!$B$9:$B$550)-ROW(Накл!$B$9)+1),ROW(D200)-ROW(A194)+1)),"")," ",IFERROR(INDEX(Накл!$C$9:$C$550,SMALL(IF(Накл!$B$9:$B$550=A194,ROW(Накл!$B$9:$B$550)-ROW(Накл!$B$9)+1),ROW(D201)-ROW(A194)+1)),"")," ",IFERROR(INDEX(Накл!$C$9:$C$550,SMALL(IF(Накл!$B$9:$B$550=A194,ROW(Накл!$B$9:$B$550)-ROW(Накл!$B$9)+1),ROW(D202)-ROW(A194)+1)),"")," ",IFERROR(INDEX(Накл!$C$9:$C$550,SMALL(IF(Накл!$B$9:$B$550=A194,ROW(Накл!$B$9:$B$550)-ROW(Накл!$B$9)+1),ROW(D203)-ROW(A194)+1)),""))</f>
        <v xml:space="preserve">         </v>
      </c>
      <c r="E194" s="26" t="str">
        <f t="array" ref="E194">IF(LEN(D194)&lt;10,CONCATENATE(IFERROR(INDEX(Накл!$C$9:$C$550,SMALL(IF(Накл!$A$9:$A$550=VALUE(LEFT(A194,8)),ROW(Накл!$A$9:$A$550)-ROW(Накл!$A$9)+1),ROW(E194)-ROW(B194)+1)),"")," ",IFERROR(INDEX(Накл!$C$9:$C$550,SMALL(IF(Накл!$A$9:$A$550=VALUE(LEFT(A194,8)),ROW(Накл!$A$9:$A$550)-ROW(Накл!$A$9)+1),ROW(E195)-ROW(B194)+1)),"")," ",IFERROR(INDEX(Накл!$C$9:$C$550,SMALL(IF(Накл!$A$9:$A$550=VALUE(LEFT(A194,8)),ROW(Накл!$A$9:$A$550)-ROW(Накл!$A$9)+1),ROW(E196)-ROW(B194)+1)),"")," ",IFERROR(INDEX(Накл!$C$9:$C$550,SMALL(IF(Накл!$A$9:$A$550=VALUE(LEFT(A194,8)),ROW(Накл!$A$9:$A$550)-ROW(Накл!$A$9)+1),ROW(E197)-ROW(B194)+1)),"")),"")</f>
        <v xml:space="preserve">   </v>
      </c>
    </row>
    <row r="195" spans="1:5">
      <c r="A195" s="26" t="str">
        <f>IFERROR(CONCATENATE(VALUE(SUBSTITUTE(SUBSTITUTE(LEFT(Накл!G202,11),".",""),"-",""))," ",Накл!J202),"-")</f>
        <v>-</v>
      </c>
      <c r="B195" s="26" t="str">
        <f>IFERROR(VLOOKUP(VALUE(LEFT(A195,8)),Накл!$A$9:$D$550,4,0),"-")</f>
        <v>-</v>
      </c>
      <c r="C195" s="26">
        <f>Накл!J202</f>
        <v>0</v>
      </c>
      <c r="D195" s="33" t="str">
        <f t="array" ref="D195">CONCATENATE(IFERROR(INDEX(Накл!$C$9:$C$550,SMALL(IF(Накл!$B$9:$B$550=A195,ROW(Накл!$B$9:$B$550)-ROW(Накл!$B$9)+1),ROW(D195)-ROW(A195)+1)),"")," ",IFERROR(INDEX(Накл!$C$9:$C$550,SMALL(IF(Накл!$B$9:$B$550=A195,ROW(Накл!$B$9:$B$550)-ROW(Накл!$B$9)+1),ROW(D196)-ROW(A195)+1)),"")," ",IFERROR(INDEX(Накл!$C$9:$C$550,SMALL(IF(Накл!$B$9:$B$550=A195,ROW(Накл!$B$9:$B$550)-ROW(Накл!$B$9)+1),ROW(D197)-ROW(A195)+1)),"")," ",IFERROR(INDEX(Накл!$C$9:$C$550,SMALL(IF(Накл!$B$9:$B$550=A195,ROW(Накл!$B$9:$B$550)-ROW(Накл!$B$9)+1),ROW(D198)-ROW(A195)+1)),"")," ",IFERROR(INDEX(Накл!$C$9:$C$550,SMALL(IF(Накл!$B$9:$B$550=A195,ROW(Накл!$B$9:$B$550)-ROW(Накл!$B$9)+1),ROW(D199)-ROW(A195)+1)),"")," ",IFERROR(INDEX(Накл!$C$9:$C$550,SMALL(IF(Накл!$B$9:$B$550=A195,ROW(Накл!$B$9:$B$550)-ROW(Накл!$B$9)+1),ROW(D200)-ROW(A195)+1)),"")," ",IFERROR(INDEX(Накл!$C$9:$C$550,SMALL(IF(Накл!$B$9:$B$550=A195,ROW(Накл!$B$9:$B$550)-ROW(Накл!$B$9)+1),ROW(D201)-ROW(A195)+1)),"")," ",IFERROR(INDEX(Накл!$C$9:$C$550,SMALL(IF(Накл!$B$9:$B$550=A195,ROW(Накл!$B$9:$B$550)-ROW(Накл!$B$9)+1),ROW(D202)-ROW(A195)+1)),"")," ",IFERROR(INDEX(Накл!$C$9:$C$550,SMALL(IF(Накл!$B$9:$B$550=A195,ROW(Накл!$B$9:$B$550)-ROW(Накл!$B$9)+1),ROW(D203)-ROW(A195)+1)),"")," ",IFERROR(INDEX(Накл!$C$9:$C$550,SMALL(IF(Накл!$B$9:$B$550=A195,ROW(Накл!$B$9:$B$550)-ROW(Накл!$B$9)+1),ROW(D204)-ROW(A195)+1)),""))</f>
        <v xml:space="preserve">         </v>
      </c>
      <c r="E195" s="26" t="str">
        <f t="array" ref="E195">IF(LEN(D195)&lt;10,CONCATENATE(IFERROR(INDEX(Накл!$C$9:$C$550,SMALL(IF(Накл!$A$9:$A$550=VALUE(LEFT(A195,8)),ROW(Накл!$A$9:$A$550)-ROW(Накл!$A$9)+1),ROW(E195)-ROW(B195)+1)),"")," ",IFERROR(INDEX(Накл!$C$9:$C$550,SMALL(IF(Накл!$A$9:$A$550=VALUE(LEFT(A195,8)),ROW(Накл!$A$9:$A$550)-ROW(Накл!$A$9)+1),ROW(E196)-ROW(B195)+1)),"")," ",IFERROR(INDEX(Накл!$C$9:$C$550,SMALL(IF(Накл!$A$9:$A$550=VALUE(LEFT(A195,8)),ROW(Накл!$A$9:$A$550)-ROW(Накл!$A$9)+1),ROW(E197)-ROW(B195)+1)),"")," ",IFERROR(INDEX(Накл!$C$9:$C$550,SMALL(IF(Накл!$A$9:$A$550=VALUE(LEFT(A195,8)),ROW(Накл!$A$9:$A$550)-ROW(Накл!$A$9)+1),ROW(E198)-ROW(B195)+1)),"")),"")</f>
        <v xml:space="preserve">   </v>
      </c>
    </row>
    <row r="196" spans="1:5">
      <c r="A196" s="26" t="str">
        <f>IFERROR(CONCATENATE(VALUE(SUBSTITUTE(SUBSTITUTE(LEFT(Накл!G203,11),".",""),"-",""))," ",Накл!J203),"-")</f>
        <v>-</v>
      </c>
      <c r="B196" s="26" t="str">
        <f>IFERROR(VLOOKUP(VALUE(LEFT(A196,8)),Накл!$A$9:$D$550,4,0),"-")</f>
        <v>-</v>
      </c>
      <c r="C196" s="26">
        <f>Накл!J203</f>
        <v>0</v>
      </c>
      <c r="D196" s="33" t="str">
        <f t="array" ref="D196">CONCATENATE(IFERROR(INDEX(Накл!$C$9:$C$550,SMALL(IF(Накл!$B$9:$B$550=A196,ROW(Накл!$B$9:$B$550)-ROW(Накл!$B$9)+1),ROW(D196)-ROW(A196)+1)),"")," ",IFERROR(INDEX(Накл!$C$9:$C$550,SMALL(IF(Накл!$B$9:$B$550=A196,ROW(Накл!$B$9:$B$550)-ROW(Накл!$B$9)+1),ROW(D197)-ROW(A196)+1)),"")," ",IFERROR(INDEX(Накл!$C$9:$C$550,SMALL(IF(Накл!$B$9:$B$550=A196,ROW(Накл!$B$9:$B$550)-ROW(Накл!$B$9)+1),ROW(D198)-ROW(A196)+1)),"")," ",IFERROR(INDEX(Накл!$C$9:$C$550,SMALL(IF(Накл!$B$9:$B$550=A196,ROW(Накл!$B$9:$B$550)-ROW(Накл!$B$9)+1),ROW(D199)-ROW(A196)+1)),"")," ",IFERROR(INDEX(Накл!$C$9:$C$550,SMALL(IF(Накл!$B$9:$B$550=A196,ROW(Накл!$B$9:$B$550)-ROW(Накл!$B$9)+1),ROW(D200)-ROW(A196)+1)),"")," ",IFERROR(INDEX(Накл!$C$9:$C$550,SMALL(IF(Накл!$B$9:$B$550=A196,ROW(Накл!$B$9:$B$550)-ROW(Накл!$B$9)+1),ROW(D201)-ROW(A196)+1)),"")," ",IFERROR(INDEX(Накл!$C$9:$C$550,SMALL(IF(Накл!$B$9:$B$550=A196,ROW(Накл!$B$9:$B$550)-ROW(Накл!$B$9)+1),ROW(D202)-ROW(A196)+1)),"")," ",IFERROR(INDEX(Накл!$C$9:$C$550,SMALL(IF(Накл!$B$9:$B$550=A196,ROW(Накл!$B$9:$B$550)-ROW(Накл!$B$9)+1),ROW(D203)-ROW(A196)+1)),"")," ",IFERROR(INDEX(Накл!$C$9:$C$550,SMALL(IF(Накл!$B$9:$B$550=A196,ROW(Накл!$B$9:$B$550)-ROW(Накл!$B$9)+1),ROW(D204)-ROW(A196)+1)),"")," ",IFERROR(INDEX(Накл!$C$9:$C$550,SMALL(IF(Накл!$B$9:$B$550=A196,ROW(Накл!$B$9:$B$550)-ROW(Накл!$B$9)+1),ROW(D205)-ROW(A196)+1)),""))</f>
        <v xml:space="preserve">         </v>
      </c>
      <c r="E196" s="26" t="str">
        <f t="array" ref="E196">IF(LEN(D196)&lt;10,CONCATENATE(IFERROR(INDEX(Накл!$C$9:$C$550,SMALL(IF(Накл!$A$9:$A$550=VALUE(LEFT(A196,8)),ROW(Накл!$A$9:$A$550)-ROW(Накл!$A$9)+1),ROW(E196)-ROW(B196)+1)),"")," ",IFERROR(INDEX(Накл!$C$9:$C$550,SMALL(IF(Накл!$A$9:$A$550=VALUE(LEFT(A196,8)),ROW(Накл!$A$9:$A$550)-ROW(Накл!$A$9)+1),ROW(E197)-ROW(B196)+1)),"")," ",IFERROR(INDEX(Накл!$C$9:$C$550,SMALL(IF(Накл!$A$9:$A$550=VALUE(LEFT(A196,8)),ROW(Накл!$A$9:$A$550)-ROW(Накл!$A$9)+1),ROW(E198)-ROW(B196)+1)),"")," ",IFERROR(INDEX(Накл!$C$9:$C$550,SMALL(IF(Накл!$A$9:$A$550=VALUE(LEFT(A196,8)),ROW(Накл!$A$9:$A$550)-ROW(Накл!$A$9)+1),ROW(E199)-ROW(B196)+1)),"")),"")</f>
        <v xml:space="preserve">   </v>
      </c>
    </row>
    <row r="197" spans="1:5">
      <c r="A197" s="26" t="str">
        <f>IFERROR(CONCATENATE(VALUE(SUBSTITUTE(SUBSTITUTE(LEFT(Накл!G204,11),".",""),"-",""))," ",Накл!J204),"-")</f>
        <v>-</v>
      </c>
      <c r="B197" s="26" t="str">
        <f>IFERROR(VLOOKUP(VALUE(LEFT(A197,8)),Накл!$A$9:$D$550,4,0),"-")</f>
        <v>-</v>
      </c>
      <c r="C197" s="26">
        <f>Накл!J204</f>
        <v>0</v>
      </c>
      <c r="D197" s="33" t="str">
        <f t="array" ref="D197">CONCATENATE(IFERROR(INDEX(Накл!$C$9:$C$550,SMALL(IF(Накл!$B$9:$B$550=A197,ROW(Накл!$B$9:$B$550)-ROW(Накл!$B$9)+1),ROW(D197)-ROW(A197)+1)),"")," ",IFERROR(INDEX(Накл!$C$9:$C$550,SMALL(IF(Накл!$B$9:$B$550=A197,ROW(Накл!$B$9:$B$550)-ROW(Накл!$B$9)+1),ROW(D198)-ROW(A197)+1)),"")," ",IFERROR(INDEX(Накл!$C$9:$C$550,SMALL(IF(Накл!$B$9:$B$550=A197,ROW(Накл!$B$9:$B$550)-ROW(Накл!$B$9)+1),ROW(D199)-ROW(A197)+1)),"")," ",IFERROR(INDEX(Накл!$C$9:$C$550,SMALL(IF(Накл!$B$9:$B$550=A197,ROW(Накл!$B$9:$B$550)-ROW(Накл!$B$9)+1),ROW(D200)-ROW(A197)+1)),"")," ",IFERROR(INDEX(Накл!$C$9:$C$550,SMALL(IF(Накл!$B$9:$B$550=A197,ROW(Накл!$B$9:$B$550)-ROW(Накл!$B$9)+1),ROW(D201)-ROW(A197)+1)),"")," ",IFERROR(INDEX(Накл!$C$9:$C$550,SMALL(IF(Накл!$B$9:$B$550=A197,ROW(Накл!$B$9:$B$550)-ROW(Накл!$B$9)+1),ROW(D202)-ROW(A197)+1)),"")," ",IFERROR(INDEX(Накл!$C$9:$C$550,SMALL(IF(Накл!$B$9:$B$550=A197,ROW(Накл!$B$9:$B$550)-ROW(Накл!$B$9)+1),ROW(D203)-ROW(A197)+1)),"")," ",IFERROR(INDEX(Накл!$C$9:$C$550,SMALL(IF(Накл!$B$9:$B$550=A197,ROW(Накл!$B$9:$B$550)-ROW(Накл!$B$9)+1),ROW(D204)-ROW(A197)+1)),"")," ",IFERROR(INDEX(Накл!$C$9:$C$550,SMALL(IF(Накл!$B$9:$B$550=A197,ROW(Накл!$B$9:$B$550)-ROW(Накл!$B$9)+1),ROW(D205)-ROW(A197)+1)),"")," ",IFERROR(INDEX(Накл!$C$9:$C$550,SMALL(IF(Накл!$B$9:$B$550=A197,ROW(Накл!$B$9:$B$550)-ROW(Накл!$B$9)+1),ROW(D206)-ROW(A197)+1)),""))</f>
        <v xml:space="preserve">         </v>
      </c>
      <c r="E197" s="26" t="str">
        <f t="array" ref="E197">IF(LEN(D197)&lt;10,CONCATENATE(IFERROR(INDEX(Накл!$C$9:$C$550,SMALL(IF(Накл!$A$9:$A$550=VALUE(LEFT(A197,8)),ROW(Накл!$A$9:$A$550)-ROW(Накл!$A$9)+1),ROW(E197)-ROW(B197)+1)),"")," ",IFERROR(INDEX(Накл!$C$9:$C$550,SMALL(IF(Накл!$A$9:$A$550=VALUE(LEFT(A197,8)),ROW(Накл!$A$9:$A$550)-ROW(Накл!$A$9)+1),ROW(E198)-ROW(B197)+1)),"")," ",IFERROR(INDEX(Накл!$C$9:$C$550,SMALL(IF(Накл!$A$9:$A$550=VALUE(LEFT(A197,8)),ROW(Накл!$A$9:$A$550)-ROW(Накл!$A$9)+1),ROW(E199)-ROW(B197)+1)),"")," ",IFERROR(INDEX(Накл!$C$9:$C$550,SMALL(IF(Накл!$A$9:$A$550=VALUE(LEFT(A197,8)),ROW(Накл!$A$9:$A$550)-ROW(Накл!$A$9)+1),ROW(E200)-ROW(B197)+1)),"")),"")</f>
        <v xml:space="preserve">   </v>
      </c>
    </row>
    <row r="198" spans="1:5">
      <c r="A198" s="26" t="str">
        <f>IFERROR(CONCATENATE(VALUE(SUBSTITUTE(SUBSTITUTE(LEFT(Накл!G205,11),".",""),"-",""))," ",Накл!J205),"-")</f>
        <v>-</v>
      </c>
      <c r="B198" s="26" t="str">
        <f>IFERROR(VLOOKUP(VALUE(LEFT(A198,8)),Накл!$A$9:$D$550,4,0),"-")</f>
        <v>-</v>
      </c>
      <c r="C198" s="26">
        <f>Накл!J205</f>
        <v>0</v>
      </c>
      <c r="D198" s="33" t="str">
        <f t="array" ref="D198">CONCATENATE(IFERROR(INDEX(Накл!$C$9:$C$550,SMALL(IF(Накл!$B$9:$B$550=A198,ROW(Накл!$B$9:$B$550)-ROW(Накл!$B$9)+1),ROW(D198)-ROW(A198)+1)),"")," ",IFERROR(INDEX(Накл!$C$9:$C$550,SMALL(IF(Накл!$B$9:$B$550=A198,ROW(Накл!$B$9:$B$550)-ROW(Накл!$B$9)+1),ROW(D199)-ROW(A198)+1)),"")," ",IFERROR(INDEX(Накл!$C$9:$C$550,SMALL(IF(Накл!$B$9:$B$550=A198,ROW(Накл!$B$9:$B$550)-ROW(Накл!$B$9)+1),ROW(D200)-ROW(A198)+1)),"")," ",IFERROR(INDEX(Накл!$C$9:$C$550,SMALL(IF(Накл!$B$9:$B$550=A198,ROW(Накл!$B$9:$B$550)-ROW(Накл!$B$9)+1),ROW(D201)-ROW(A198)+1)),"")," ",IFERROR(INDEX(Накл!$C$9:$C$550,SMALL(IF(Накл!$B$9:$B$550=A198,ROW(Накл!$B$9:$B$550)-ROW(Накл!$B$9)+1),ROW(D202)-ROW(A198)+1)),"")," ",IFERROR(INDEX(Накл!$C$9:$C$550,SMALL(IF(Накл!$B$9:$B$550=A198,ROW(Накл!$B$9:$B$550)-ROW(Накл!$B$9)+1),ROW(D203)-ROW(A198)+1)),"")," ",IFERROR(INDEX(Накл!$C$9:$C$550,SMALL(IF(Накл!$B$9:$B$550=A198,ROW(Накл!$B$9:$B$550)-ROW(Накл!$B$9)+1),ROW(D204)-ROW(A198)+1)),"")," ",IFERROR(INDEX(Накл!$C$9:$C$550,SMALL(IF(Накл!$B$9:$B$550=A198,ROW(Накл!$B$9:$B$550)-ROW(Накл!$B$9)+1),ROW(D205)-ROW(A198)+1)),"")," ",IFERROR(INDEX(Накл!$C$9:$C$550,SMALL(IF(Накл!$B$9:$B$550=A198,ROW(Накл!$B$9:$B$550)-ROW(Накл!$B$9)+1),ROW(D206)-ROW(A198)+1)),"")," ",IFERROR(INDEX(Накл!$C$9:$C$550,SMALL(IF(Накл!$B$9:$B$550=A198,ROW(Накл!$B$9:$B$550)-ROW(Накл!$B$9)+1),ROW(D207)-ROW(A198)+1)),""))</f>
        <v xml:space="preserve">         </v>
      </c>
      <c r="E198" s="26" t="str">
        <f t="array" ref="E198">IF(LEN(D198)&lt;10,CONCATENATE(IFERROR(INDEX(Накл!$C$9:$C$550,SMALL(IF(Накл!$A$9:$A$550=VALUE(LEFT(A198,8)),ROW(Накл!$A$9:$A$550)-ROW(Накл!$A$9)+1),ROW(E198)-ROW(B198)+1)),"")," ",IFERROR(INDEX(Накл!$C$9:$C$550,SMALL(IF(Накл!$A$9:$A$550=VALUE(LEFT(A198,8)),ROW(Накл!$A$9:$A$550)-ROW(Накл!$A$9)+1),ROW(E199)-ROW(B198)+1)),"")," ",IFERROR(INDEX(Накл!$C$9:$C$550,SMALL(IF(Накл!$A$9:$A$550=VALUE(LEFT(A198,8)),ROW(Накл!$A$9:$A$550)-ROW(Накл!$A$9)+1),ROW(E200)-ROW(B198)+1)),"")," ",IFERROR(INDEX(Накл!$C$9:$C$550,SMALL(IF(Накл!$A$9:$A$550=VALUE(LEFT(A198,8)),ROW(Накл!$A$9:$A$550)-ROW(Накл!$A$9)+1),ROW(E201)-ROW(B198)+1)),"")),"")</f>
        <v xml:space="preserve">   </v>
      </c>
    </row>
    <row r="199" spans="1:5">
      <c r="A199" s="26" t="str">
        <f>IFERROR(CONCATENATE(VALUE(SUBSTITUTE(SUBSTITUTE(LEFT(Накл!G206,11),".",""),"-",""))," ",Накл!J206),"-")</f>
        <v>-</v>
      </c>
      <c r="B199" s="26" t="str">
        <f>IFERROR(VLOOKUP(VALUE(LEFT(A199,8)),Накл!$A$9:$D$550,4,0),"-")</f>
        <v>-</v>
      </c>
      <c r="C199" s="26">
        <f>Накл!J206</f>
        <v>0</v>
      </c>
      <c r="D199" s="33" t="str">
        <f t="array" ref="D199">CONCATENATE(IFERROR(INDEX(Накл!$C$9:$C$550,SMALL(IF(Накл!$B$9:$B$550=A199,ROW(Накл!$B$9:$B$550)-ROW(Накл!$B$9)+1),ROW(D199)-ROW(A199)+1)),"")," ",IFERROR(INDEX(Накл!$C$9:$C$550,SMALL(IF(Накл!$B$9:$B$550=A199,ROW(Накл!$B$9:$B$550)-ROW(Накл!$B$9)+1),ROW(D200)-ROW(A199)+1)),"")," ",IFERROR(INDEX(Накл!$C$9:$C$550,SMALL(IF(Накл!$B$9:$B$550=A199,ROW(Накл!$B$9:$B$550)-ROW(Накл!$B$9)+1),ROW(D201)-ROW(A199)+1)),"")," ",IFERROR(INDEX(Накл!$C$9:$C$550,SMALL(IF(Накл!$B$9:$B$550=A199,ROW(Накл!$B$9:$B$550)-ROW(Накл!$B$9)+1),ROW(D202)-ROW(A199)+1)),"")," ",IFERROR(INDEX(Накл!$C$9:$C$550,SMALL(IF(Накл!$B$9:$B$550=A199,ROW(Накл!$B$9:$B$550)-ROW(Накл!$B$9)+1),ROW(D203)-ROW(A199)+1)),"")," ",IFERROR(INDEX(Накл!$C$9:$C$550,SMALL(IF(Накл!$B$9:$B$550=A199,ROW(Накл!$B$9:$B$550)-ROW(Накл!$B$9)+1),ROW(D204)-ROW(A199)+1)),"")," ",IFERROR(INDEX(Накл!$C$9:$C$550,SMALL(IF(Накл!$B$9:$B$550=A199,ROW(Накл!$B$9:$B$550)-ROW(Накл!$B$9)+1),ROW(D205)-ROW(A199)+1)),"")," ",IFERROR(INDEX(Накл!$C$9:$C$550,SMALL(IF(Накл!$B$9:$B$550=A199,ROW(Накл!$B$9:$B$550)-ROW(Накл!$B$9)+1),ROW(D206)-ROW(A199)+1)),"")," ",IFERROR(INDEX(Накл!$C$9:$C$550,SMALL(IF(Накл!$B$9:$B$550=A199,ROW(Накл!$B$9:$B$550)-ROW(Накл!$B$9)+1),ROW(D207)-ROW(A199)+1)),"")," ",IFERROR(INDEX(Накл!$C$9:$C$550,SMALL(IF(Накл!$B$9:$B$550=A199,ROW(Накл!$B$9:$B$550)-ROW(Накл!$B$9)+1),ROW(D208)-ROW(A199)+1)),""))</f>
        <v xml:space="preserve">         </v>
      </c>
      <c r="E199" s="26" t="str">
        <f t="array" ref="E199">IF(LEN(D199)&lt;10,CONCATENATE(IFERROR(INDEX(Накл!$C$9:$C$550,SMALL(IF(Накл!$A$9:$A$550=VALUE(LEFT(A199,8)),ROW(Накл!$A$9:$A$550)-ROW(Накл!$A$9)+1),ROW(E199)-ROW(B199)+1)),"")," ",IFERROR(INDEX(Накл!$C$9:$C$550,SMALL(IF(Накл!$A$9:$A$550=VALUE(LEFT(A199,8)),ROW(Накл!$A$9:$A$550)-ROW(Накл!$A$9)+1),ROW(E200)-ROW(B199)+1)),"")," ",IFERROR(INDEX(Накл!$C$9:$C$550,SMALL(IF(Накл!$A$9:$A$550=VALUE(LEFT(A199,8)),ROW(Накл!$A$9:$A$550)-ROW(Накл!$A$9)+1),ROW(E201)-ROW(B199)+1)),"")," ",IFERROR(INDEX(Накл!$C$9:$C$550,SMALL(IF(Накл!$A$9:$A$550=VALUE(LEFT(A199,8)),ROW(Накл!$A$9:$A$550)-ROW(Накл!$A$9)+1),ROW(E202)-ROW(B199)+1)),"")),"")</f>
        <v xml:space="preserve">   </v>
      </c>
    </row>
    <row r="200" spans="1:5">
      <c r="A200" s="26" t="str">
        <f>IFERROR(CONCATENATE(VALUE(SUBSTITUTE(SUBSTITUTE(LEFT(Накл!G207,11),".",""),"-",""))," ",Накл!J207),"-")</f>
        <v>-</v>
      </c>
      <c r="B200" s="26" t="str">
        <f>IFERROR(VLOOKUP(VALUE(LEFT(A200,8)),Накл!$A$9:$D$550,4,0),"-")</f>
        <v>-</v>
      </c>
      <c r="C200" s="26">
        <f>Накл!J207</f>
        <v>0</v>
      </c>
      <c r="D200" s="33" t="str">
        <f t="array" ref="D200">CONCATENATE(IFERROR(INDEX(Накл!$C$9:$C$550,SMALL(IF(Накл!$B$9:$B$550=A200,ROW(Накл!$B$9:$B$550)-ROW(Накл!$B$9)+1),ROW(D200)-ROW(A200)+1)),"")," ",IFERROR(INDEX(Накл!$C$9:$C$550,SMALL(IF(Накл!$B$9:$B$550=A200,ROW(Накл!$B$9:$B$550)-ROW(Накл!$B$9)+1),ROW(D201)-ROW(A200)+1)),"")," ",IFERROR(INDEX(Накл!$C$9:$C$550,SMALL(IF(Накл!$B$9:$B$550=A200,ROW(Накл!$B$9:$B$550)-ROW(Накл!$B$9)+1),ROW(D202)-ROW(A200)+1)),"")," ",IFERROR(INDEX(Накл!$C$9:$C$550,SMALL(IF(Накл!$B$9:$B$550=A200,ROW(Накл!$B$9:$B$550)-ROW(Накл!$B$9)+1),ROW(D203)-ROW(A200)+1)),"")," ",IFERROR(INDEX(Накл!$C$9:$C$550,SMALL(IF(Накл!$B$9:$B$550=A200,ROW(Накл!$B$9:$B$550)-ROW(Накл!$B$9)+1),ROW(D204)-ROW(A200)+1)),"")," ",IFERROR(INDEX(Накл!$C$9:$C$550,SMALL(IF(Накл!$B$9:$B$550=A200,ROW(Накл!$B$9:$B$550)-ROW(Накл!$B$9)+1),ROW(D205)-ROW(A200)+1)),"")," ",IFERROR(INDEX(Накл!$C$9:$C$550,SMALL(IF(Накл!$B$9:$B$550=A200,ROW(Накл!$B$9:$B$550)-ROW(Накл!$B$9)+1),ROW(D206)-ROW(A200)+1)),"")," ",IFERROR(INDEX(Накл!$C$9:$C$550,SMALL(IF(Накл!$B$9:$B$550=A200,ROW(Накл!$B$9:$B$550)-ROW(Накл!$B$9)+1),ROW(D207)-ROW(A200)+1)),"")," ",IFERROR(INDEX(Накл!$C$9:$C$550,SMALL(IF(Накл!$B$9:$B$550=A200,ROW(Накл!$B$9:$B$550)-ROW(Накл!$B$9)+1),ROW(D208)-ROW(A200)+1)),"")," ",IFERROR(INDEX(Накл!$C$9:$C$550,SMALL(IF(Накл!$B$9:$B$550=A200,ROW(Накл!$B$9:$B$550)-ROW(Накл!$B$9)+1),ROW(D209)-ROW(A200)+1)),""))</f>
        <v xml:space="preserve">         </v>
      </c>
      <c r="E200" s="26" t="str">
        <f t="array" ref="E200">IF(LEN(D200)&lt;10,CONCATENATE(IFERROR(INDEX(Накл!$C$9:$C$550,SMALL(IF(Накл!$A$9:$A$550=VALUE(LEFT(A200,8)),ROW(Накл!$A$9:$A$550)-ROW(Накл!$A$9)+1),ROW(E200)-ROW(B200)+1)),"")," ",IFERROR(INDEX(Накл!$C$9:$C$550,SMALL(IF(Накл!$A$9:$A$550=VALUE(LEFT(A200,8)),ROW(Накл!$A$9:$A$550)-ROW(Накл!$A$9)+1),ROW(E201)-ROW(B200)+1)),"")," ",IFERROR(INDEX(Накл!$C$9:$C$550,SMALL(IF(Накл!$A$9:$A$550=VALUE(LEFT(A200,8)),ROW(Накл!$A$9:$A$550)-ROW(Накл!$A$9)+1),ROW(E202)-ROW(B200)+1)),"")," ",IFERROR(INDEX(Накл!$C$9:$C$550,SMALL(IF(Накл!$A$9:$A$550=VALUE(LEFT(A200,8)),ROW(Накл!$A$9:$A$550)-ROW(Накл!$A$9)+1),ROW(E203)-ROW(B200)+1)),"")),"")</f>
        <v xml:space="preserve">   </v>
      </c>
    </row>
    <row r="201" spans="1:5">
      <c r="A201" s="26" t="str">
        <f>IFERROR(CONCATENATE(VALUE(SUBSTITUTE(SUBSTITUTE(LEFT(Накл!G208,11),".",""),"-",""))," ",Накл!J208),"-")</f>
        <v>-</v>
      </c>
      <c r="B201" s="26" t="str">
        <f>IFERROR(VLOOKUP(VALUE(LEFT(A201,8)),Накл!$A$9:$D$550,4,0),"-")</f>
        <v>-</v>
      </c>
      <c r="C201" s="26">
        <f>Накл!J208</f>
        <v>0</v>
      </c>
      <c r="D201" s="33" t="str">
        <f t="array" ref="D201">CONCATENATE(IFERROR(INDEX(Накл!$C$9:$C$550,SMALL(IF(Накл!$B$9:$B$550=A201,ROW(Накл!$B$9:$B$550)-ROW(Накл!$B$9)+1),ROW(D201)-ROW(A201)+1)),"")," ",IFERROR(INDEX(Накл!$C$9:$C$550,SMALL(IF(Накл!$B$9:$B$550=A201,ROW(Накл!$B$9:$B$550)-ROW(Накл!$B$9)+1),ROW(D202)-ROW(A201)+1)),"")," ",IFERROR(INDEX(Накл!$C$9:$C$550,SMALL(IF(Накл!$B$9:$B$550=A201,ROW(Накл!$B$9:$B$550)-ROW(Накл!$B$9)+1),ROW(D203)-ROW(A201)+1)),"")," ",IFERROR(INDEX(Накл!$C$9:$C$550,SMALL(IF(Накл!$B$9:$B$550=A201,ROW(Накл!$B$9:$B$550)-ROW(Накл!$B$9)+1),ROW(D204)-ROW(A201)+1)),"")," ",IFERROR(INDEX(Накл!$C$9:$C$550,SMALL(IF(Накл!$B$9:$B$550=A201,ROW(Накл!$B$9:$B$550)-ROW(Накл!$B$9)+1),ROW(D205)-ROW(A201)+1)),"")," ",IFERROR(INDEX(Накл!$C$9:$C$550,SMALL(IF(Накл!$B$9:$B$550=A201,ROW(Накл!$B$9:$B$550)-ROW(Накл!$B$9)+1),ROW(D206)-ROW(A201)+1)),"")," ",IFERROR(INDEX(Накл!$C$9:$C$550,SMALL(IF(Накл!$B$9:$B$550=A201,ROW(Накл!$B$9:$B$550)-ROW(Накл!$B$9)+1),ROW(D207)-ROW(A201)+1)),"")," ",IFERROR(INDEX(Накл!$C$9:$C$550,SMALL(IF(Накл!$B$9:$B$550=A201,ROW(Накл!$B$9:$B$550)-ROW(Накл!$B$9)+1),ROW(D208)-ROW(A201)+1)),"")," ",IFERROR(INDEX(Накл!$C$9:$C$550,SMALL(IF(Накл!$B$9:$B$550=A201,ROW(Накл!$B$9:$B$550)-ROW(Накл!$B$9)+1),ROW(D209)-ROW(A201)+1)),"")," ",IFERROR(INDEX(Накл!$C$9:$C$550,SMALL(IF(Накл!$B$9:$B$550=A201,ROW(Накл!$B$9:$B$550)-ROW(Накл!$B$9)+1),ROW(D210)-ROW(A201)+1)),""))</f>
        <v xml:space="preserve">         </v>
      </c>
      <c r="E201" s="26" t="str">
        <f t="array" ref="E201">IF(LEN(D201)&lt;10,CONCATENATE(IFERROR(INDEX(Накл!$C$9:$C$550,SMALL(IF(Накл!$A$9:$A$550=VALUE(LEFT(A201,8)),ROW(Накл!$A$9:$A$550)-ROW(Накл!$A$9)+1),ROW(E201)-ROW(B201)+1)),"")," ",IFERROR(INDEX(Накл!$C$9:$C$550,SMALL(IF(Накл!$A$9:$A$550=VALUE(LEFT(A201,8)),ROW(Накл!$A$9:$A$550)-ROW(Накл!$A$9)+1),ROW(E202)-ROW(B201)+1)),"")," ",IFERROR(INDEX(Накл!$C$9:$C$550,SMALL(IF(Накл!$A$9:$A$550=VALUE(LEFT(A201,8)),ROW(Накл!$A$9:$A$550)-ROW(Накл!$A$9)+1),ROW(E203)-ROW(B201)+1)),"")," ",IFERROR(INDEX(Накл!$C$9:$C$550,SMALL(IF(Накл!$A$9:$A$550=VALUE(LEFT(A201,8)),ROW(Накл!$A$9:$A$550)-ROW(Накл!$A$9)+1),ROW(E204)-ROW(B201)+1)),"")),"")</f>
        <v xml:space="preserve">   </v>
      </c>
    </row>
    <row r="202" spans="1:5">
      <c r="A202" s="26" t="str">
        <f>IFERROR(CONCATENATE(VALUE(SUBSTITUTE(SUBSTITUTE(LEFT(Накл!G209,11),".",""),"-",""))," ",Накл!J209),"-")</f>
        <v>-</v>
      </c>
      <c r="B202" s="26" t="str">
        <f>IFERROR(VLOOKUP(VALUE(LEFT(A202,8)),Накл!$A$9:$D$550,4,0),"-")</f>
        <v>-</v>
      </c>
      <c r="C202" s="26">
        <f>Накл!J209</f>
        <v>0</v>
      </c>
      <c r="D202" s="33" t="str">
        <f t="array" ref="D202">CONCATENATE(IFERROR(INDEX(Накл!$C$9:$C$550,SMALL(IF(Накл!$B$9:$B$550=A202,ROW(Накл!$B$9:$B$550)-ROW(Накл!$B$9)+1),ROW(D202)-ROW(A202)+1)),"")," ",IFERROR(INDEX(Накл!$C$9:$C$550,SMALL(IF(Накл!$B$9:$B$550=A202,ROW(Накл!$B$9:$B$550)-ROW(Накл!$B$9)+1),ROW(D203)-ROW(A202)+1)),"")," ",IFERROR(INDEX(Накл!$C$9:$C$550,SMALL(IF(Накл!$B$9:$B$550=A202,ROW(Накл!$B$9:$B$550)-ROW(Накл!$B$9)+1),ROW(D204)-ROW(A202)+1)),"")," ",IFERROR(INDEX(Накл!$C$9:$C$550,SMALL(IF(Накл!$B$9:$B$550=A202,ROW(Накл!$B$9:$B$550)-ROW(Накл!$B$9)+1),ROW(D205)-ROW(A202)+1)),"")," ",IFERROR(INDEX(Накл!$C$9:$C$550,SMALL(IF(Накл!$B$9:$B$550=A202,ROW(Накл!$B$9:$B$550)-ROW(Накл!$B$9)+1),ROW(D206)-ROW(A202)+1)),"")," ",IFERROR(INDEX(Накл!$C$9:$C$550,SMALL(IF(Накл!$B$9:$B$550=A202,ROW(Накл!$B$9:$B$550)-ROW(Накл!$B$9)+1),ROW(D207)-ROW(A202)+1)),"")," ",IFERROR(INDEX(Накл!$C$9:$C$550,SMALL(IF(Накл!$B$9:$B$550=A202,ROW(Накл!$B$9:$B$550)-ROW(Накл!$B$9)+1),ROW(D208)-ROW(A202)+1)),"")," ",IFERROR(INDEX(Накл!$C$9:$C$550,SMALL(IF(Накл!$B$9:$B$550=A202,ROW(Накл!$B$9:$B$550)-ROW(Накл!$B$9)+1),ROW(D209)-ROW(A202)+1)),"")," ",IFERROR(INDEX(Накл!$C$9:$C$550,SMALL(IF(Накл!$B$9:$B$550=A202,ROW(Накл!$B$9:$B$550)-ROW(Накл!$B$9)+1),ROW(D210)-ROW(A202)+1)),"")," ",IFERROR(INDEX(Накл!$C$9:$C$550,SMALL(IF(Накл!$B$9:$B$550=A202,ROW(Накл!$B$9:$B$550)-ROW(Накл!$B$9)+1),ROW(D211)-ROW(A202)+1)),""))</f>
        <v xml:space="preserve">         </v>
      </c>
      <c r="E202" s="26" t="str">
        <f t="array" ref="E202">IF(LEN(D202)&lt;10,CONCATENATE(IFERROR(INDEX(Накл!$C$9:$C$550,SMALL(IF(Накл!$A$9:$A$550=VALUE(LEFT(A202,8)),ROW(Накл!$A$9:$A$550)-ROW(Накл!$A$9)+1),ROW(E202)-ROW(B202)+1)),"")," ",IFERROR(INDEX(Накл!$C$9:$C$550,SMALL(IF(Накл!$A$9:$A$550=VALUE(LEFT(A202,8)),ROW(Накл!$A$9:$A$550)-ROW(Накл!$A$9)+1),ROW(E203)-ROW(B202)+1)),"")," ",IFERROR(INDEX(Накл!$C$9:$C$550,SMALL(IF(Накл!$A$9:$A$550=VALUE(LEFT(A202,8)),ROW(Накл!$A$9:$A$550)-ROW(Накл!$A$9)+1),ROW(E204)-ROW(B202)+1)),"")," ",IFERROR(INDEX(Накл!$C$9:$C$550,SMALL(IF(Накл!$A$9:$A$550=VALUE(LEFT(A202,8)),ROW(Накл!$A$9:$A$550)-ROW(Накл!$A$9)+1),ROW(E205)-ROW(B202)+1)),"")),"")</f>
        <v xml:space="preserve">   </v>
      </c>
    </row>
    <row r="203" spans="1:5">
      <c r="A203" s="26" t="str">
        <f>IFERROR(CONCATENATE(VALUE(SUBSTITUTE(SUBSTITUTE(LEFT(Накл!G210,11),".",""),"-",""))," ",Накл!J210),"-")</f>
        <v>-</v>
      </c>
      <c r="B203" s="26" t="str">
        <f>IFERROR(VLOOKUP(VALUE(LEFT(A203,8)),Накл!$A$9:$D$550,4,0),"-")</f>
        <v>-</v>
      </c>
      <c r="C203" s="26">
        <f>Накл!J210</f>
        <v>0</v>
      </c>
      <c r="D203" s="33" t="str">
        <f t="array" ref="D203">CONCATENATE(IFERROR(INDEX(Накл!$C$9:$C$550,SMALL(IF(Накл!$B$9:$B$550=A203,ROW(Накл!$B$9:$B$550)-ROW(Накл!$B$9)+1),ROW(D203)-ROW(A203)+1)),"")," ",IFERROR(INDEX(Накл!$C$9:$C$550,SMALL(IF(Накл!$B$9:$B$550=A203,ROW(Накл!$B$9:$B$550)-ROW(Накл!$B$9)+1),ROW(D204)-ROW(A203)+1)),"")," ",IFERROR(INDEX(Накл!$C$9:$C$550,SMALL(IF(Накл!$B$9:$B$550=A203,ROW(Накл!$B$9:$B$550)-ROW(Накл!$B$9)+1),ROW(D205)-ROW(A203)+1)),"")," ",IFERROR(INDEX(Накл!$C$9:$C$550,SMALL(IF(Накл!$B$9:$B$550=A203,ROW(Накл!$B$9:$B$550)-ROW(Накл!$B$9)+1),ROW(D206)-ROW(A203)+1)),"")," ",IFERROR(INDEX(Накл!$C$9:$C$550,SMALL(IF(Накл!$B$9:$B$550=A203,ROW(Накл!$B$9:$B$550)-ROW(Накл!$B$9)+1),ROW(D207)-ROW(A203)+1)),"")," ",IFERROR(INDEX(Накл!$C$9:$C$550,SMALL(IF(Накл!$B$9:$B$550=A203,ROW(Накл!$B$9:$B$550)-ROW(Накл!$B$9)+1),ROW(D208)-ROW(A203)+1)),"")," ",IFERROR(INDEX(Накл!$C$9:$C$550,SMALL(IF(Накл!$B$9:$B$550=A203,ROW(Накл!$B$9:$B$550)-ROW(Накл!$B$9)+1),ROW(D209)-ROW(A203)+1)),"")," ",IFERROR(INDEX(Накл!$C$9:$C$550,SMALL(IF(Накл!$B$9:$B$550=A203,ROW(Накл!$B$9:$B$550)-ROW(Накл!$B$9)+1),ROW(D210)-ROW(A203)+1)),"")," ",IFERROR(INDEX(Накл!$C$9:$C$550,SMALL(IF(Накл!$B$9:$B$550=A203,ROW(Накл!$B$9:$B$550)-ROW(Накл!$B$9)+1),ROW(D211)-ROW(A203)+1)),"")," ",IFERROR(INDEX(Накл!$C$9:$C$550,SMALL(IF(Накл!$B$9:$B$550=A203,ROW(Накл!$B$9:$B$550)-ROW(Накл!$B$9)+1),ROW(D212)-ROW(A203)+1)),""))</f>
        <v xml:space="preserve">         </v>
      </c>
      <c r="E203" s="26" t="str">
        <f t="array" ref="E203">IF(LEN(D203)&lt;10,CONCATENATE(IFERROR(INDEX(Накл!$C$9:$C$550,SMALL(IF(Накл!$A$9:$A$550=VALUE(LEFT(A203,8)),ROW(Накл!$A$9:$A$550)-ROW(Накл!$A$9)+1),ROW(E203)-ROW(B203)+1)),"")," ",IFERROR(INDEX(Накл!$C$9:$C$550,SMALL(IF(Накл!$A$9:$A$550=VALUE(LEFT(A203,8)),ROW(Накл!$A$9:$A$550)-ROW(Накл!$A$9)+1),ROW(E204)-ROW(B203)+1)),"")," ",IFERROR(INDEX(Накл!$C$9:$C$550,SMALL(IF(Накл!$A$9:$A$550=VALUE(LEFT(A203,8)),ROW(Накл!$A$9:$A$550)-ROW(Накл!$A$9)+1),ROW(E205)-ROW(B203)+1)),"")," ",IFERROR(INDEX(Накл!$C$9:$C$550,SMALL(IF(Накл!$A$9:$A$550=VALUE(LEFT(A203,8)),ROW(Накл!$A$9:$A$550)-ROW(Накл!$A$9)+1),ROW(E206)-ROW(B203)+1)),"")),"")</f>
        <v xml:space="preserve">   </v>
      </c>
    </row>
    <row r="204" spans="1:5">
      <c r="A204" s="26" t="str">
        <f>IFERROR(CONCATENATE(VALUE(SUBSTITUTE(SUBSTITUTE(LEFT(Накл!G211,11),".",""),"-",""))," ",Накл!J211),"-")</f>
        <v>-</v>
      </c>
      <c r="B204" s="26" t="str">
        <f>IFERROR(VLOOKUP(VALUE(LEFT(A204,8)),Накл!$A$9:$D$550,4,0),"-")</f>
        <v>-</v>
      </c>
      <c r="C204" s="26">
        <f>Накл!J211</f>
        <v>0</v>
      </c>
      <c r="D204" s="33" t="str">
        <f t="array" ref="D204">CONCATENATE(IFERROR(INDEX(Накл!$C$9:$C$550,SMALL(IF(Накл!$B$9:$B$550=A204,ROW(Накл!$B$9:$B$550)-ROW(Накл!$B$9)+1),ROW(D204)-ROW(A204)+1)),"")," ",IFERROR(INDEX(Накл!$C$9:$C$550,SMALL(IF(Накл!$B$9:$B$550=A204,ROW(Накл!$B$9:$B$550)-ROW(Накл!$B$9)+1),ROW(D205)-ROW(A204)+1)),"")," ",IFERROR(INDEX(Накл!$C$9:$C$550,SMALL(IF(Накл!$B$9:$B$550=A204,ROW(Накл!$B$9:$B$550)-ROW(Накл!$B$9)+1),ROW(D206)-ROW(A204)+1)),"")," ",IFERROR(INDEX(Накл!$C$9:$C$550,SMALL(IF(Накл!$B$9:$B$550=A204,ROW(Накл!$B$9:$B$550)-ROW(Накл!$B$9)+1),ROW(D207)-ROW(A204)+1)),"")," ",IFERROR(INDEX(Накл!$C$9:$C$550,SMALL(IF(Накл!$B$9:$B$550=A204,ROW(Накл!$B$9:$B$550)-ROW(Накл!$B$9)+1),ROW(D208)-ROW(A204)+1)),"")," ",IFERROR(INDEX(Накл!$C$9:$C$550,SMALL(IF(Накл!$B$9:$B$550=A204,ROW(Накл!$B$9:$B$550)-ROW(Накл!$B$9)+1),ROW(D209)-ROW(A204)+1)),"")," ",IFERROR(INDEX(Накл!$C$9:$C$550,SMALL(IF(Накл!$B$9:$B$550=A204,ROW(Накл!$B$9:$B$550)-ROW(Накл!$B$9)+1),ROW(D210)-ROW(A204)+1)),"")," ",IFERROR(INDEX(Накл!$C$9:$C$550,SMALL(IF(Накл!$B$9:$B$550=A204,ROW(Накл!$B$9:$B$550)-ROW(Накл!$B$9)+1),ROW(D211)-ROW(A204)+1)),"")," ",IFERROR(INDEX(Накл!$C$9:$C$550,SMALL(IF(Накл!$B$9:$B$550=A204,ROW(Накл!$B$9:$B$550)-ROW(Накл!$B$9)+1),ROW(D212)-ROW(A204)+1)),"")," ",IFERROR(INDEX(Накл!$C$9:$C$550,SMALL(IF(Накл!$B$9:$B$550=A204,ROW(Накл!$B$9:$B$550)-ROW(Накл!$B$9)+1),ROW(D213)-ROW(A204)+1)),""))</f>
        <v xml:space="preserve">         </v>
      </c>
      <c r="E204" s="26" t="str">
        <f t="array" ref="E204">IF(LEN(D204)&lt;10,CONCATENATE(IFERROR(INDEX(Накл!$C$9:$C$550,SMALL(IF(Накл!$A$9:$A$550=VALUE(LEFT(A204,8)),ROW(Накл!$A$9:$A$550)-ROW(Накл!$A$9)+1),ROW(E204)-ROW(B204)+1)),"")," ",IFERROR(INDEX(Накл!$C$9:$C$550,SMALL(IF(Накл!$A$9:$A$550=VALUE(LEFT(A204,8)),ROW(Накл!$A$9:$A$550)-ROW(Накл!$A$9)+1),ROW(E205)-ROW(B204)+1)),"")," ",IFERROR(INDEX(Накл!$C$9:$C$550,SMALL(IF(Накл!$A$9:$A$550=VALUE(LEFT(A204,8)),ROW(Накл!$A$9:$A$550)-ROW(Накл!$A$9)+1),ROW(E206)-ROW(B204)+1)),"")," ",IFERROR(INDEX(Накл!$C$9:$C$550,SMALL(IF(Накл!$A$9:$A$550=VALUE(LEFT(A204,8)),ROW(Накл!$A$9:$A$550)-ROW(Накл!$A$9)+1),ROW(E207)-ROW(B204)+1)),"")),"")</f>
        <v xml:space="preserve">   </v>
      </c>
    </row>
    <row r="205" spans="1:5">
      <c r="A205" s="26" t="str">
        <f>IFERROR(CONCATENATE(VALUE(SUBSTITUTE(SUBSTITUTE(LEFT(Накл!G212,11),".",""),"-",""))," ",Накл!J212),"-")</f>
        <v>-</v>
      </c>
      <c r="B205" s="26" t="str">
        <f>IFERROR(VLOOKUP(VALUE(LEFT(A205,8)),Накл!$A$9:$D$550,4,0),"-")</f>
        <v>-</v>
      </c>
      <c r="C205" s="26">
        <f>Накл!J212</f>
        <v>0</v>
      </c>
      <c r="D205" s="33" t="str">
        <f t="array" ref="D205">CONCATENATE(IFERROR(INDEX(Накл!$C$9:$C$550,SMALL(IF(Накл!$B$9:$B$550=A205,ROW(Накл!$B$9:$B$550)-ROW(Накл!$B$9)+1),ROW(D205)-ROW(A205)+1)),"")," ",IFERROR(INDEX(Накл!$C$9:$C$550,SMALL(IF(Накл!$B$9:$B$550=A205,ROW(Накл!$B$9:$B$550)-ROW(Накл!$B$9)+1),ROW(D206)-ROW(A205)+1)),"")," ",IFERROR(INDEX(Накл!$C$9:$C$550,SMALL(IF(Накл!$B$9:$B$550=A205,ROW(Накл!$B$9:$B$550)-ROW(Накл!$B$9)+1),ROW(D207)-ROW(A205)+1)),"")," ",IFERROR(INDEX(Накл!$C$9:$C$550,SMALL(IF(Накл!$B$9:$B$550=A205,ROW(Накл!$B$9:$B$550)-ROW(Накл!$B$9)+1),ROW(D208)-ROW(A205)+1)),"")," ",IFERROR(INDEX(Накл!$C$9:$C$550,SMALL(IF(Накл!$B$9:$B$550=A205,ROW(Накл!$B$9:$B$550)-ROW(Накл!$B$9)+1),ROW(D209)-ROW(A205)+1)),"")," ",IFERROR(INDEX(Накл!$C$9:$C$550,SMALL(IF(Накл!$B$9:$B$550=A205,ROW(Накл!$B$9:$B$550)-ROW(Накл!$B$9)+1),ROW(D210)-ROW(A205)+1)),"")," ",IFERROR(INDEX(Накл!$C$9:$C$550,SMALL(IF(Накл!$B$9:$B$550=A205,ROW(Накл!$B$9:$B$550)-ROW(Накл!$B$9)+1),ROW(D211)-ROW(A205)+1)),"")," ",IFERROR(INDEX(Накл!$C$9:$C$550,SMALL(IF(Накл!$B$9:$B$550=A205,ROW(Накл!$B$9:$B$550)-ROW(Накл!$B$9)+1),ROW(D212)-ROW(A205)+1)),"")," ",IFERROR(INDEX(Накл!$C$9:$C$550,SMALL(IF(Накл!$B$9:$B$550=A205,ROW(Накл!$B$9:$B$550)-ROW(Накл!$B$9)+1),ROW(D213)-ROW(A205)+1)),"")," ",IFERROR(INDEX(Накл!$C$9:$C$550,SMALL(IF(Накл!$B$9:$B$550=A205,ROW(Накл!$B$9:$B$550)-ROW(Накл!$B$9)+1),ROW(D214)-ROW(A205)+1)),""))</f>
        <v xml:space="preserve">         </v>
      </c>
      <c r="E205" s="26" t="str">
        <f t="array" ref="E205">IF(LEN(D205)&lt;10,CONCATENATE(IFERROR(INDEX(Накл!$C$9:$C$550,SMALL(IF(Накл!$A$9:$A$550=VALUE(LEFT(A205,8)),ROW(Накл!$A$9:$A$550)-ROW(Накл!$A$9)+1),ROW(E205)-ROW(B205)+1)),"")," ",IFERROR(INDEX(Накл!$C$9:$C$550,SMALL(IF(Накл!$A$9:$A$550=VALUE(LEFT(A205,8)),ROW(Накл!$A$9:$A$550)-ROW(Накл!$A$9)+1),ROW(E206)-ROW(B205)+1)),"")," ",IFERROR(INDEX(Накл!$C$9:$C$550,SMALL(IF(Накл!$A$9:$A$550=VALUE(LEFT(A205,8)),ROW(Накл!$A$9:$A$550)-ROW(Накл!$A$9)+1),ROW(E207)-ROW(B205)+1)),"")," ",IFERROR(INDEX(Накл!$C$9:$C$550,SMALL(IF(Накл!$A$9:$A$550=VALUE(LEFT(A205,8)),ROW(Накл!$A$9:$A$550)-ROW(Накл!$A$9)+1),ROW(E208)-ROW(B205)+1)),"")),"")</f>
        <v xml:space="preserve">   </v>
      </c>
    </row>
    <row r="206" spans="1:5">
      <c r="A206" s="26" t="str">
        <f>IFERROR(CONCATENATE(VALUE(SUBSTITUTE(SUBSTITUTE(LEFT(Накл!G213,11),".",""),"-",""))," ",Накл!J213),"-")</f>
        <v>-</v>
      </c>
      <c r="B206" s="26" t="str">
        <f>IFERROR(VLOOKUP(VALUE(LEFT(A206,8)),Накл!$A$9:$D$550,4,0),"-")</f>
        <v>-</v>
      </c>
      <c r="C206" s="26">
        <f>Накл!J213</f>
        <v>0</v>
      </c>
      <c r="D206" s="33" t="str">
        <f t="array" ref="D206">CONCATENATE(IFERROR(INDEX(Накл!$C$9:$C$550,SMALL(IF(Накл!$B$9:$B$550=A206,ROW(Накл!$B$9:$B$550)-ROW(Накл!$B$9)+1),ROW(D206)-ROW(A206)+1)),"")," ",IFERROR(INDEX(Накл!$C$9:$C$550,SMALL(IF(Накл!$B$9:$B$550=A206,ROW(Накл!$B$9:$B$550)-ROW(Накл!$B$9)+1),ROW(D207)-ROW(A206)+1)),"")," ",IFERROR(INDEX(Накл!$C$9:$C$550,SMALL(IF(Накл!$B$9:$B$550=A206,ROW(Накл!$B$9:$B$550)-ROW(Накл!$B$9)+1),ROW(D208)-ROW(A206)+1)),"")," ",IFERROR(INDEX(Накл!$C$9:$C$550,SMALL(IF(Накл!$B$9:$B$550=A206,ROW(Накл!$B$9:$B$550)-ROW(Накл!$B$9)+1),ROW(D209)-ROW(A206)+1)),"")," ",IFERROR(INDEX(Накл!$C$9:$C$550,SMALL(IF(Накл!$B$9:$B$550=A206,ROW(Накл!$B$9:$B$550)-ROW(Накл!$B$9)+1),ROW(D210)-ROW(A206)+1)),"")," ",IFERROR(INDEX(Накл!$C$9:$C$550,SMALL(IF(Накл!$B$9:$B$550=A206,ROW(Накл!$B$9:$B$550)-ROW(Накл!$B$9)+1),ROW(D211)-ROW(A206)+1)),"")," ",IFERROR(INDEX(Накл!$C$9:$C$550,SMALL(IF(Накл!$B$9:$B$550=A206,ROW(Накл!$B$9:$B$550)-ROW(Накл!$B$9)+1),ROW(D212)-ROW(A206)+1)),"")," ",IFERROR(INDEX(Накл!$C$9:$C$550,SMALL(IF(Накл!$B$9:$B$550=A206,ROW(Накл!$B$9:$B$550)-ROW(Накл!$B$9)+1),ROW(D213)-ROW(A206)+1)),"")," ",IFERROR(INDEX(Накл!$C$9:$C$550,SMALL(IF(Накл!$B$9:$B$550=A206,ROW(Накл!$B$9:$B$550)-ROW(Накл!$B$9)+1),ROW(D214)-ROW(A206)+1)),"")," ",IFERROR(INDEX(Накл!$C$9:$C$550,SMALL(IF(Накл!$B$9:$B$550=A206,ROW(Накл!$B$9:$B$550)-ROW(Накл!$B$9)+1),ROW(D215)-ROW(A206)+1)),""))</f>
        <v xml:space="preserve">         </v>
      </c>
      <c r="E206" s="26" t="str">
        <f t="array" ref="E206">IF(LEN(D206)&lt;10,CONCATENATE(IFERROR(INDEX(Накл!$C$9:$C$550,SMALL(IF(Накл!$A$9:$A$550=VALUE(LEFT(A206,8)),ROW(Накл!$A$9:$A$550)-ROW(Накл!$A$9)+1),ROW(E206)-ROW(B206)+1)),"")," ",IFERROR(INDEX(Накл!$C$9:$C$550,SMALL(IF(Накл!$A$9:$A$550=VALUE(LEFT(A206,8)),ROW(Накл!$A$9:$A$550)-ROW(Накл!$A$9)+1),ROW(E207)-ROW(B206)+1)),"")," ",IFERROR(INDEX(Накл!$C$9:$C$550,SMALL(IF(Накл!$A$9:$A$550=VALUE(LEFT(A206,8)),ROW(Накл!$A$9:$A$550)-ROW(Накл!$A$9)+1),ROW(E208)-ROW(B206)+1)),"")," ",IFERROR(INDEX(Накл!$C$9:$C$550,SMALL(IF(Накл!$A$9:$A$550=VALUE(LEFT(A206,8)),ROW(Накл!$A$9:$A$550)-ROW(Накл!$A$9)+1),ROW(E209)-ROW(B206)+1)),"")),"")</f>
        <v xml:space="preserve">   </v>
      </c>
    </row>
    <row r="207" spans="1:5">
      <c r="A207" s="26" t="str">
        <f>IFERROR(CONCATENATE(VALUE(SUBSTITUTE(SUBSTITUTE(LEFT(Накл!G214,11),".",""),"-",""))," ",Накл!J214),"-")</f>
        <v>-</v>
      </c>
      <c r="B207" s="26" t="str">
        <f>IFERROR(VLOOKUP(VALUE(LEFT(A207,8)),Накл!$A$9:$D$550,4,0),"-")</f>
        <v>-</v>
      </c>
      <c r="C207" s="26">
        <f>Накл!J214</f>
        <v>0</v>
      </c>
      <c r="D207" s="33" t="str">
        <f t="array" ref="D207">CONCATENATE(IFERROR(INDEX(Накл!$C$9:$C$550,SMALL(IF(Накл!$B$9:$B$550=A207,ROW(Накл!$B$9:$B$550)-ROW(Накл!$B$9)+1),ROW(D207)-ROW(A207)+1)),"")," ",IFERROR(INDEX(Накл!$C$9:$C$550,SMALL(IF(Накл!$B$9:$B$550=A207,ROW(Накл!$B$9:$B$550)-ROW(Накл!$B$9)+1),ROW(D208)-ROW(A207)+1)),"")," ",IFERROR(INDEX(Накл!$C$9:$C$550,SMALL(IF(Накл!$B$9:$B$550=A207,ROW(Накл!$B$9:$B$550)-ROW(Накл!$B$9)+1),ROW(D209)-ROW(A207)+1)),"")," ",IFERROR(INDEX(Накл!$C$9:$C$550,SMALL(IF(Накл!$B$9:$B$550=A207,ROW(Накл!$B$9:$B$550)-ROW(Накл!$B$9)+1),ROW(D210)-ROW(A207)+1)),"")," ",IFERROR(INDEX(Накл!$C$9:$C$550,SMALL(IF(Накл!$B$9:$B$550=A207,ROW(Накл!$B$9:$B$550)-ROW(Накл!$B$9)+1),ROW(D211)-ROW(A207)+1)),"")," ",IFERROR(INDEX(Накл!$C$9:$C$550,SMALL(IF(Накл!$B$9:$B$550=A207,ROW(Накл!$B$9:$B$550)-ROW(Накл!$B$9)+1),ROW(D212)-ROW(A207)+1)),"")," ",IFERROR(INDEX(Накл!$C$9:$C$550,SMALL(IF(Накл!$B$9:$B$550=A207,ROW(Накл!$B$9:$B$550)-ROW(Накл!$B$9)+1),ROW(D213)-ROW(A207)+1)),"")," ",IFERROR(INDEX(Накл!$C$9:$C$550,SMALL(IF(Накл!$B$9:$B$550=A207,ROW(Накл!$B$9:$B$550)-ROW(Накл!$B$9)+1),ROW(D214)-ROW(A207)+1)),"")," ",IFERROR(INDEX(Накл!$C$9:$C$550,SMALL(IF(Накл!$B$9:$B$550=A207,ROW(Накл!$B$9:$B$550)-ROW(Накл!$B$9)+1),ROW(D215)-ROW(A207)+1)),"")," ",IFERROR(INDEX(Накл!$C$9:$C$550,SMALL(IF(Накл!$B$9:$B$550=A207,ROW(Накл!$B$9:$B$550)-ROW(Накл!$B$9)+1),ROW(D216)-ROW(A207)+1)),""))</f>
        <v xml:space="preserve">         </v>
      </c>
      <c r="E207" s="26" t="str">
        <f t="array" ref="E207">IF(LEN(D207)&lt;10,CONCATENATE(IFERROR(INDEX(Накл!$C$9:$C$550,SMALL(IF(Накл!$A$9:$A$550=VALUE(LEFT(A207,8)),ROW(Накл!$A$9:$A$550)-ROW(Накл!$A$9)+1),ROW(E207)-ROW(B207)+1)),"")," ",IFERROR(INDEX(Накл!$C$9:$C$550,SMALL(IF(Накл!$A$9:$A$550=VALUE(LEFT(A207,8)),ROW(Накл!$A$9:$A$550)-ROW(Накл!$A$9)+1),ROW(E208)-ROW(B207)+1)),"")," ",IFERROR(INDEX(Накл!$C$9:$C$550,SMALL(IF(Накл!$A$9:$A$550=VALUE(LEFT(A207,8)),ROW(Накл!$A$9:$A$550)-ROW(Накл!$A$9)+1),ROW(E209)-ROW(B207)+1)),"")," ",IFERROR(INDEX(Накл!$C$9:$C$550,SMALL(IF(Накл!$A$9:$A$550=VALUE(LEFT(A207,8)),ROW(Накл!$A$9:$A$550)-ROW(Накл!$A$9)+1),ROW(E210)-ROW(B207)+1)),"")),"")</f>
        <v xml:space="preserve">   </v>
      </c>
    </row>
    <row r="208" spans="1:5">
      <c r="A208" s="26" t="str">
        <f>IFERROR(CONCATENATE(VALUE(SUBSTITUTE(SUBSTITUTE(LEFT(Накл!G215,11),".",""),"-",""))," ",Накл!J215),"-")</f>
        <v>-</v>
      </c>
      <c r="B208" s="26" t="str">
        <f>IFERROR(VLOOKUP(VALUE(LEFT(A208,8)),Накл!$A$9:$D$550,4,0),"-")</f>
        <v>-</v>
      </c>
      <c r="C208" s="26">
        <f>Накл!J215</f>
        <v>0</v>
      </c>
      <c r="D208" s="33" t="str">
        <f t="array" ref="D208">CONCATENATE(IFERROR(INDEX(Накл!$C$9:$C$550,SMALL(IF(Накл!$B$9:$B$550=A208,ROW(Накл!$B$9:$B$550)-ROW(Накл!$B$9)+1),ROW(D208)-ROW(A208)+1)),"")," ",IFERROR(INDEX(Накл!$C$9:$C$550,SMALL(IF(Накл!$B$9:$B$550=A208,ROW(Накл!$B$9:$B$550)-ROW(Накл!$B$9)+1),ROW(D209)-ROW(A208)+1)),"")," ",IFERROR(INDEX(Накл!$C$9:$C$550,SMALL(IF(Накл!$B$9:$B$550=A208,ROW(Накл!$B$9:$B$550)-ROW(Накл!$B$9)+1),ROW(D210)-ROW(A208)+1)),"")," ",IFERROR(INDEX(Накл!$C$9:$C$550,SMALL(IF(Накл!$B$9:$B$550=A208,ROW(Накл!$B$9:$B$550)-ROW(Накл!$B$9)+1),ROW(D211)-ROW(A208)+1)),"")," ",IFERROR(INDEX(Накл!$C$9:$C$550,SMALL(IF(Накл!$B$9:$B$550=A208,ROW(Накл!$B$9:$B$550)-ROW(Накл!$B$9)+1),ROW(D212)-ROW(A208)+1)),"")," ",IFERROR(INDEX(Накл!$C$9:$C$550,SMALL(IF(Накл!$B$9:$B$550=A208,ROW(Накл!$B$9:$B$550)-ROW(Накл!$B$9)+1),ROW(D213)-ROW(A208)+1)),"")," ",IFERROR(INDEX(Накл!$C$9:$C$550,SMALL(IF(Накл!$B$9:$B$550=A208,ROW(Накл!$B$9:$B$550)-ROW(Накл!$B$9)+1),ROW(D214)-ROW(A208)+1)),"")," ",IFERROR(INDEX(Накл!$C$9:$C$550,SMALL(IF(Накл!$B$9:$B$550=A208,ROW(Накл!$B$9:$B$550)-ROW(Накл!$B$9)+1),ROW(D215)-ROW(A208)+1)),"")," ",IFERROR(INDEX(Накл!$C$9:$C$550,SMALL(IF(Накл!$B$9:$B$550=A208,ROW(Накл!$B$9:$B$550)-ROW(Накл!$B$9)+1),ROW(D216)-ROW(A208)+1)),"")," ",IFERROR(INDEX(Накл!$C$9:$C$550,SMALL(IF(Накл!$B$9:$B$550=A208,ROW(Накл!$B$9:$B$550)-ROW(Накл!$B$9)+1),ROW(D217)-ROW(A208)+1)),""))</f>
        <v xml:space="preserve">         </v>
      </c>
      <c r="E208" s="26" t="str">
        <f t="array" ref="E208">IF(LEN(D208)&lt;10,CONCATENATE(IFERROR(INDEX(Накл!$C$9:$C$550,SMALL(IF(Накл!$A$9:$A$550=VALUE(LEFT(A208,8)),ROW(Накл!$A$9:$A$550)-ROW(Накл!$A$9)+1),ROW(E208)-ROW(B208)+1)),"")," ",IFERROR(INDEX(Накл!$C$9:$C$550,SMALL(IF(Накл!$A$9:$A$550=VALUE(LEFT(A208,8)),ROW(Накл!$A$9:$A$550)-ROW(Накл!$A$9)+1),ROW(E209)-ROW(B208)+1)),"")," ",IFERROR(INDEX(Накл!$C$9:$C$550,SMALL(IF(Накл!$A$9:$A$550=VALUE(LEFT(A208,8)),ROW(Накл!$A$9:$A$550)-ROW(Накл!$A$9)+1),ROW(E210)-ROW(B208)+1)),"")," ",IFERROR(INDEX(Накл!$C$9:$C$550,SMALL(IF(Накл!$A$9:$A$550=VALUE(LEFT(A208,8)),ROW(Накл!$A$9:$A$550)-ROW(Накл!$A$9)+1),ROW(E211)-ROW(B208)+1)),"")),"")</f>
        <v xml:space="preserve">   </v>
      </c>
    </row>
    <row r="209" spans="1:5">
      <c r="A209" s="26" t="str">
        <f>IFERROR(CONCATENATE(VALUE(SUBSTITUTE(SUBSTITUTE(LEFT(Накл!G216,11),".",""),"-",""))," ",Накл!J216),"-")</f>
        <v>-</v>
      </c>
      <c r="B209" s="26" t="str">
        <f>IFERROR(VLOOKUP(VALUE(LEFT(A209,8)),Накл!$A$9:$D$550,4,0),"-")</f>
        <v>-</v>
      </c>
      <c r="C209" s="26">
        <f>Накл!J216</f>
        <v>0</v>
      </c>
      <c r="D209" s="33" t="str">
        <f t="array" ref="D209">CONCATENATE(IFERROR(INDEX(Накл!$C$9:$C$550,SMALL(IF(Накл!$B$9:$B$550=A209,ROW(Накл!$B$9:$B$550)-ROW(Накл!$B$9)+1),ROW(D209)-ROW(A209)+1)),"")," ",IFERROR(INDEX(Накл!$C$9:$C$550,SMALL(IF(Накл!$B$9:$B$550=A209,ROW(Накл!$B$9:$B$550)-ROW(Накл!$B$9)+1),ROW(D210)-ROW(A209)+1)),"")," ",IFERROR(INDEX(Накл!$C$9:$C$550,SMALL(IF(Накл!$B$9:$B$550=A209,ROW(Накл!$B$9:$B$550)-ROW(Накл!$B$9)+1),ROW(D211)-ROW(A209)+1)),"")," ",IFERROR(INDEX(Накл!$C$9:$C$550,SMALL(IF(Накл!$B$9:$B$550=A209,ROW(Накл!$B$9:$B$550)-ROW(Накл!$B$9)+1),ROW(D212)-ROW(A209)+1)),"")," ",IFERROR(INDEX(Накл!$C$9:$C$550,SMALL(IF(Накл!$B$9:$B$550=A209,ROW(Накл!$B$9:$B$550)-ROW(Накл!$B$9)+1),ROW(D213)-ROW(A209)+1)),"")," ",IFERROR(INDEX(Накл!$C$9:$C$550,SMALL(IF(Накл!$B$9:$B$550=A209,ROW(Накл!$B$9:$B$550)-ROW(Накл!$B$9)+1),ROW(D214)-ROW(A209)+1)),"")," ",IFERROR(INDEX(Накл!$C$9:$C$550,SMALL(IF(Накл!$B$9:$B$550=A209,ROW(Накл!$B$9:$B$550)-ROW(Накл!$B$9)+1),ROW(D215)-ROW(A209)+1)),"")," ",IFERROR(INDEX(Накл!$C$9:$C$550,SMALL(IF(Накл!$B$9:$B$550=A209,ROW(Накл!$B$9:$B$550)-ROW(Накл!$B$9)+1),ROW(D216)-ROW(A209)+1)),"")," ",IFERROR(INDEX(Накл!$C$9:$C$550,SMALL(IF(Накл!$B$9:$B$550=A209,ROW(Накл!$B$9:$B$550)-ROW(Накл!$B$9)+1),ROW(D217)-ROW(A209)+1)),"")," ",IFERROR(INDEX(Накл!$C$9:$C$550,SMALL(IF(Накл!$B$9:$B$550=A209,ROW(Накл!$B$9:$B$550)-ROW(Накл!$B$9)+1),ROW(D218)-ROW(A209)+1)),""))</f>
        <v xml:space="preserve">         </v>
      </c>
      <c r="E209" s="26" t="str">
        <f t="array" ref="E209">IF(LEN(D209)&lt;10,CONCATENATE(IFERROR(INDEX(Накл!$C$9:$C$550,SMALL(IF(Накл!$A$9:$A$550=VALUE(LEFT(A209,8)),ROW(Накл!$A$9:$A$550)-ROW(Накл!$A$9)+1),ROW(E209)-ROW(B209)+1)),"")," ",IFERROR(INDEX(Накл!$C$9:$C$550,SMALL(IF(Накл!$A$9:$A$550=VALUE(LEFT(A209,8)),ROW(Накл!$A$9:$A$550)-ROW(Накл!$A$9)+1),ROW(E210)-ROW(B209)+1)),"")," ",IFERROR(INDEX(Накл!$C$9:$C$550,SMALL(IF(Накл!$A$9:$A$550=VALUE(LEFT(A209,8)),ROW(Накл!$A$9:$A$550)-ROW(Накл!$A$9)+1),ROW(E211)-ROW(B209)+1)),"")," ",IFERROR(INDEX(Накл!$C$9:$C$550,SMALL(IF(Накл!$A$9:$A$550=VALUE(LEFT(A209,8)),ROW(Накл!$A$9:$A$550)-ROW(Накл!$A$9)+1),ROW(E212)-ROW(B209)+1)),"")),"")</f>
        <v xml:space="preserve">   </v>
      </c>
    </row>
    <row r="210" spans="1:5">
      <c r="A210" s="26" t="str">
        <f>IFERROR(CONCATENATE(VALUE(SUBSTITUTE(SUBSTITUTE(LEFT(Накл!G217,11),".",""),"-",""))," ",Накл!J217),"-")</f>
        <v>-</v>
      </c>
      <c r="B210" s="26" t="str">
        <f>IFERROR(VLOOKUP(VALUE(LEFT(A210,8)),Накл!$A$9:$D$550,4,0),"-")</f>
        <v>-</v>
      </c>
      <c r="C210" s="26">
        <f>Накл!J217</f>
        <v>0</v>
      </c>
      <c r="D210" s="33" t="str">
        <f t="array" ref="D210">CONCATENATE(IFERROR(INDEX(Накл!$C$9:$C$550,SMALL(IF(Накл!$B$9:$B$550=A210,ROW(Накл!$B$9:$B$550)-ROW(Накл!$B$9)+1),ROW(D210)-ROW(A210)+1)),"")," ",IFERROR(INDEX(Накл!$C$9:$C$550,SMALL(IF(Накл!$B$9:$B$550=A210,ROW(Накл!$B$9:$B$550)-ROW(Накл!$B$9)+1),ROW(D211)-ROW(A210)+1)),"")," ",IFERROR(INDEX(Накл!$C$9:$C$550,SMALL(IF(Накл!$B$9:$B$550=A210,ROW(Накл!$B$9:$B$550)-ROW(Накл!$B$9)+1),ROW(D212)-ROW(A210)+1)),"")," ",IFERROR(INDEX(Накл!$C$9:$C$550,SMALL(IF(Накл!$B$9:$B$550=A210,ROW(Накл!$B$9:$B$550)-ROW(Накл!$B$9)+1),ROW(D213)-ROW(A210)+1)),"")," ",IFERROR(INDEX(Накл!$C$9:$C$550,SMALL(IF(Накл!$B$9:$B$550=A210,ROW(Накл!$B$9:$B$550)-ROW(Накл!$B$9)+1),ROW(D214)-ROW(A210)+1)),"")," ",IFERROR(INDEX(Накл!$C$9:$C$550,SMALL(IF(Накл!$B$9:$B$550=A210,ROW(Накл!$B$9:$B$550)-ROW(Накл!$B$9)+1),ROW(D215)-ROW(A210)+1)),"")," ",IFERROR(INDEX(Накл!$C$9:$C$550,SMALL(IF(Накл!$B$9:$B$550=A210,ROW(Накл!$B$9:$B$550)-ROW(Накл!$B$9)+1),ROW(D216)-ROW(A210)+1)),"")," ",IFERROR(INDEX(Накл!$C$9:$C$550,SMALL(IF(Накл!$B$9:$B$550=A210,ROW(Накл!$B$9:$B$550)-ROW(Накл!$B$9)+1),ROW(D217)-ROW(A210)+1)),"")," ",IFERROR(INDEX(Накл!$C$9:$C$550,SMALL(IF(Накл!$B$9:$B$550=A210,ROW(Накл!$B$9:$B$550)-ROW(Накл!$B$9)+1),ROW(D218)-ROW(A210)+1)),"")," ",IFERROR(INDEX(Накл!$C$9:$C$550,SMALL(IF(Накл!$B$9:$B$550=A210,ROW(Накл!$B$9:$B$550)-ROW(Накл!$B$9)+1),ROW(D219)-ROW(A210)+1)),""))</f>
        <v xml:space="preserve">         </v>
      </c>
      <c r="E210" s="26" t="str">
        <f t="array" ref="E210">IF(LEN(D210)&lt;10,CONCATENATE(IFERROR(INDEX(Накл!$C$9:$C$550,SMALL(IF(Накл!$A$9:$A$550=VALUE(LEFT(A210,8)),ROW(Накл!$A$9:$A$550)-ROW(Накл!$A$9)+1),ROW(E210)-ROW(B210)+1)),"")," ",IFERROR(INDEX(Накл!$C$9:$C$550,SMALL(IF(Накл!$A$9:$A$550=VALUE(LEFT(A210,8)),ROW(Накл!$A$9:$A$550)-ROW(Накл!$A$9)+1),ROW(E211)-ROW(B210)+1)),"")," ",IFERROR(INDEX(Накл!$C$9:$C$550,SMALL(IF(Накл!$A$9:$A$550=VALUE(LEFT(A210,8)),ROW(Накл!$A$9:$A$550)-ROW(Накл!$A$9)+1),ROW(E212)-ROW(B210)+1)),"")," ",IFERROR(INDEX(Накл!$C$9:$C$550,SMALL(IF(Накл!$A$9:$A$550=VALUE(LEFT(A210,8)),ROW(Накл!$A$9:$A$550)-ROW(Накл!$A$9)+1),ROW(E213)-ROW(B210)+1)),"")),"")</f>
        <v xml:space="preserve">   </v>
      </c>
    </row>
    <row r="211" spans="1:5">
      <c r="A211" s="26" t="str">
        <f>IFERROR(CONCATENATE(VALUE(SUBSTITUTE(SUBSTITUTE(LEFT(Накл!G218,11),".",""),"-",""))," ",Накл!J218),"-")</f>
        <v>-</v>
      </c>
      <c r="B211" s="26" t="str">
        <f>IFERROR(VLOOKUP(VALUE(LEFT(A211,8)),Накл!$A$9:$D$550,4,0),"-")</f>
        <v>-</v>
      </c>
      <c r="C211" s="26">
        <f>Накл!J218</f>
        <v>0</v>
      </c>
      <c r="D211" s="33" t="str">
        <f t="array" ref="D211">CONCATENATE(IFERROR(INDEX(Накл!$C$9:$C$550,SMALL(IF(Накл!$B$9:$B$550=A211,ROW(Накл!$B$9:$B$550)-ROW(Накл!$B$9)+1),ROW(D211)-ROW(A211)+1)),"")," ",IFERROR(INDEX(Накл!$C$9:$C$550,SMALL(IF(Накл!$B$9:$B$550=A211,ROW(Накл!$B$9:$B$550)-ROW(Накл!$B$9)+1),ROW(D212)-ROW(A211)+1)),"")," ",IFERROR(INDEX(Накл!$C$9:$C$550,SMALL(IF(Накл!$B$9:$B$550=A211,ROW(Накл!$B$9:$B$550)-ROW(Накл!$B$9)+1),ROW(D213)-ROW(A211)+1)),"")," ",IFERROR(INDEX(Накл!$C$9:$C$550,SMALL(IF(Накл!$B$9:$B$550=A211,ROW(Накл!$B$9:$B$550)-ROW(Накл!$B$9)+1),ROW(D214)-ROW(A211)+1)),"")," ",IFERROR(INDEX(Накл!$C$9:$C$550,SMALL(IF(Накл!$B$9:$B$550=A211,ROW(Накл!$B$9:$B$550)-ROW(Накл!$B$9)+1),ROW(D215)-ROW(A211)+1)),"")," ",IFERROR(INDEX(Накл!$C$9:$C$550,SMALL(IF(Накл!$B$9:$B$550=A211,ROW(Накл!$B$9:$B$550)-ROW(Накл!$B$9)+1),ROW(D216)-ROW(A211)+1)),"")," ",IFERROR(INDEX(Накл!$C$9:$C$550,SMALL(IF(Накл!$B$9:$B$550=A211,ROW(Накл!$B$9:$B$550)-ROW(Накл!$B$9)+1),ROW(D217)-ROW(A211)+1)),"")," ",IFERROR(INDEX(Накл!$C$9:$C$550,SMALL(IF(Накл!$B$9:$B$550=A211,ROW(Накл!$B$9:$B$550)-ROW(Накл!$B$9)+1),ROW(D218)-ROW(A211)+1)),"")," ",IFERROR(INDEX(Накл!$C$9:$C$550,SMALL(IF(Накл!$B$9:$B$550=A211,ROW(Накл!$B$9:$B$550)-ROW(Накл!$B$9)+1),ROW(D219)-ROW(A211)+1)),"")," ",IFERROR(INDEX(Накл!$C$9:$C$550,SMALL(IF(Накл!$B$9:$B$550=A211,ROW(Накл!$B$9:$B$550)-ROW(Накл!$B$9)+1),ROW(D220)-ROW(A211)+1)),""))</f>
        <v xml:space="preserve">         </v>
      </c>
      <c r="E211" s="26" t="str">
        <f t="array" ref="E211">IF(LEN(D211)&lt;10,CONCATENATE(IFERROR(INDEX(Накл!$C$9:$C$550,SMALL(IF(Накл!$A$9:$A$550=VALUE(LEFT(A211,8)),ROW(Накл!$A$9:$A$550)-ROW(Накл!$A$9)+1),ROW(E211)-ROW(B211)+1)),"")," ",IFERROR(INDEX(Накл!$C$9:$C$550,SMALL(IF(Накл!$A$9:$A$550=VALUE(LEFT(A211,8)),ROW(Накл!$A$9:$A$550)-ROW(Накл!$A$9)+1),ROW(E212)-ROW(B211)+1)),"")," ",IFERROR(INDEX(Накл!$C$9:$C$550,SMALL(IF(Накл!$A$9:$A$550=VALUE(LEFT(A211,8)),ROW(Накл!$A$9:$A$550)-ROW(Накл!$A$9)+1),ROW(E213)-ROW(B211)+1)),"")," ",IFERROR(INDEX(Накл!$C$9:$C$550,SMALL(IF(Накл!$A$9:$A$550=VALUE(LEFT(A211,8)),ROW(Накл!$A$9:$A$550)-ROW(Накл!$A$9)+1),ROW(E214)-ROW(B211)+1)),"")),"")</f>
        <v xml:space="preserve">   </v>
      </c>
    </row>
    <row r="212" spans="1:5">
      <c r="A212" s="26" t="str">
        <f>IFERROR(CONCATENATE(VALUE(SUBSTITUTE(SUBSTITUTE(LEFT(Накл!G219,11),".",""),"-",""))," ",Накл!J219),"-")</f>
        <v>-</v>
      </c>
      <c r="B212" s="26" t="str">
        <f>IFERROR(VLOOKUP(VALUE(LEFT(A212,8)),Накл!$A$9:$D$550,4,0),"-")</f>
        <v>-</v>
      </c>
      <c r="C212" s="26">
        <f>Накл!J219</f>
        <v>0</v>
      </c>
      <c r="D212" s="33" t="str">
        <f t="array" ref="D212">CONCATENATE(IFERROR(INDEX(Накл!$C$9:$C$550,SMALL(IF(Накл!$B$9:$B$550=A212,ROW(Накл!$B$9:$B$550)-ROW(Накл!$B$9)+1),ROW(D212)-ROW(A212)+1)),"")," ",IFERROR(INDEX(Накл!$C$9:$C$550,SMALL(IF(Накл!$B$9:$B$550=A212,ROW(Накл!$B$9:$B$550)-ROW(Накл!$B$9)+1),ROW(D213)-ROW(A212)+1)),"")," ",IFERROR(INDEX(Накл!$C$9:$C$550,SMALL(IF(Накл!$B$9:$B$550=A212,ROW(Накл!$B$9:$B$550)-ROW(Накл!$B$9)+1),ROW(D214)-ROW(A212)+1)),"")," ",IFERROR(INDEX(Накл!$C$9:$C$550,SMALL(IF(Накл!$B$9:$B$550=A212,ROW(Накл!$B$9:$B$550)-ROW(Накл!$B$9)+1),ROW(D215)-ROW(A212)+1)),"")," ",IFERROR(INDEX(Накл!$C$9:$C$550,SMALL(IF(Накл!$B$9:$B$550=A212,ROW(Накл!$B$9:$B$550)-ROW(Накл!$B$9)+1),ROW(D216)-ROW(A212)+1)),"")," ",IFERROR(INDEX(Накл!$C$9:$C$550,SMALL(IF(Накл!$B$9:$B$550=A212,ROW(Накл!$B$9:$B$550)-ROW(Накл!$B$9)+1),ROW(D217)-ROW(A212)+1)),"")," ",IFERROR(INDEX(Накл!$C$9:$C$550,SMALL(IF(Накл!$B$9:$B$550=A212,ROW(Накл!$B$9:$B$550)-ROW(Накл!$B$9)+1),ROW(D218)-ROW(A212)+1)),"")," ",IFERROR(INDEX(Накл!$C$9:$C$550,SMALL(IF(Накл!$B$9:$B$550=A212,ROW(Накл!$B$9:$B$550)-ROW(Накл!$B$9)+1),ROW(D219)-ROW(A212)+1)),"")," ",IFERROR(INDEX(Накл!$C$9:$C$550,SMALL(IF(Накл!$B$9:$B$550=A212,ROW(Накл!$B$9:$B$550)-ROW(Накл!$B$9)+1),ROW(D220)-ROW(A212)+1)),"")," ",IFERROR(INDEX(Накл!$C$9:$C$550,SMALL(IF(Накл!$B$9:$B$550=A212,ROW(Накл!$B$9:$B$550)-ROW(Накл!$B$9)+1),ROW(D221)-ROW(A212)+1)),""))</f>
        <v xml:space="preserve">         </v>
      </c>
      <c r="E212" s="26" t="str">
        <f t="array" ref="E212">IF(LEN(D212)&lt;10,CONCATENATE(IFERROR(INDEX(Накл!$C$9:$C$550,SMALL(IF(Накл!$A$9:$A$550=VALUE(LEFT(A212,8)),ROW(Накл!$A$9:$A$550)-ROW(Накл!$A$9)+1),ROW(E212)-ROW(B212)+1)),"")," ",IFERROR(INDEX(Накл!$C$9:$C$550,SMALL(IF(Накл!$A$9:$A$550=VALUE(LEFT(A212,8)),ROW(Накл!$A$9:$A$550)-ROW(Накл!$A$9)+1),ROW(E213)-ROW(B212)+1)),"")," ",IFERROR(INDEX(Накл!$C$9:$C$550,SMALL(IF(Накл!$A$9:$A$550=VALUE(LEFT(A212,8)),ROW(Накл!$A$9:$A$550)-ROW(Накл!$A$9)+1),ROW(E214)-ROW(B212)+1)),"")," ",IFERROR(INDEX(Накл!$C$9:$C$550,SMALL(IF(Накл!$A$9:$A$550=VALUE(LEFT(A212,8)),ROW(Накл!$A$9:$A$550)-ROW(Накл!$A$9)+1),ROW(E215)-ROW(B212)+1)),"")),"")</f>
        <v xml:space="preserve">   </v>
      </c>
    </row>
    <row r="213" spans="1:5">
      <c r="A213" s="26" t="str">
        <f>IFERROR(CONCATENATE(VALUE(SUBSTITUTE(SUBSTITUTE(LEFT(Накл!G220,11),".",""),"-",""))," ",Накл!J220),"-")</f>
        <v>-</v>
      </c>
      <c r="B213" s="26" t="str">
        <f>IFERROR(VLOOKUP(VALUE(LEFT(A213,8)),Накл!$A$9:$D$550,4,0),"-")</f>
        <v>-</v>
      </c>
      <c r="C213" s="26">
        <f>Накл!J220</f>
        <v>0</v>
      </c>
      <c r="D213" s="33" t="str">
        <f t="array" ref="D213">CONCATENATE(IFERROR(INDEX(Накл!$C$9:$C$550,SMALL(IF(Накл!$B$9:$B$550=A213,ROW(Накл!$B$9:$B$550)-ROW(Накл!$B$9)+1),ROW(D213)-ROW(A213)+1)),"")," ",IFERROR(INDEX(Накл!$C$9:$C$550,SMALL(IF(Накл!$B$9:$B$550=A213,ROW(Накл!$B$9:$B$550)-ROW(Накл!$B$9)+1),ROW(D214)-ROW(A213)+1)),"")," ",IFERROR(INDEX(Накл!$C$9:$C$550,SMALL(IF(Накл!$B$9:$B$550=A213,ROW(Накл!$B$9:$B$550)-ROW(Накл!$B$9)+1),ROW(D215)-ROW(A213)+1)),"")," ",IFERROR(INDEX(Накл!$C$9:$C$550,SMALL(IF(Накл!$B$9:$B$550=A213,ROW(Накл!$B$9:$B$550)-ROW(Накл!$B$9)+1),ROW(D216)-ROW(A213)+1)),"")," ",IFERROR(INDEX(Накл!$C$9:$C$550,SMALL(IF(Накл!$B$9:$B$550=A213,ROW(Накл!$B$9:$B$550)-ROW(Накл!$B$9)+1),ROW(D217)-ROW(A213)+1)),"")," ",IFERROR(INDEX(Накл!$C$9:$C$550,SMALL(IF(Накл!$B$9:$B$550=A213,ROW(Накл!$B$9:$B$550)-ROW(Накл!$B$9)+1),ROW(D218)-ROW(A213)+1)),"")," ",IFERROR(INDEX(Накл!$C$9:$C$550,SMALL(IF(Накл!$B$9:$B$550=A213,ROW(Накл!$B$9:$B$550)-ROW(Накл!$B$9)+1),ROW(D219)-ROW(A213)+1)),"")," ",IFERROR(INDEX(Накл!$C$9:$C$550,SMALL(IF(Накл!$B$9:$B$550=A213,ROW(Накл!$B$9:$B$550)-ROW(Накл!$B$9)+1),ROW(D220)-ROW(A213)+1)),"")," ",IFERROR(INDEX(Накл!$C$9:$C$550,SMALL(IF(Накл!$B$9:$B$550=A213,ROW(Накл!$B$9:$B$550)-ROW(Накл!$B$9)+1),ROW(D221)-ROW(A213)+1)),"")," ",IFERROR(INDEX(Накл!$C$9:$C$550,SMALL(IF(Накл!$B$9:$B$550=A213,ROW(Накл!$B$9:$B$550)-ROW(Накл!$B$9)+1),ROW(D222)-ROW(A213)+1)),""))</f>
        <v xml:space="preserve">         </v>
      </c>
      <c r="E213" s="26" t="str">
        <f t="array" ref="E213">IF(LEN(D213)&lt;10,CONCATENATE(IFERROR(INDEX(Накл!$C$9:$C$550,SMALL(IF(Накл!$A$9:$A$550=VALUE(LEFT(A213,8)),ROW(Накл!$A$9:$A$550)-ROW(Накл!$A$9)+1),ROW(E213)-ROW(B213)+1)),"")," ",IFERROR(INDEX(Накл!$C$9:$C$550,SMALL(IF(Накл!$A$9:$A$550=VALUE(LEFT(A213,8)),ROW(Накл!$A$9:$A$550)-ROW(Накл!$A$9)+1),ROW(E214)-ROW(B213)+1)),"")," ",IFERROR(INDEX(Накл!$C$9:$C$550,SMALL(IF(Накл!$A$9:$A$550=VALUE(LEFT(A213,8)),ROW(Накл!$A$9:$A$550)-ROW(Накл!$A$9)+1),ROW(E215)-ROW(B213)+1)),"")," ",IFERROR(INDEX(Накл!$C$9:$C$550,SMALL(IF(Накл!$A$9:$A$550=VALUE(LEFT(A213,8)),ROW(Накл!$A$9:$A$550)-ROW(Накл!$A$9)+1),ROW(E216)-ROW(B213)+1)),"")),"")</f>
        <v xml:space="preserve">   </v>
      </c>
    </row>
    <row r="214" spans="1:5">
      <c r="A214" s="26" t="str">
        <f>IFERROR(CONCATENATE(VALUE(SUBSTITUTE(SUBSTITUTE(LEFT(Накл!G221,11),".",""),"-",""))," ",Накл!J221),"-")</f>
        <v>-</v>
      </c>
      <c r="B214" s="26" t="str">
        <f>IFERROR(VLOOKUP(VALUE(LEFT(A214,8)),Накл!$A$9:$D$550,4,0),"-")</f>
        <v>-</v>
      </c>
      <c r="C214" s="26">
        <f>Накл!J221</f>
        <v>0</v>
      </c>
      <c r="D214" s="33" t="str">
        <f t="array" ref="D214">CONCATENATE(IFERROR(INDEX(Накл!$C$9:$C$550,SMALL(IF(Накл!$B$9:$B$550=A214,ROW(Накл!$B$9:$B$550)-ROW(Накл!$B$9)+1),ROW(D214)-ROW(A214)+1)),"")," ",IFERROR(INDEX(Накл!$C$9:$C$550,SMALL(IF(Накл!$B$9:$B$550=A214,ROW(Накл!$B$9:$B$550)-ROW(Накл!$B$9)+1),ROW(D215)-ROW(A214)+1)),"")," ",IFERROR(INDEX(Накл!$C$9:$C$550,SMALL(IF(Накл!$B$9:$B$550=A214,ROW(Накл!$B$9:$B$550)-ROW(Накл!$B$9)+1),ROW(D216)-ROW(A214)+1)),"")," ",IFERROR(INDEX(Накл!$C$9:$C$550,SMALL(IF(Накл!$B$9:$B$550=A214,ROW(Накл!$B$9:$B$550)-ROW(Накл!$B$9)+1),ROW(D217)-ROW(A214)+1)),"")," ",IFERROR(INDEX(Накл!$C$9:$C$550,SMALL(IF(Накл!$B$9:$B$550=A214,ROW(Накл!$B$9:$B$550)-ROW(Накл!$B$9)+1),ROW(D218)-ROW(A214)+1)),"")," ",IFERROR(INDEX(Накл!$C$9:$C$550,SMALL(IF(Накл!$B$9:$B$550=A214,ROW(Накл!$B$9:$B$550)-ROW(Накл!$B$9)+1),ROW(D219)-ROW(A214)+1)),"")," ",IFERROR(INDEX(Накл!$C$9:$C$550,SMALL(IF(Накл!$B$9:$B$550=A214,ROW(Накл!$B$9:$B$550)-ROW(Накл!$B$9)+1),ROW(D220)-ROW(A214)+1)),"")," ",IFERROR(INDEX(Накл!$C$9:$C$550,SMALL(IF(Накл!$B$9:$B$550=A214,ROW(Накл!$B$9:$B$550)-ROW(Накл!$B$9)+1),ROW(D221)-ROW(A214)+1)),"")," ",IFERROR(INDEX(Накл!$C$9:$C$550,SMALL(IF(Накл!$B$9:$B$550=A214,ROW(Накл!$B$9:$B$550)-ROW(Накл!$B$9)+1),ROW(D222)-ROW(A214)+1)),"")," ",IFERROR(INDEX(Накл!$C$9:$C$550,SMALL(IF(Накл!$B$9:$B$550=A214,ROW(Накл!$B$9:$B$550)-ROW(Накл!$B$9)+1),ROW(D223)-ROW(A214)+1)),""))</f>
        <v xml:space="preserve">         </v>
      </c>
      <c r="E214" s="26" t="str">
        <f t="array" ref="E214">IF(LEN(D214)&lt;10,CONCATENATE(IFERROR(INDEX(Накл!$C$9:$C$550,SMALL(IF(Накл!$A$9:$A$550=VALUE(LEFT(A214,8)),ROW(Накл!$A$9:$A$550)-ROW(Накл!$A$9)+1),ROW(E214)-ROW(B214)+1)),"")," ",IFERROR(INDEX(Накл!$C$9:$C$550,SMALL(IF(Накл!$A$9:$A$550=VALUE(LEFT(A214,8)),ROW(Накл!$A$9:$A$550)-ROW(Накл!$A$9)+1),ROW(E215)-ROW(B214)+1)),"")," ",IFERROR(INDEX(Накл!$C$9:$C$550,SMALL(IF(Накл!$A$9:$A$550=VALUE(LEFT(A214,8)),ROW(Накл!$A$9:$A$550)-ROW(Накл!$A$9)+1),ROW(E216)-ROW(B214)+1)),"")," ",IFERROR(INDEX(Накл!$C$9:$C$550,SMALL(IF(Накл!$A$9:$A$550=VALUE(LEFT(A214,8)),ROW(Накл!$A$9:$A$550)-ROW(Накл!$A$9)+1),ROW(E217)-ROW(B214)+1)),"")),"")</f>
        <v xml:space="preserve">   </v>
      </c>
    </row>
    <row r="215" spans="1:5">
      <c r="A215" s="26" t="str">
        <f>IFERROR(CONCATENATE(VALUE(SUBSTITUTE(SUBSTITUTE(LEFT(Накл!G222,11),".",""),"-",""))," ",Накл!J222),"-")</f>
        <v>-</v>
      </c>
      <c r="B215" s="26" t="str">
        <f>IFERROR(VLOOKUP(VALUE(LEFT(A215,8)),Накл!$A$9:$D$550,4,0),"-")</f>
        <v>-</v>
      </c>
      <c r="C215" s="26">
        <f>Накл!J222</f>
        <v>0</v>
      </c>
      <c r="D215" s="33" t="str">
        <f t="array" ref="D215">CONCATENATE(IFERROR(INDEX(Накл!$C$9:$C$550,SMALL(IF(Накл!$B$9:$B$550=A215,ROW(Накл!$B$9:$B$550)-ROW(Накл!$B$9)+1),ROW(D215)-ROW(A215)+1)),"")," ",IFERROR(INDEX(Накл!$C$9:$C$550,SMALL(IF(Накл!$B$9:$B$550=A215,ROW(Накл!$B$9:$B$550)-ROW(Накл!$B$9)+1),ROW(D216)-ROW(A215)+1)),"")," ",IFERROR(INDEX(Накл!$C$9:$C$550,SMALL(IF(Накл!$B$9:$B$550=A215,ROW(Накл!$B$9:$B$550)-ROW(Накл!$B$9)+1),ROW(D217)-ROW(A215)+1)),"")," ",IFERROR(INDEX(Накл!$C$9:$C$550,SMALL(IF(Накл!$B$9:$B$550=A215,ROW(Накл!$B$9:$B$550)-ROW(Накл!$B$9)+1),ROW(D218)-ROW(A215)+1)),"")," ",IFERROR(INDEX(Накл!$C$9:$C$550,SMALL(IF(Накл!$B$9:$B$550=A215,ROW(Накл!$B$9:$B$550)-ROW(Накл!$B$9)+1),ROW(D219)-ROW(A215)+1)),"")," ",IFERROR(INDEX(Накл!$C$9:$C$550,SMALL(IF(Накл!$B$9:$B$550=A215,ROW(Накл!$B$9:$B$550)-ROW(Накл!$B$9)+1),ROW(D220)-ROW(A215)+1)),"")," ",IFERROR(INDEX(Накл!$C$9:$C$550,SMALL(IF(Накл!$B$9:$B$550=A215,ROW(Накл!$B$9:$B$550)-ROW(Накл!$B$9)+1),ROW(D221)-ROW(A215)+1)),"")," ",IFERROR(INDEX(Накл!$C$9:$C$550,SMALL(IF(Накл!$B$9:$B$550=A215,ROW(Накл!$B$9:$B$550)-ROW(Накл!$B$9)+1),ROW(D222)-ROW(A215)+1)),"")," ",IFERROR(INDEX(Накл!$C$9:$C$550,SMALL(IF(Накл!$B$9:$B$550=A215,ROW(Накл!$B$9:$B$550)-ROW(Накл!$B$9)+1),ROW(D223)-ROW(A215)+1)),"")," ",IFERROR(INDEX(Накл!$C$9:$C$550,SMALL(IF(Накл!$B$9:$B$550=A215,ROW(Накл!$B$9:$B$550)-ROW(Накл!$B$9)+1),ROW(D224)-ROW(A215)+1)),""))</f>
        <v xml:space="preserve">         </v>
      </c>
      <c r="E215" s="26" t="str">
        <f t="array" ref="E215">IF(LEN(D215)&lt;10,CONCATENATE(IFERROR(INDEX(Накл!$C$9:$C$550,SMALL(IF(Накл!$A$9:$A$550=VALUE(LEFT(A215,8)),ROW(Накл!$A$9:$A$550)-ROW(Накл!$A$9)+1),ROW(E215)-ROW(B215)+1)),"")," ",IFERROR(INDEX(Накл!$C$9:$C$550,SMALL(IF(Накл!$A$9:$A$550=VALUE(LEFT(A215,8)),ROW(Накл!$A$9:$A$550)-ROW(Накл!$A$9)+1),ROW(E216)-ROW(B215)+1)),"")," ",IFERROR(INDEX(Накл!$C$9:$C$550,SMALL(IF(Накл!$A$9:$A$550=VALUE(LEFT(A215,8)),ROW(Накл!$A$9:$A$550)-ROW(Накл!$A$9)+1),ROW(E217)-ROW(B215)+1)),"")," ",IFERROR(INDEX(Накл!$C$9:$C$550,SMALL(IF(Накл!$A$9:$A$550=VALUE(LEFT(A215,8)),ROW(Накл!$A$9:$A$550)-ROW(Накл!$A$9)+1),ROW(E218)-ROW(B215)+1)),"")),"")</f>
        <v xml:space="preserve">   </v>
      </c>
    </row>
    <row r="216" spans="1:5">
      <c r="A216" s="26" t="str">
        <f>IFERROR(CONCATENATE(VALUE(SUBSTITUTE(SUBSTITUTE(LEFT(Накл!G223,11),".",""),"-",""))," ",Накл!J223),"-")</f>
        <v>-</v>
      </c>
      <c r="B216" s="26" t="str">
        <f>IFERROR(VLOOKUP(VALUE(LEFT(A216,8)),Накл!$A$9:$D$550,4,0),"-")</f>
        <v>-</v>
      </c>
      <c r="C216" s="26">
        <f>Накл!J223</f>
        <v>0</v>
      </c>
      <c r="D216" s="33" t="str">
        <f t="array" ref="D216">CONCATENATE(IFERROR(INDEX(Накл!$C$9:$C$550,SMALL(IF(Накл!$B$9:$B$550=A216,ROW(Накл!$B$9:$B$550)-ROW(Накл!$B$9)+1),ROW(D216)-ROW(A216)+1)),"")," ",IFERROR(INDEX(Накл!$C$9:$C$550,SMALL(IF(Накл!$B$9:$B$550=A216,ROW(Накл!$B$9:$B$550)-ROW(Накл!$B$9)+1),ROW(D217)-ROW(A216)+1)),"")," ",IFERROR(INDEX(Накл!$C$9:$C$550,SMALL(IF(Накл!$B$9:$B$550=A216,ROW(Накл!$B$9:$B$550)-ROW(Накл!$B$9)+1),ROW(D218)-ROW(A216)+1)),"")," ",IFERROR(INDEX(Накл!$C$9:$C$550,SMALL(IF(Накл!$B$9:$B$550=A216,ROW(Накл!$B$9:$B$550)-ROW(Накл!$B$9)+1),ROW(D219)-ROW(A216)+1)),"")," ",IFERROR(INDEX(Накл!$C$9:$C$550,SMALL(IF(Накл!$B$9:$B$550=A216,ROW(Накл!$B$9:$B$550)-ROW(Накл!$B$9)+1),ROW(D220)-ROW(A216)+1)),"")," ",IFERROR(INDEX(Накл!$C$9:$C$550,SMALL(IF(Накл!$B$9:$B$550=A216,ROW(Накл!$B$9:$B$550)-ROW(Накл!$B$9)+1),ROW(D221)-ROW(A216)+1)),"")," ",IFERROR(INDEX(Накл!$C$9:$C$550,SMALL(IF(Накл!$B$9:$B$550=A216,ROW(Накл!$B$9:$B$550)-ROW(Накл!$B$9)+1),ROW(D222)-ROW(A216)+1)),"")," ",IFERROR(INDEX(Накл!$C$9:$C$550,SMALL(IF(Накл!$B$9:$B$550=A216,ROW(Накл!$B$9:$B$550)-ROW(Накл!$B$9)+1),ROW(D223)-ROW(A216)+1)),"")," ",IFERROR(INDEX(Накл!$C$9:$C$550,SMALL(IF(Накл!$B$9:$B$550=A216,ROW(Накл!$B$9:$B$550)-ROW(Накл!$B$9)+1),ROW(D224)-ROW(A216)+1)),"")," ",IFERROR(INDEX(Накл!$C$9:$C$550,SMALL(IF(Накл!$B$9:$B$550=A216,ROW(Накл!$B$9:$B$550)-ROW(Накл!$B$9)+1),ROW(D225)-ROW(A216)+1)),""))</f>
        <v xml:space="preserve">         </v>
      </c>
      <c r="E216" s="26" t="str">
        <f t="array" ref="E216">IF(LEN(D216)&lt;10,CONCATENATE(IFERROR(INDEX(Накл!$C$9:$C$550,SMALL(IF(Накл!$A$9:$A$550=VALUE(LEFT(A216,8)),ROW(Накл!$A$9:$A$550)-ROW(Накл!$A$9)+1),ROW(E216)-ROW(B216)+1)),"")," ",IFERROR(INDEX(Накл!$C$9:$C$550,SMALL(IF(Накл!$A$9:$A$550=VALUE(LEFT(A216,8)),ROW(Накл!$A$9:$A$550)-ROW(Накл!$A$9)+1),ROW(E217)-ROW(B216)+1)),"")," ",IFERROR(INDEX(Накл!$C$9:$C$550,SMALL(IF(Накл!$A$9:$A$550=VALUE(LEFT(A216,8)),ROW(Накл!$A$9:$A$550)-ROW(Накл!$A$9)+1),ROW(E218)-ROW(B216)+1)),"")," ",IFERROR(INDEX(Накл!$C$9:$C$550,SMALL(IF(Накл!$A$9:$A$550=VALUE(LEFT(A216,8)),ROW(Накл!$A$9:$A$550)-ROW(Накл!$A$9)+1),ROW(E219)-ROW(B216)+1)),"")),"")</f>
        <v xml:space="preserve">   </v>
      </c>
    </row>
    <row r="217" spans="1:5">
      <c r="A217" s="26" t="str">
        <f>IFERROR(CONCATENATE(VALUE(SUBSTITUTE(SUBSTITUTE(LEFT(Накл!G224,11),".",""),"-",""))," ",Накл!J224),"-")</f>
        <v>-</v>
      </c>
      <c r="B217" s="26" t="str">
        <f>IFERROR(VLOOKUP(VALUE(LEFT(A217,8)),Накл!$A$9:$D$550,4,0),"-")</f>
        <v>-</v>
      </c>
      <c r="C217" s="26">
        <f>Накл!J224</f>
        <v>0</v>
      </c>
      <c r="D217" s="33" t="str">
        <f t="array" ref="D217">CONCATENATE(IFERROR(INDEX(Накл!$C$9:$C$550,SMALL(IF(Накл!$B$9:$B$550=A217,ROW(Накл!$B$9:$B$550)-ROW(Накл!$B$9)+1),ROW(D217)-ROW(A217)+1)),"")," ",IFERROR(INDEX(Накл!$C$9:$C$550,SMALL(IF(Накл!$B$9:$B$550=A217,ROW(Накл!$B$9:$B$550)-ROW(Накл!$B$9)+1),ROW(D218)-ROW(A217)+1)),"")," ",IFERROR(INDEX(Накл!$C$9:$C$550,SMALL(IF(Накл!$B$9:$B$550=A217,ROW(Накл!$B$9:$B$550)-ROW(Накл!$B$9)+1),ROW(D219)-ROW(A217)+1)),"")," ",IFERROR(INDEX(Накл!$C$9:$C$550,SMALL(IF(Накл!$B$9:$B$550=A217,ROW(Накл!$B$9:$B$550)-ROW(Накл!$B$9)+1),ROW(D220)-ROW(A217)+1)),"")," ",IFERROR(INDEX(Накл!$C$9:$C$550,SMALL(IF(Накл!$B$9:$B$550=A217,ROW(Накл!$B$9:$B$550)-ROW(Накл!$B$9)+1),ROW(D221)-ROW(A217)+1)),"")," ",IFERROR(INDEX(Накл!$C$9:$C$550,SMALL(IF(Накл!$B$9:$B$550=A217,ROW(Накл!$B$9:$B$550)-ROW(Накл!$B$9)+1),ROW(D222)-ROW(A217)+1)),"")," ",IFERROR(INDEX(Накл!$C$9:$C$550,SMALL(IF(Накл!$B$9:$B$550=A217,ROW(Накл!$B$9:$B$550)-ROW(Накл!$B$9)+1),ROW(D223)-ROW(A217)+1)),"")," ",IFERROR(INDEX(Накл!$C$9:$C$550,SMALL(IF(Накл!$B$9:$B$550=A217,ROW(Накл!$B$9:$B$550)-ROW(Накл!$B$9)+1),ROW(D224)-ROW(A217)+1)),"")," ",IFERROR(INDEX(Накл!$C$9:$C$550,SMALL(IF(Накл!$B$9:$B$550=A217,ROW(Накл!$B$9:$B$550)-ROW(Накл!$B$9)+1),ROW(D225)-ROW(A217)+1)),"")," ",IFERROR(INDEX(Накл!$C$9:$C$550,SMALL(IF(Накл!$B$9:$B$550=A217,ROW(Накл!$B$9:$B$550)-ROW(Накл!$B$9)+1),ROW(D226)-ROW(A217)+1)),""))</f>
        <v xml:space="preserve">         </v>
      </c>
      <c r="E217" s="26" t="str">
        <f t="array" ref="E217">IF(LEN(D217)&lt;10,CONCATENATE(IFERROR(INDEX(Накл!$C$9:$C$550,SMALL(IF(Накл!$A$9:$A$550=VALUE(LEFT(A217,8)),ROW(Накл!$A$9:$A$550)-ROW(Накл!$A$9)+1),ROW(E217)-ROW(B217)+1)),"")," ",IFERROR(INDEX(Накл!$C$9:$C$550,SMALL(IF(Накл!$A$9:$A$550=VALUE(LEFT(A217,8)),ROW(Накл!$A$9:$A$550)-ROW(Накл!$A$9)+1),ROW(E218)-ROW(B217)+1)),"")," ",IFERROR(INDEX(Накл!$C$9:$C$550,SMALL(IF(Накл!$A$9:$A$550=VALUE(LEFT(A217,8)),ROW(Накл!$A$9:$A$550)-ROW(Накл!$A$9)+1),ROW(E219)-ROW(B217)+1)),"")," ",IFERROR(INDEX(Накл!$C$9:$C$550,SMALL(IF(Накл!$A$9:$A$550=VALUE(LEFT(A217,8)),ROW(Накл!$A$9:$A$550)-ROW(Накл!$A$9)+1),ROW(E220)-ROW(B217)+1)),"")),"")</f>
        <v xml:space="preserve">   </v>
      </c>
    </row>
    <row r="218" spans="1:5">
      <c r="A218" s="26" t="str">
        <f>IFERROR(CONCATENATE(VALUE(SUBSTITUTE(SUBSTITUTE(LEFT(Накл!G225,11),".",""),"-",""))," ",Накл!J225),"-")</f>
        <v>-</v>
      </c>
      <c r="B218" s="26" t="str">
        <f>IFERROR(VLOOKUP(VALUE(LEFT(A218,8)),Накл!$A$9:$D$550,4,0),"-")</f>
        <v>-</v>
      </c>
      <c r="C218" s="26">
        <f>Накл!J225</f>
        <v>0</v>
      </c>
      <c r="D218" s="33" t="str">
        <f t="array" ref="D218">CONCATENATE(IFERROR(INDEX(Накл!$C$9:$C$550,SMALL(IF(Накл!$B$9:$B$550=A218,ROW(Накл!$B$9:$B$550)-ROW(Накл!$B$9)+1),ROW(D218)-ROW(A218)+1)),"")," ",IFERROR(INDEX(Накл!$C$9:$C$550,SMALL(IF(Накл!$B$9:$B$550=A218,ROW(Накл!$B$9:$B$550)-ROW(Накл!$B$9)+1),ROW(D219)-ROW(A218)+1)),"")," ",IFERROR(INDEX(Накл!$C$9:$C$550,SMALL(IF(Накл!$B$9:$B$550=A218,ROW(Накл!$B$9:$B$550)-ROW(Накл!$B$9)+1),ROW(D220)-ROW(A218)+1)),"")," ",IFERROR(INDEX(Накл!$C$9:$C$550,SMALL(IF(Накл!$B$9:$B$550=A218,ROW(Накл!$B$9:$B$550)-ROW(Накл!$B$9)+1),ROW(D221)-ROW(A218)+1)),"")," ",IFERROR(INDEX(Накл!$C$9:$C$550,SMALL(IF(Накл!$B$9:$B$550=A218,ROW(Накл!$B$9:$B$550)-ROW(Накл!$B$9)+1),ROW(D222)-ROW(A218)+1)),"")," ",IFERROR(INDEX(Накл!$C$9:$C$550,SMALL(IF(Накл!$B$9:$B$550=A218,ROW(Накл!$B$9:$B$550)-ROW(Накл!$B$9)+1),ROW(D223)-ROW(A218)+1)),"")," ",IFERROR(INDEX(Накл!$C$9:$C$550,SMALL(IF(Накл!$B$9:$B$550=A218,ROW(Накл!$B$9:$B$550)-ROW(Накл!$B$9)+1),ROW(D224)-ROW(A218)+1)),"")," ",IFERROR(INDEX(Накл!$C$9:$C$550,SMALL(IF(Накл!$B$9:$B$550=A218,ROW(Накл!$B$9:$B$550)-ROW(Накл!$B$9)+1),ROW(D225)-ROW(A218)+1)),"")," ",IFERROR(INDEX(Накл!$C$9:$C$550,SMALL(IF(Накл!$B$9:$B$550=A218,ROW(Накл!$B$9:$B$550)-ROW(Накл!$B$9)+1),ROW(D226)-ROW(A218)+1)),"")," ",IFERROR(INDEX(Накл!$C$9:$C$550,SMALL(IF(Накл!$B$9:$B$550=A218,ROW(Накл!$B$9:$B$550)-ROW(Накл!$B$9)+1),ROW(D227)-ROW(A218)+1)),""))</f>
        <v xml:space="preserve">         </v>
      </c>
      <c r="E218" s="26" t="str">
        <f t="array" ref="E218">IF(LEN(D218)&lt;10,CONCATENATE(IFERROR(INDEX(Накл!$C$9:$C$550,SMALL(IF(Накл!$A$9:$A$550=VALUE(LEFT(A218,8)),ROW(Накл!$A$9:$A$550)-ROW(Накл!$A$9)+1),ROW(E218)-ROW(B218)+1)),"")," ",IFERROR(INDEX(Накл!$C$9:$C$550,SMALL(IF(Накл!$A$9:$A$550=VALUE(LEFT(A218,8)),ROW(Накл!$A$9:$A$550)-ROW(Накл!$A$9)+1),ROW(E219)-ROW(B218)+1)),"")," ",IFERROR(INDEX(Накл!$C$9:$C$550,SMALL(IF(Накл!$A$9:$A$550=VALUE(LEFT(A218,8)),ROW(Накл!$A$9:$A$550)-ROW(Накл!$A$9)+1),ROW(E220)-ROW(B218)+1)),"")," ",IFERROR(INDEX(Накл!$C$9:$C$550,SMALL(IF(Накл!$A$9:$A$550=VALUE(LEFT(A218,8)),ROW(Накл!$A$9:$A$550)-ROW(Накл!$A$9)+1),ROW(E221)-ROW(B218)+1)),"")),"")</f>
        <v xml:space="preserve">   </v>
      </c>
    </row>
    <row r="219" spans="1:5">
      <c r="A219" s="26" t="str">
        <f>IFERROR(CONCATENATE(VALUE(SUBSTITUTE(SUBSTITUTE(LEFT(Накл!G226,11),".",""),"-",""))," ",Накл!J226),"-")</f>
        <v>-</v>
      </c>
      <c r="B219" s="26" t="str">
        <f>IFERROR(VLOOKUP(VALUE(LEFT(A219,8)),Накл!$A$9:$D$550,4,0),"-")</f>
        <v>-</v>
      </c>
      <c r="C219" s="26">
        <f>Накл!J226</f>
        <v>0</v>
      </c>
      <c r="D219" s="33" t="str">
        <f t="array" ref="D219">CONCATENATE(IFERROR(INDEX(Накл!$C$9:$C$550,SMALL(IF(Накл!$B$9:$B$550=A219,ROW(Накл!$B$9:$B$550)-ROW(Накл!$B$9)+1),ROW(D219)-ROW(A219)+1)),"")," ",IFERROR(INDEX(Накл!$C$9:$C$550,SMALL(IF(Накл!$B$9:$B$550=A219,ROW(Накл!$B$9:$B$550)-ROW(Накл!$B$9)+1),ROW(D220)-ROW(A219)+1)),"")," ",IFERROR(INDEX(Накл!$C$9:$C$550,SMALL(IF(Накл!$B$9:$B$550=A219,ROW(Накл!$B$9:$B$550)-ROW(Накл!$B$9)+1),ROW(D221)-ROW(A219)+1)),"")," ",IFERROR(INDEX(Накл!$C$9:$C$550,SMALL(IF(Накл!$B$9:$B$550=A219,ROW(Накл!$B$9:$B$550)-ROW(Накл!$B$9)+1),ROW(D222)-ROW(A219)+1)),"")," ",IFERROR(INDEX(Накл!$C$9:$C$550,SMALL(IF(Накл!$B$9:$B$550=A219,ROW(Накл!$B$9:$B$550)-ROW(Накл!$B$9)+1),ROW(D223)-ROW(A219)+1)),"")," ",IFERROR(INDEX(Накл!$C$9:$C$550,SMALL(IF(Накл!$B$9:$B$550=A219,ROW(Накл!$B$9:$B$550)-ROW(Накл!$B$9)+1),ROW(D224)-ROW(A219)+1)),"")," ",IFERROR(INDEX(Накл!$C$9:$C$550,SMALL(IF(Накл!$B$9:$B$550=A219,ROW(Накл!$B$9:$B$550)-ROW(Накл!$B$9)+1),ROW(D225)-ROW(A219)+1)),"")," ",IFERROR(INDEX(Накл!$C$9:$C$550,SMALL(IF(Накл!$B$9:$B$550=A219,ROW(Накл!$B$9:$B$550)-ROW(Накл!$B$9)+1),ROW(D226)-ROW(A219)+1)),"")," ",IFERROR(INDEX(Накл!$C$9:$C$550,SMALL(IF(Накл!$B$9:$B$550=A219,ROW(Накл!$B$9:$B$550)-ROW(Накл!$B$9)+1),ROW(D227)-ROW(A219)+1)),"")," ",IFERROR(INDEX(Накл!$C$9:$C$550,SMALL(IF(Накл!$B$9:$B$550=A219,ROW(Накл!$B$9:$B$550)-ROW(Накл!$B$9)+1),ROW(D228)-ROW(A219)+1)),""))</f>
        <v xml:space="preserve">         </v>
      </c>
      <c r="E219" s="26" t="str">
        <f t="array" ref="E219">IF(LEN(D219)&lt;10,CONCATENATE(IFERROR(INDEX(Накл!$C$9:$C$550,SMALL(IF(Накл!$A$9:$A$550=VALUE(LEFT(A219,8)),ROW(Накл!$A$9:$A$550)-ROW(Накл!$A$9)+1),ROW(E219)-ROW(B219)+1)),"")," ",IFERROR(INDEX(Накл!$C$9:$C$550,SMALL(IF(Накл!$A$9:$A$550=VALUE(LEFT(A219,8)),ROW(Накл!$A$9:$A$550)-ROW(Накл!$A$9)+1),ROW(E220)-ROW(B219)+1)),"")," ",IFERROR(INDEX(Накл!$C$9:$C$550,SMALL(IF(Накл!$A$9:$A$550=VALUE(LEFT(A219,8)),ROW(Накл!$A$9:$A$550)-ROW(Накл!$A$9)+1),ROW(E221)-ROW(B219)+1)),"")," ",IFERROR(INDEX(Накл!$C$9:$C$550,SMALL(IF(Накл!$A$9:$A$550=VALUE(LEFT(A219,8)),ROW(Накл!$A$9:$A$550)-ROW(Накл!$A$9)+1),ROW(E222)-ROW(B219)+1)),"")),"")</f>
        <v xml:space="preserve">   </v>
      </c>
    </row>
    <row r="220" spans="1:5">
      <c r="A220" s="26" t="str">
        <f>IFERROR(CONCATENATE(VALUE(SUBSTITUTE(SUBSTITUTE(LEFT(Накл!G227,11),".",""),"-",""))," ",Накл!J227),"-")</f>
        <v>-</v>
      </c>
      <c r="B220" s="26" t="str">
        <f>IFERROR(VLOOKUP(VALUE(LEFT(A220,8)),Накл!$A$9:$D$550,4,0),"-")</f>
        <v>-</v>
      </c>
      <c r="C220" s="26">
        <f>Накл!J227</f>
        <v>0</v>
      </c>
      <c r="D220" s="33" t="str">
        <f t="array" ref="D220">CONCATENATE(IFERROR(INDEX(Накл!$C$9:$C$550,SMALL(IF(Накл!$B$9:$B$550=A220,ROW(Накл!$B$9:$B$550)-ROW(Накл!$B$9)+1),ROW(D220)-ROW(A220)+1)),"")," ",IFERROR(INDEX(Накл!$C$9:$C$550,SMALL(IF(Накл!$B$9:$B$550=A220,ROW(Накл!$B$9:$B$550)-ROW(Накл!$B$9)+1),ROW(D221)-ROW(A220)+1)),"")," ",IFERROR(INDEX(Накл!$C$9:$C$550,SMALL(IF(Накл!$B$9:$B$550=A220,ROW(Накл!$B$9:$B$550)-ROW(Накл!$B$9)+1),ROW(D222)-ROW(A220)+1)),"")," ",IFERROR(INDEX(Накл!$C$9:$C$550,SMALL(IF(Накл!$B$9:$B$550=A220,ROW(Накл!$B$9:$B$550)-ROW(Накл!$B$9)+1),ROW(D223)-ROW(A220)+1)),"")," ",IFERROR(INDEX(Накл!$C$9:$C$550,SMALL(IF(Накл!$B$9:$B$550=A220,ROW(Накл!$B$9:$B$550)-ROW(Накл!$B$9)+1),ROW(D224)-ROW(A220)+1)),"")," ",IFERROR(INDEX(Накл!$C$9:$C$550,SMALL(IF(Накл!$B$9:$B$550=A220,ROW(Накл!$B$9:$B$550)-ROW(Накл!$B$9)+1),ROW(D225)-ROW(A220)+1)),"")," ",IFERROR(INDEX(Накл!$C$9:$C$550,SMALL(IF(Накл!$B$9:$B$550=A220,ROW(Накл!$B$9:$B$550)-ROW(Накл!$B$9)+1),ROW(D226)-ROW(A220)+1)),"")," ",IFERROR(INDEX(Накл!$C$9:$C$550,SMALL(IF(Накл!$B$9:$B$550=A220,ROW(Накл!$B$9:$B$550)-ROW(Накл!$B$9)+1),ROW(D227)-ROW(A220)+1)),"")," ",IFERROR(INDEX(Накл!$C$9:$C$550,SMALL(IF(Накл!$B$9:$B$550=A220,ROW(Накл!$B$9:$B$550)-ROW(Накл!$B$9)+1),ROW(D228)-ROW(A220)+1)),"")," ",IFERROR(INDEX(Накл!$C$9:$C$550,SMALL(IF(Накл!$B$9:$B$550=A220,ROW(Накл!$B$9:$B$550)-ROW(Накл!$B$9)+1),ROW(D229)-ROW(A220)+1)),""))</f>
        <v xml:space="preserve">         </v>
      </c>
      <c r="E220" s="26" t="str">
        <f t="array" ref="E220">IF(LEN(D220)&lt;10,CONCATENATE(IFERROR(INDEX(Накл!$C$9:$C$550,SMALL(IF(Накл!$A$9:$A$550=VALUE(LEFT(A220,8)),ROW(Накл!$A$9:$A$550)-ROW(Накл!$A$9)+1),ROW(E220)-ROW(B220)+1)),"")," ",IFERROR(INDEX(Накл!$C$9:$C$550,SMALL(IF(Накл!$A$9:$A$550=VALUE(LEFT(A220,8)),ROW(Накл!$A$9:$A$550)-ROW(Накл!$A$9)+1),ROW(E221)-ROW(B220)+1)),"")," ",IFERROR(INDEX(Накл!$C$9:$C$550,SMALL(IF(Накл!$A$9:$A$550=VALUE(LEFT(A220,8)),ROW(Накл!$A$9:$A$550)-ROW(Накл!$A$9)+1),ROW(E222)-ROW(B220)+1)),"")," ",IFERROR(INDEX(Накл!$C$9:$C$550,SMALL(IF(Накл!$A$9:$A$550=VALUE(LEFT(A220,8)),ROW(Накл!$A$9:$A$550)-ROW(Накл!$A$9)+1),ROW(E223)-ROW(B220)+1)),"")),"")</f>
        <v xml:space="preserve">   </v>
      </c>
    </row>
    <row r="221" spans="1:5">
      <c r="A221" s="26" t="str">
        <f>IFERROR(CONCATENATE(VALUE(SUBSTITUTE(SUBSTITUTE(LEFT(Накл!G228,11),".",""),"-",""))," ",Накл!J228),"-")</f>
        <v>-</v>
      </c>
      <c r="B221" s="26" t="str">
        <f>IFERROR(VLOOKUP(VALUE(LEFT(A221,8)),Накл!$A$9:$D$550,4,0),"-")</f>
        <v>-</v>
      </c>
      <c r="C221" s="26">
        <f>Накл!J228</f>
        <v>0</v>
      </c>
      <c r="D221" s="33" t="str">
        <f t="array" ref="D221">CONCATENATE(IFERROR(INDEX(Накл!$C$9:$C$550,SMALL(IF(Накл!$B$9:$B$550=A221,ROW(Накл!$B$9:$B$550)-ROW(Накл!$B$9)+1),ROW(D221)-ROW(A221)+1)),"")," ",IFERROR(INDEX(Накл!$C$9:$C$550,SMALL(IF(Накл!$B$9:$B$550=A221,ROW(Накл!$B$9:$B$550)-ROW(Накл!$B$9)+1),ROW(D222)-ROW(A221)+1)),"")," ",IFERROR(INDEX(Накл!$C$9:$C$550,SMALL(IF(Накл!$B$9:$B$550=A221,ROW(Накл!$B$9:$B$550)-ROW(Накл!$B$9)+1),ROW(D223)-ROW(A221)+1)),"")," ",IFERROR(INDEX(Накл!$C$9:$C$550,SMALL(IF(Накл!$B$9:$B$550=A221,ROW(Накл!$B$9:$B$550)-ROW(Накл!$B$9)+1),ROW(D224)-ROW(A221)+1)),"")," ",IFERROR(INDEX(Накл!$C$9:$C$550,SMALL(IF(Накл!$B$9:$B$550=A221,ROW(Накл!$B$9:$B$550)-ROW(Накл!$B$9)+1),ROW(D225)-ROW(A221)+1)),"")," ",IFERROR(INDEX(Накл!$C$9:$C$550,SMALL(IF(Накл!$B$9:$B$550=A221,ROW(Накл!$B$9:$B$550)-ROW(Накл!$B$9)+1),ROW(D226)-ROW(A221)+1)),"")," ",IFERROR(INDEX(Накл!$C$9:$C$550,SMALL(IF(Накл!$B$9:$B$550=A221,ROW(Накл!$B$9:$B$550)-ROW(Накл!$B$9)+1),ROW(D227)-ROW(A221)+1)),"")," ",IFERROR(INDEX(Накл!$C$9:$C$550,SMALL(IF(Накл!$B$9:$B$550=A221,ROW(Накл!$B$9:$B$550)-ROW(Накл!$B$9)+1),ROW(D228)-ROW(A221)+1)),"")," ",IFERROR(INDEX(Накл!$C$9:$C$550,SMALL(IF(Накл!$B$9:$B$550=A221,ROW(Накл!$B$9:$B$550)-ROW(Накл!$B$9)+1),ROW(D229)-ROW(A221)+1)),"")," ",IFERROR(INDEX(Накл!$C$9:$C$550,SMALL(IF(Накл!$B$9:$B$550=A221,ROW(Накл!$B$9:$B$550)-ROW(Накл!$B$9)+1),ROW(D230)-ROW(A221)+1)),""))</f>
        <v xml:space="preserve">         </v>
      </c>
      <c r="E221" s="26" t="str">
        <f t="array" ref="E221">IF(LEN(D221)&lt;10,CONCATENATE(IFERROR(INDEX(Накл!$C$9:$C$550,SMALL(IF(Накл!$A$9:$A$550=VALUE(LEFT(A221,8)),ROW(Накл!$A$9:$A$550)-ROW(Накл!$A$9)+1),ROW(E221)-ROW(B221)+1)),"")," ",IFERROR(INDEX(Накл!$C$9:$C$550,SMALL(IF(Накл!$A$9:$A$550=VALUE(LEFT(A221,8)),ROW(Накл!$A$9:$A$550)-ROW(Накл!$A$9)+1),ROW(E222)-ROW(B221)+1)),"")," ",IFERROR(INDEX(Накл!$C$9:$C$550,SMALL(IF(Накл!$A$9:$A$550=VALUE(LEFT(A221,8)),ROW(Накл!$A$9:$A$550)-ROW(Накл!$A$9)+1),ROW(E223)-ROW(B221)+1)),"")," ",IFERROR(INDEX(Накл!$C$9:$C$550,SMALL(IF(Накл!$A$9:$A$550=VALUE(LEFT(A221,8)),ROW(Накл!$A$9:$A$550)-ROW(Накл!$A$9)+1),ROW(E224)-ROW(B221)+1)),"")),"")</f>
        <v xml:space="preserve">   </v>
      </c>
    </row>
    <row r="222" spans="1:5">
      <c r="A222" s="26" t="str">
        <f>IFERROR(CONCATENATE(VALUE(SUBSTITUTE(SUBSTITUTE(LEFT(Накл!G229,11),".",""),"-",""))," ",Накл!J229),"-")</f>
        <v>-</v>
      </c>
      <c r="B222" s="26" t="str">
        <f>IFERROR(VLOOKUP(VALUE(LEFT(A222,8)),Накл!$A$9:$D$550,4,0),"-")</f>
        <v>-</v>
      </c>
      <c r="C222" s="26">
        <f>Накл!J229</f>
        <v>0</v>
      </c>
      <c r="D222" s="33" t="str">
        <f t="array" ref="D222">CONCATENATE(IFERROR(INDEX(Накл!$C$9:$C$550,SMALL(IF(Накл!$B$9:$B$550=A222,ROW(Накл!$B$9:$B$550)-ROW(Накл!$B$9)+1),ROW(D222)-ROW(A222)+1)),"")," ",IFERROR(INDEX(Накл!$C$9:$C$550,SMALL(IF(Накл!$B$9:$B$550=A222,ROW(Накл!$B$9:$B$550)-ROW(Накл!$B$9)+1),ROW(D223)-ROW(A222)+1)),"")," ",IFERROR(INDEX(Накл!$C$9:$C$550,SMALL(IF(Накл!$B$9:$B$550=A222,ROW(Накл!$B$9:$B$550)-ROW(Накл!$B$9)+1),ROW(D224)-ROW(A222)+1)),"")," ",IFERROR(INDEX(Накл!$C$9:$C$550,SMALL(IF(Накл!$B$9:$B$550=A222,ROW(Накл!$B$9:$B$550)-ROW(Накл!$B$9)+1),ROW(D225)-ROW(A222)+1)),"")," ",IFERROR(INDEX(Накл!$C$9:$C$550,SMALL(IF(Накл!$B$9:$B$550=A222,ROW(Накл!$B$9:$B$550)-ROW(Накл!$B$9)+1),ROW(D226)-ROW(A222)+1)),"")," ",IFERROR(INDEX(Накл!$C$9:$C$550,SMALL(IF(Накл!$B$9:$B$550=A222,ROW(Накл!$B$9:$B$550)-ROW(Накл!$B$9)+1),ROW(D227)-ROW(A222)+1)),"")," ",IFERROR(INDEX(Накл!$C$9:$C$550,SMALL(IF(Накл!$B$9:$B$550=A222,ROW(Накл!$B$9:$B$550)-ROW(Накл!$B$9)+1),ROW(D228)-ROW(A222)+1)),"")," ",IFERROR(INDEX(Накл!$C$9:$C$550,SMALL(IF(Накл!$B$9:$B$550=A222,ROW(Накл!$B$9:$B$550)-ROW(Накл!$B$9)+1),ROW(D229)-ROW(A222)+1)),"")," ",IFERROR(INDEX(Накл!$C$9:$C$550,SMALL(IF(Накл!$B$9:$B$550=A222,ROW(Накл!$B$9:$B$550)-ROW(Накл!$B$9)+1),ROW(D230)-ROW(A222)+1)),"")," ",IFERROR(INDEX(Накл!$C$9:$C$550,SMALL(IF(Накл!$B$9:$B$550=A222,ROW(Накл!$B$9:$B$550)-ROW(Накл!$B$9)+1),ROW(D231)-ROW(A222)+1)),""))</f>
        <v xml:space="preserve">         </v>
      </c>
      <c r="E222" s="26" t="str">
        <f t="array" ref="E222">IF(LEN(D222)&lt;10,CONCATENATE(IFERROR(INDEX(Накл!$C$9:$C$550,SMALL(IF(Накл!$A$9:$A$550=VALUE(LEFT(A222,8)),ROW(Накл!$A$9:$A$550)-ROW(Накл!$A$9)+1),ROW(E222)-ROW(B222)+1)),"")," ",IFERROR(INDEX(Накл!$C$9:$C$550,SMALL(IF(Накл!$A$9:$A$550=VALUE(LEFT(A222,8)),ROW(Накл!$A$9:$A$550)-ROW(Накл!$A$9)+1),ROW(E223)-ROW(B222)+1)),"")," ",IFERROR(INDEX(Накл!$C$9:$C$550,SMALL(IF(Накл!$A$9:$A$550=VALUE(LEFT(A222,8)),ROW(Накл!$A$9:$A$550)-ROW(Накл!$A$9)+1),ROW(E224)-ROW(B222)+1)),"")," ",IFERROR(INDEX(Накл!$C$9:$C$550,SMALL(IF(Накл!$A$9:$A$550=VALUE(LEFT(A222,8)),ROW(Накл!$A$9:$A$550)-ROW(Накл!$A$9)+1),ROW(E225)-ROW(B222)+1)),"")),"")</f>
        <v xml:space="preserve">   </v>
      </c>
    </row>
    <row r="223" spans="1:5">
      <c r="A223" s="26" t="str">
        <f>IFERROR(CONCATENATE(VALUE(SUBSTITUTE(SUBSTITUTE(LEFT(Накл!G230,11),".",""),"-",""))," ",Накл!J230),"-")</f>
        <v>-</v>
      </c>
      <c r="B223" s="26" t="str">
        <f>IFERROR(VLOOKUP(VALUE(LEFT(A223,8)),Накл!$A$9:$D$550,4,0),"-")</f>
        <v>-</v>
      </c>
      <c r="C223" s="26">
        <f>Накл!J230</f>
        <v>0</v>
      </c>
      <c r="D223" s="33" t="str">
        <f t="array" ref="D223">CONCATENATE(IFERROR(INDEX(Накл!$C$9:$C$550,SMALL(IF(Накл!$B$9:$B$550=A223,ROW(Накл!$B$9:$B$550)-ROW(Накл!$B$9)+1),ROW(D223)-ROW(A223)+1)),"")," ",IFERROR(INDEX(Накл!$C$9:$C$550,SMALL(IF(Накл!$B$9:$B$550=A223,ROW(Накл!$B$9:$B$550)-ROW(Накл!$B$9)+1),ROW(D224)-ROW(A223)+1)),"")," ",IFERROR(INDEX(Накл!$C$9:$C$550,SMALL(IF(Накл!$B$9:$B$550=A223,ROW(Накл!$B$9:$B$550)-ROW(Накл!$B$9)+1),ROW(D225)-ROW(A223)+1)),"")," ",IFERROR(INDEX(Накл!$C$9:$C$550,SMALL(IF(Накл!$B$9:$B$550=A223,ROW(Накл!$B$9:$B$550)-ROW(Накл!$B$9)+1),ROW(D226)-ROW(A223)+1)),"")," ",IFERROR(INDEX(Накл!$C$9:$C$550,SMALL(IF(Накл!$B$9:$B$550=A223,ROW(Накл!$B$9:$B$550)-ROW(Накл!$B$9)+1),ROW(D227)-ROW(A223)+1)),"")," ",IFERROR(INDEX(Накл!$C$9:$C$550,SMALL(IF(Накл!$B$9:$B$550=A223,ROW(Накл!$B$9:$B$550)-ROW(Накл!$B$9)+1),ROW(D228)-ROW(A223)+1)),"")," ",IFERROR(INDEX(Накл!$C$9:$C$550,SMALL(IF(Накл!$B$9:$B$550=A223,ROW(Накл!$B$9:$B$550)-ROW(Накл!$B$9)+1),ROW(D229)-ROW(A223)+1)),"")," ",IFERROR(INDEX(Накл!$C$9:$C$550,SMALL(IF(Накл!$B$9:$B$550=A223,ROW(Накл!$B$9:$B$550)-ROW(Накл!$B$9)+1),ROW(D230)-ROW(A223)+1)),"")," ",IFERROR(INDEX(Накл!$C$9:$C$550,SMALL(IF(Накл!$B$9:$B$550=A223,ROW(Накл!$B$9:$B$550)-ROW(Накл!$B$9)+1),ROW(D231)-ROW(A223)+1)),"")," ",IFERROR(INDEX(Накл!$C$9:$C$550,SMALL(IF(Накл!$B$9:$B$550=A223,ROW(Накл!$B$9:$B$550)-ROW(Накл!$B$9)+1),ROW(D232)-ROW(A223)+1)),""))</f>
        <v xml:space="preserve">         </v>
      </c>
      <c r="E223" s="26" t="str">
        <f t="array" ref="E223">IF(LEN(D223)&lt;10,CONCATENATE(IFERROR(INDEX(Накл!$C$9:$C$550,SMALL(IF(Накл!$A$9:$A$550=VALUE(LEFT(A223,8)),ROW(Накл!$A$9:$A$550)-ROW(Накл!$A$9)+1),ROW(E223)-ROW(B223)+1)),"")," ",IFERROR(INDEX(Накл!$C$9:$C$550,SMALL(IF(Накл!$A$9:$A$550=VALUE(LEFT(A223,8)),ROW(Накл!$A$9:$A$550)-ROW(Накл!$A$9)+1),ROW(E224)-ROW(B223)+1)),"")," ",IFERROR(INDEX(Накл!$C$9:$C$550,SMALL(IF(Накл!$A$9:$A$550=VALUE(LEFT(A223,8)),ROW(Накл!$A$9:$A$550)-ROW(Накл!$A$9)+1),ROW(E225)-ROW(B223)+1)),"")," ",IFERROR(INDEX(Накл!$C$9:$C$550,SMALL(IF(Накл!$A$9:$A$550=VALUE(LEFT(A223,8)),ROW(Накл!$A$9:$A$550)-ROW(Накл!$A$9)+1),ROW(E226)-ROW(B223)+1)),"")),"")</f>
        <v xml:space="preserve">   </v>
      </c>
    </row>
    <row r="224" spans="1:5">
      <c r="A224" s="26" t="str">
        <f>IFERROR(CONCATENATE(VALUE(SUBSTITUTE(SUBSTITUTE(LEFT(Накл!G231,11),".",""),"-",""))," ",Накл!J231),"-")</f>
        <v>-</v>
      </c>
      <c r="B224" s="26" t="str">
        <f>IFERROR(VLOOKUP(VALUE(LEFT(A224,8)),Накл!$A$9:$D$550,4,0),"-")</f>
        <v>-</v>
      </c>
      <c r="C224" s="26">
        <f>Накл!J231</f>
        <v>0</v>
      </c>
      <c r="D224" s="33" t="str">
        <f t="array" ref="D224">CONCATENATE(IFERROR(INDEX(Накл!$C$9:$C$550,SMALL(IF(Накл!$B$9:$B$550=A224,ROW(Накл!$B$9:$B$550)-ROW(Накл!$B$9)+1),ROW(D224)-ROW(A224)+1)),"")," ",IFERROR(INDEX(Накл!$C$9:$C$550,SMALL(IF(Накл!$B$9:$B$550=A224,ROW(Накл!$B$9:$B$550)-ROW(Накл!$B$9)+1),ROW(D225)-ROW(A224)+1)),"")," ",IFERROR(INDEX(Накл!$C$9:$C$550,SMALL(IF(Накл!$B$9:$B$550=A224,ROW(Накл!$B$9:$B$550)-ROW(Накл!$B$9)+1),ROW(D226)-ROW(A224)+1)),"")," ",IFERROR(INDEX(Накл!$C$9:$C$550,SMALL(IF(Накл!$B$9:$B$550=A224,ROW(Накл!$B$9:$B$550)-ROW(Накл!$B$9)+1),ROW(D227)-ROW(A224)+1)),"")," ",IFERROR(INDEX(Накл!$C$9:$C$550,SMALL(IF(Накл!$B$9:$B$550=A224,ROW(Накл!$B$9:$B$550)-ROW(Накл!$B$9)+1),ROW(D228)-ROW(A224)+1)),"")," ",IFERROR(INDEX(Накл!$C$9:$C$550,SMALL(IF(Накл!$B$9:$B$550=A224,ROW(Накл!$B$9:$B$550)-ROW(Накл!$B$9)+1),ROW(D229)-ROW(A224)+1)),"")," ",IFERROR(INDEX(Накл!$C$9:$C$550,SMALL(IF(Накл!$B$9:$B$550=A224,ROW(Накл!$B$9:$B$550)-ROW(Накл!$B$9)+1),ROW(D230)-ROW(A224)+1)),"")," ",IFERROR(INDEX(Накл!$C$9:$C$550,SMALL(IF(Накл!$B$9:$B$550=A224,ROW(Накл!$B$9:$B$550)-ROW(Накл!$B$9)+1),ROW(D231)-ROW(A224)+1)),"")," ",IFERROR(INDEX(Накл!$C$9:$C$550,SMALL(IF(Накл!$B$9:$B$550=A224,ROW(Накл!$B$9:$B$550)-ROW(Накл!$B$9)+1),ROW(D232)-ROW(A224)+1)),"")," ",IFERROR(INDEX(Накл!$C$9:$C$550,SMALL(IF(Накл!$B$9:$B$550=A224,ROW(Накл!$B$9:$B$550)-ROW(Накл!$B$9)+1),ROW(D233)-ROW(A224)+1)),""))</f>
        <v xml:space="preserve">         </v>
      </c>
      <c r="E224" s="26" t="str">
        <f t="array" ref="E224">IF(LEN(D224)&lt;10,CONCATENATE(IFERROR(INDEX(Накл!$C$9:$C$550,SMALL(IF(Накл!$A$9:$A$550=VALUE(LEFT(A224,8)),ROW(Накл!$A$9:$A$550)-ROW(Накл!$A$9)+1),ROW(E224)-ROW(B224)+1)),"")," ",IFERROR(INDEX(Накл!$C$9:$C$550,SMALL(IF(Накл!$A$9:$A$550=VALUE(LEFT(A224,8)),ROW(Накл!$A$9:$A$550)-ROW(Накл!$A$9)+1),ROW(E225)-ROW(B224)+1)),"")," ",IFERROR(INDEX(Накл!$C$9:$C$550,SMALL(IF(Накл!$A$9:$A$550=VALUE(LEFT(A224,8)),ROW(Накл!$A$9:$A$550)-ROW(Накл!$A$9)+1),ROW(E226)-ROW(B224)+1)),"")," ",IFERROR(INDEX(Накл!$C$9:$C$550,SMALL(IF(Накл!$A$9:$A$550=VALUE(LEFT(A224,8)),ROW(Накл!$A$9:$A$550)-ROW(Накл!$A$9)+1),ROW(E227)-ROW(B224)+1)),"")),"")</f>
        <v xml:space="preserve">   </v>
      </c>
    </row>
    <row r="225" spans="1:5">
      <c r="A225" s="26" t="str">
        <f>IFERROR(CONCATENATE(VALUE(SUBSTITUTE(SUBSTITUTE(LEFT(Накл!G232,11),".",""),"-",""))," ",Накл!J232),"-")</f>
        <v>-</v>
      </c>
      <c r="B225" s="26" t="str">
        <f>IFERROR(VLOOKUP(VALUE(LEFT(A225,8)),Накл!$A$9:$D$550,4,0),"-")</f>
        <v>-</v>
      </c>
      <c r="C225" s="26">
        <f>Накл!J232</f>
        <v>0</v>
      </c>
      <c r="D225" s="33" t="str">
        <f t="array" ref="D225">CONCATENATE(IFERROR(INDEX(Накл!$C$9:$C$550,SMALL(IF(Накл!$B$9:$B$550=A225,ROW(Накл!$B$9:$B$550)-ROW(Накл!$B$9)+1),ROW(D225)-ROW(A225)+1)),"")," ",IFERROR(INDEX(Накл!$C$9:$C$550,SMALL(IF(Накл!$B$9:$B$550=A225,ROW(Накл!$B$9:$B$550)-ROW(Накл!$B$9)+1),ROW(D226)-ROW(A225)+1)),"")," ",IFERROR(INDEX(Накл!$C$9:$C$550,SMALL(IF(Накл!$B$9:$B$550=A225,ROW(Накл!$B$9:$B$550)-ROW(Накл!$B$9)+1),ROW(D227)-ROW(A225)+1)),"")," ",IFERROR(INDEX(Накл!$C$9:$C$550,SMALL(IF(Накл!$B$9:$B$550=A225,ROW(Накл!$B$9:$B$550)-ROW(Накл!$B$9)+1),ROW(D228)-ROW(A225)+1)),"")," ",IFERROR(INDEX(Накл!$C$9:$C$550,SMALL(IF(Накл!$B$9:$B$550=A225,ROW(Накл!$B$9:$B$550)-ROW(Накл!$B$9)+1),ROW(D229)-ROW(A225)+1)),"")," ",IFERROR(INDEX(Накл!$C$9:$C$550,SMALL(IF(Накл!$B$9:$B$550=A225,ROW(Накл!$B$9:$B$550)-ROW(Накл!$B$9)+1),ROW(D230)-ROW(A225)+1)),"")," ",IFERROR(INDEX(Накл!$C$9:$C$550,SMALL(IF(Накл!$B$9:$B$550=A225,ROW(Накл!$B$9:$B$550)-ROW(Накл!$B$9)+1),ROW(D231)-ROW(A225)+1)),"")," ",IFERROR(INDEX(Накл!$C$9:$C$550,SMALL(IF(Накл!$B$9:$B$550=A225,ROW(Накл!$B$9:$B$550)-ROW(Накл!$B$9)+1),ROW(D232)-ROW(A225)+1)),"")," ",IFERROR(INDEX(Накл!$C$9:$C$550,SMALL(IF(Накл!$B$9:$B$550=A225,ROW(Накл!$B$9:$B$550)-ROW(Накл!$B$9)+1),ROW(D233)-ROW(A225)+1)),"")," ",IFERROR(INDEX(Накл!$C$9:$C$550,SMALL(IF(Накл!$B$9:$B$550=A225,ROW(Накл!$B$9:$B$550)-ROW(Накл!$B$9)+1),ROW(D234)-ROW(A225)+1)),""))</f>
        <v xml:space="preserve">         </v>
      </c>
      <c r="E225" s="26" t="str">
        <f t="array" ref="E225">IF(LEN(D225)&lt;10,CONCATENATE(IFERROR(INDEX(Накл!$C$9:$C$550,SMALL(IF(Накл!$A$9:$A$550=VALUE(LEFT(A225,8)),ROW(Накл!$A$9:$A$550)-ROW(Накл!$A$9)+1),ROW(E225)-ROW(B225)+1)),"")," ",IFERROR(INDEX(Накл!$C$9:$C$550,SMALL(IF(Накл!$A$9:$A$550=VALUE(LEFT(A225,8)),ROW(Накл!$A$9:$A$550)-ROW(Накл!$A$9)+1),ROW(E226)-ROW(B225)+1)),"")," ",IFERROR(INDEX(Накл!$C$9:$C$550,SMALL(IF(Накл!$A$9:$A$550=VALUE(LEFT(A225,8)),ROW(Накл!$A$9:$A$550)-ROW(Накл!$A$9)+1),ROW(E227)-ROW(B225)+1)),"")," ",IFERROR(INDEX(Накл!$C$9:$C$550,SMALL(IF(Накл!$A$9:$A$550=VALUE(LEFT(A225,8)),ROW(Накл!$A$9:$A$550)-ROW(Накл!$A$9)+1),ROW(E228)-ROW(B225)+1)),"")),"")</f>
        <v xml:space="preserve">   </v>
      </c>
    </row>
    <row r="226" spans="1:5">
      <c r="A226" s="26" t="str">
        <f>IFERROR(CONCATENATE(VALUE(SUBSTITUTE(SUBSTITUTE(LEFT(Накл!G233,11),".",""),"-",""))," ",Накл!J233),"-")</f>
        <v>-</v>
      </c>
      <c r="B226" s="26" t="str">
        <f>IFERROR(VLOOKUP(VALUE(LEFT(A226,8)),Накл!$A$9:$D$550,4,0),"-")</f>
        <v>-</v>
      </c>
      <c r="C226" s="26">
        <f>Накл!J233</f>
        <v>0</v>
      </c>
      <c r="D226" s="33" t="str">
        <f t="array" ref="D226">CONCATENATE(IFERROR(INDEX(Накл!$C$9:$C$550,SMALL(IF(Накл!$B$9:$B$550=A226,ROW(Накл!$B$9:$B$550)-ROW(Накл!$B$9)+1),ROW(D226)-ROW(A226)+1)),"")," ",IFERROR(INDEX(Накл!$C$9:$C$550,SMALL(IF(Накл!$B$9:$B$550=A226,ROW(Накл!$B$9:$B$550)-ROW(Накл!$B$9)+1),ROW(D227)-ROW(A226)+1)),"")," ",IFERROR(INDEX(Накл!$C$9:$C$550,SMALL(IF(Накл!$B$9:$B$550=A226,ROW(Накл!$B$9:$B$550)-ROW(Накл!$B$9)+1),ROW(D228)-ROW(A226)+1)),"")," ",IFERROR(INDEX(Накл!$C$9:$C$550,SMALL(IF(Накл!$B$9:$B$550=A226,ROW(Накл!$B$9:$B$550)-ROW(Накл!$B$9)+1),ROW(D229)-ROW(A226)+1)),"")," ",IFERROR(INDEX(Накл!$C$9:$C$550,SMALL(IF(Накл!$B$9:$B$550=A226,ROW(Накл!$B$9:$B$550)-ROW(Накл!$B$9)+1),ROW(D230)-ROW(A226)+1)),"")," ",IFERROR(INDEX(Накл!$C$9:$C$550,SMALL(IF(Накл!$B$9:$B$550=A226,ROW(Накл!$B$9:$B$550)-ROW(Накл!$B$9)+1),ROW(D231)-ROW(A226)+1)),"")," ",IFERROR(INDEX(Накл!$C$9:$C$550,SMALL(IF(Накл!$B$9:$B$550=A226,ROW(Накл!$B$9:$B$550)-ROW(Накл!$B$9)+1),ROW(D232)-ROW(A226)+1)),"")," ",IFERROR(INDEX(Накл!$C$9:$C$550,SMALL(IF(Накл!$B$9:$B$550=A226,ROW(Накл!$B$9:$B$550)-ROW(Накл!$B$9)+1),ROW(D233)-ROW(A226)+1)),"")," ",IFERROR(INDEX(Накл!$C$9:$C$550,SMALL(IF(Накл!$B$9:$B$550=A226,ROW(Накл!$B$9:$B$550)-ROW(Накл!$B$9)+1),ROW(D234)-ROW(A226)+1)),"")," ",IFERROR(INDEX(Накл!$C$9:$C$550,SMALL(IF(Накл!$B$9:$B$550=A226,ROW(Накл!$B$9:$B$550)-ROW(Накл!$B$9)+1),ROW(D235)-ROW(A226)+1)),""))</f>
        <v xml:space="preserve">         </v>
      </c>
      <c r="E226" s="26" t="str">
        <f t="array" ref="E226">IF(LEN(D226)&lt;10,CONCATENATE(IFERROR(INDEX(Накл!$C$9:$C$550,SMALL(IF(Накл!$A$9:$A$550=VALUE(LEFT(A226,8)),ROW(Накл!$A$9:$A$550)-ROW(Накл!$A$9)+1),ROW(E226)-ROW(B226)+1)),"")," ",IFERROR(INDEX(Накл!$C$9:$C$550,SMALL(IF(Накл!$A$9:$A$550=VALUE(LEFT(A226,8)),ROW(Накл!$A$9:$A$550)-ROW(Накл!$A$9)+1),ROW(E227)-ROW(B226)+1)),"")," ",IFERROR(INDEX(Накл!$C$9:$C$550,SMALL(IF(Накл!$A$9:$A$550=VALUE(LEFT(A226,8)),ROW(Накл!$A$9:$A$550)-ROW(Накл!$A$9)+1),ROW(E228)-ROW(B226)+1)),"")," ",IFERROR(INDEX(Накл!$C$9:$C$550,SMALL(IF(Накл!$A$9:$A$550=VALUE(LEFT(A226,8)),ROW(Накл!$A$9:$A$550)-ROW(Накл!$A$9)+1),ROW(E229)-ROW(B226)+1)),"")),"")</f>
        <v xml:space="preserve">   </v>
      </c>
    </row>
    <row r="227" spans="1:5">
      <c r="A227" s="26" t="str">
        <f>IFERROR(CONCATENATE(VALUE(SUBSTITUTE(SUBSTITUTE(LEFT(Накл!G234,11),".",""),"-",""))," ",Накл!J234),"-")</f>
        <v>-</v>
      </c>
      <c r="B227" s="26" t="str">
        <f>IFERROR(VLOOKUP(VALUE(LEFT(A227,8)),Накл!$A$9:$D$550,4,0),"-")</f>
        <v>-</v>
      </c>
      <c r="C227" s="26">
        <f>Накл!J234</f>
        <v>0</v>
      </c>
      <c r="D227" s="33" t="str">
        <f t="array" ref="D227">CONCATENATE(IFERROR(INDEX(Накл!$C$9:$C$550,SMALL(IF(Накл!$B$9:$B$550=A227,ROW(Накл!$B$9:$B$550)-ROW(Накл!$B$9)+1),ROW(D227)-ROW(A227)+1)),"")," ",IFERROR(INDEX(Накл!$C$9:$C$550,SMALL(IF(Накл!$B$9:$B$550=A227,ROW(Накл!$B$9:$B$550)-ROW(Накл!$B$9)+1),ROW(D228)-ROW(A227)+1)),"")," ",IFERROR(INDEX(Накл!$C$9:$C$550,SMALL(IF(Накл!$B$9:$B$550=A227,ROW(Накл!$B$9:$B$550)-ROW(Накл!$B$9)+1),ROW(D229)-ROW(A227)+1)),"")," ",IFERROR(INDEX(Накл!$C$9:$C$550,SMALL(IF(Накл!$B$9:$B$550=A227,ROW(Накл!$B$9:$B$550)-ROW(Накл!$B$9)+1),ROW(D230)-ROW(A227)+1)),"")," ",IFERROR(INDEX(Накл!$C$9:$C$550,SMALL(IF(Накл!$B$9:$B$550=A227,ROW(Накл!$B$9:$B$550)-ROW(Накл!$B$9)+1),ROW(D231)-ROW(A227)+1)),"")," ",IFERROR(INDEX(Накл!$C$9:$C$550,SMALL(IF(Накл!$B$9:$B$550=A227,ROW(Накл!$B$9:$B$550)-ROW(Накл!$B$9)+1),ROW(D232)-ROW(A227)+1)),"")," ",IFERROR(INDEX(Накл!$C$9:$C$550,SMALL(IF(Накл!$B$9:$B$550=A227,ROW(Накл!$B$9:$B$550)-ROW(Накл!$B$9)+1),ROW(D233)-ROW(A227)+1)),"")," ",IFERROR(INDEX(Накл!$C$9:$C$550,SMALL(IF(Накл!$B$9:$B$550=A227,ROW(Накл!$B$9:$B$550)-ROW(Накл!$B$9)+1),ROW(D234)-ROW(A227)+1)),"")," ",IFERROR(INDEX(Накл!$C$9:$C$550,SMALL(IF(Накл!$B$9:$B$550=A227,ROW(Накл!$B$9:$B$550)-ROW(Накл!$B$9)+1),ROW(D235)-ROW(A227)+1)),"")," ",IFERROR(INDEX(Накл!$C$9:$C$550,SMALL(IF(Накл!$B$9:$B$550=A227,ROW(Накл!$B$9:$B$550)-ROW(Накл!$B$9)+1),ROW(D236)-ROW(A227)+1)),""))</f>
        <v xml:space="preserve">         </v>
      </c>
      <c r="E227" s="26" t="str">
        <f t="array" ref="E227">IF(LEN(D227)&lt;10,CONCATENATE(IFERROR(INDEX(Накл!$C$9:$C$550,SMALL(IF(Накл!$A$9:$A$550=VALUE(LEFT(A227,8)),ROW(Накл!$A$9:$A$550)-ROW(Накл!$A$9)+1),ROW(E227)-ROW(B227)+1)),"")," ",IFERROR(INDEX(Накл!$C$9:$C$550,SMALL(IF(Накл!$A$9:$A$550=VALUE(LEFT(A227,8)),ROW(Накл!$A$9:$A$550)-ROW(Накл!$A$9)+1),ROW(E228)-ROW(B227)+1)),"")," ",IFERROR(INDEX(Накл!$C$9:$C$550,SMALL(IF(Накл!$A$9:$A$550=VALUE(LEFT(A227,8)),ROW(Накл!$A$9:$A$550)-ROW(Накл!$A$9)+1),ROW(E229)-ROW(B227)+1)),"")," ",IFERROR(INDEX(Накл!$C$9:$C$550,SMALL(IF(Накл!$A$9:$A$550=VALUE(LEFT(A227,8)),ROW(Накл!$A$9:$A$550)-ROW(Накл!$A$9)+1),ROW(E230)-ROW(B227)+1)),"")),"")</f>
        <v xml:space="preserve">   </v>
      </c>
    </row>
    <row r="228" spans="1:5">
      <c r="A228" s="26" t="str">
        <f>IFERROR(CONCATENATE(VALUE(SUBSTITUTE(SUBSTITUTE(LEFT(Накл!G235,11),".",""),"-",""))," ",Накл!J235),"-")</f>
        <v>-</v>
      </c>
      <c r="B228" s="26" t="str">
        <f>IFERROR(VLOOKUP(VALUE(LEFT(A228,8)),Накл!$A$9:$D$550,4,0),"-")</f>
        <v>-</v>
      </c>
      <c r="C228" s="26">
        <f>Накл!J235</f>
        <v>0</v>
      </c>
      <c r="D228" s="33" t="str">
        <f t="array" ref="D228">CONCATENATE(IFERROR(INDEX(Накл!$C$9:$C$550,SMALL(IF(Накл!$B$9:$B$550=A228,ROW(Накл!$B$9:$B$550)-ROW(Накл!$B$9)+1),ROW(D228)-ROW(A228)+1)),"")," ",IFERROR(INDEX(Накл!$C$9:$C$550,SMALL(IF(Накл!$B$9:$B$550=A228,ROW(Накл!$B$9:$B$550)-ROW(Накл!$B$9)+1),ROW(D229)-ROW(A228)+1)),"")," ",IFERROR(INDEX(Накл!$C$9:$C$550,SMALL(IF(Накл!$B$9:$B$550=A228,ROW(Накл!$B$9:$B$550)-ROW(Накл!$B$9)+1),ROW(D230)-ROW(A228)+1)),"")," ",IFERROR(INDEX(Накл!$C$9:$C$550,SMALL(IF(Накл!$B$9:$B$550=A228,ROW(Накл!$B$9:$B$550)-ROW(Накл!$B$9)+1),ROW(D231)-ROW(A228)+1)),"")," ",IFERROR(INDEX(Накл!$C$9:$C$550,SMALL(IF(Накл!$B$9:$B$550=A228,ROW(Накл!$B$9:$B$550)-ROW(Накл!$B$9)+1),ROW(D232)-ROW(A228)+1)),"")," ",IFERROR(INDEX(Накл!$C$9:$C$550,SMALL(IF(Накл!$B$9:$B$550=A228,ROW(Накл!$B$9:$B$550)-ROW(Накл!$B$9)+1),ROW(D233)-ROW(A228)+1)),"")," ",IFERROR(INDEX(Накл!$C$9:$C$550,SMALL(IF(Накл!$B$9:$B$550=A228,ROW(Накл!$B$9:$B$550)-ROW(Накл!$B$9)+1),ROW(D234)-ROW(A228)+1)),"")," ",IFERROR(INDEX(Накл!$C$9:$C$550,SMALL(IF(Накл!$B$9:$B$550=A228,ROW(Накл!$B$9:$B$550)-ROW(Накл!$B$9)+1),ROW(D235)-ROW(A228)+1)),"")," ",IFERROR(INDEX(Накл!$C$9:$C$550,SMALL(IF(Накл!$B$9:$B$550=A228,ROW(Накл!$B$9:$B$550)-ROW(Накл!$B$9)+1),ROW(D236)-ROW(A228)+1)),"")," ",IFERROR(INDEX(Накл!$C$9:$C$550,SMALL(IF(Накл!$B$9:$B$550=A228,ROW(Накл!$B$9:$B$550)-ROW(Накл!$B$9)+1),ROW(D237)-ROW(A228)+1)),""))</f>
        <v xml:space="preserve">         </v>
      </c>
      <c r="E228" s="26" t="str">
        <f t="array" ref="E228">IF(LEN(D228)&lt;10,CONCATENATE(IFERROR(INDEX(Накл!$C$9:$C$550,SMALL(IF(Накл!$A$9:$A$550=VALUE(LEFT(A228,8)),ROW(Накл!$A$9:$A$550)-ROW(Накл!$A$9)+1),ROW(E228)-ROW(B228)+1)),"")," ",IFERROR(INDEX(Накл!$C$9:$C$550,SMALL(IF(Накл!$A$9:$A$550=VALUE(LEFT(A228,8)),ROW(Накл!$A$9:$A$550)-ROW(Накл!$A$9)+1),ROW(E229)-ROW(B228)+1)),"")," ",IFERROR(INDEX(Накл!$C$9:$C$550,SMALL(IF(Накл!$A$9:$A$550=VALUE(LEFT(A228,8)),ROW(Накл!$A$9:$A$550)-ROW(Накл!$A$9)+1),ROW(E230)-ROW(B228)+1)),"")," ",IFERROR(INDEX(Накл!$C$9:$C$550,SMALL(IF(Накл!$A$9:$A$550=VALUE(LEFT(A228,8)),ROW(Накл!$A$9:$A$550)-ROW(Накл!$A$9)+1),ROW(E231)-ROW(B228)+1)),"")),"")</f>
        <v xml:space="preserve">   </v>
      </c>
    </row>
    <row r="229" spans="1:5">
      <c r="A229" s="26" t="str">
        <f>IFERROR(CONCATENATE(VALUE(SUBSTITUTE(SUBSTITUTE(LEFT(Накл!G236,11),".",""),"-",""))," ",Накл!J236),"-")</f>
        <v>-</v>
      </c>
      <c r="B229" s="26" t="str">
        <f>IFERROR(VLOOKUP(VALUE(LEFT(A229,8)),Накл!$A$9:$D$550,4,0),"-")</f>
        <v>-</v>
      </c>
      <c r="C229" s="26">
        <f>Накл!J236</f>
        <v>0</v>
      </c>
      <c r="D229" s="33" t="str">
        <f t="array" ref="D229">CONCATENATE(IFERROR(INDEX(Накл!$C$9:$C$550,SMALL(IF(Накл!$B$9:$B$550=A229,ROW(Накл!$B$9:$B$550)-ROW(Накл!$B$9)+1),ROW(D229)-ROW(A229)+1)),"")," ",IFERROR(INDEX(Накл!$C$9:$C$550,SMALL(IF(Накл!$B$9:$B$550=A229,ROW(Накл!$B$9:$B$550)-ROW(Накл!$B$9)+1),ROW(D230)-ROW(A229)+1)),"")," ",IFERROR(INDEX(Накл!$C$9:$C$550,SMALL(IF(Накл!$B$9:$B$550=A229,ROW(Накл!$B$9:$B$550)-ROW(Накл!$B$9)+1),ROW(D231)-ROW(A229)+1)),"")," ",IFERROR(INDEX(Накл!$C$9:$C$550,SMALL(IF(Накл!$B$9:$B$550=A229,ROW(Накл!$B$9:$B$550)-ROW(Накл!$B$9)+1),ROW(D232)-ROW(A229)+1)),"")," ",IFERROR(INDEX(Накл!$C$9:$C$550,SMALL(IF(Накл!$B$9:$B$550=A229,ROW(Накл!$B$9:$B$550)-ROW(Накл!$B$9)+1),ROW(D233)-ROW(A229)+1)),"")," ",IFERROR(INDEX(Накл!$C$9:$C$550,SMALL(IF(Накл!$B$9:$B$550=A229,ROW(Накл!$B$9:$B$550)-ROW(Накл!$B$9)+1),ROW(D234)-ROW(A229)+1)),"")," ",IFERROR(INDEX(Накл!$C$9:$C$550,SMALL(IF(Накл!$B$9:$B$550=A229,ROW(Накл!$B$9:$B$550)-ROW(Накл!$B$9)+1),ROW(D235)-ROW(A229)+1)),"")," ",IFERROR(INDEX(Накл!$C$9:$C$550,SMALL(IF(Накл!$B$9:$B$550=A229,ROW(Накл!$B$9:$B$550)-ROW(Накл!$B$9)+1),ROW(D236)-ROW(A229)+1)),"")," ",IFERROR(INDEX(Накл!$C$9:$C$550,SMALL(IF(Накл!$B$9:$B$550=A229,ROW(Накл!$B$9:$B$550)-ROW(Накл!$B$9)+1),ROW(D237)-ROW(A229)+1)),"")," ",IFERROR(INDEX(Накл!$C$9:$C$550,SMALL(IF(Накл!$B$9:$B$550=A229,ROW(Накл!$B$9:$B$550)-ROW(Накл!$B$9)+1),ROW(D238)-ROW(A229)+1)),""))</f>
        <v xml:space="preserve">         </v>
      </c>
      <c r="E229" s="26" t="str">
        <f t="array" ref="E229">IF(LEN(D229)&lt;10,CONCATENATE(IFERROR(INDEX(Накл!$C$9:$C$550,SMALL(IF(Накл!$A$9:$A$550=VALUE(LEFT(A229,8)),ROW(Накл!$A$9:$A$550)-ROW(Накл!$A$9)+1),ROW(E229)-ROW(B229)+1)),"")," ",IFERROR(INDEX(Накл!$C$9:$C$550,SMALL(IF(Накл!$A$9:$A$550=VALUE(LEFT(A229,8)),ROW(Накл!$A$9:$A$550)-ROW(Накл!$A$9)+1),ROW(E230)-ROW(B229)+1)),"")," ",IFERROR(INDEX(Накл!$C$9:$C$550,SMALL(IF(Накл!$A$9:$A$550=VALUE(LEFT(A229,8)),ROW(Накл!$A$9:$A$550)-ROW(Накл!$A$9)+1),ROW(E231)-ROW(B229)+1)),"")," ",IFERROR(INDEX(Накл!$C$9:$C$550,SMALL(IF(Накл!$A$9:$A$550=VALUE(LEFT(A229,8)),ROW(Накл!$A$9:$A$550)-ROW(Накл!$A$9)+1),ROW(E232)-ROW(B229)+1)),"")),"")</f>
        <v xml:space="preserve">   </v>
      </c>
    </row>
    <row r="230" spans="1:5">
      <c r="A230" s="26" t="str">
        <f>IFERROR(CONCATENATE(VALUE(SUBSTITUTE(SUBSTITUTE(LEFT(Накл!G237,11),".",""),"-",""))," ",Накл!J237),"-")</f>
        <v>-</v>
      </c>
      <c r="B230" s="26" t="str">
        <f>IFERROR(VLOOKUP(VALUE(LEFT(A230,8)),Накл!$A$9:$D$550,4,0),"-")</f>
        <v>-</v>
      </c>
      <c r="C230" s="26">
        <f>Накл!J237</f>
        <v>0</v>
      </c>
      <c r="D230" s="33" t="str">
        <f t="array" ref="D230">CONCATENATE(IFERROR(INDEX(Накл!$C$9:$C$550,SMALL(IF(Накл!$B$9:$B$550=A230,ROW(Накл!$B$9:$B$550)-ROW(Накл!$B$9)+1),ROW(D230)-ROW(A230)+1)),"")," ",IFERROR(INDEX(Накл!$C$9:$C$550,SMALL(IF(Накл!$B$9:$B$550=A230,ROW(Накл!$B$9:$B$550)-ROW(Накл!$B$9)+1),ROW(D231)-ROW(A230)+1)),"")," ",IFERROR(INDEX(Накл!$C$9:$C$550,SMALL(IF(Накл!$B$9:$B$550=A230,ROW(Накл!$B$9:$B$550)-ROW(Накл!$B$9)+1),ROW(D232)-ROW(A230)+1)),"")," ",IFERROR(INDEX(Накл!$C$9:$C$550,SMALL(IF(Накл!$B$9:$B$550=A230,ROW(Накл!$B$9:$B$550)-ROW(Накл!$B$9)+1),ROW(D233)-ROW(A230)+1)),"")," ",IFERROR(INDEX(Накл!$C$9:$C$550,SMALL(IF(Накл!$B$9:$B$550=A230,ROW(Накл!$B$9:$B$550)-ROW(Накл!$B$9)+1),ROW(D234)-ROW(A230)+1)),"")," ",IFERROR(INDEX(Накл!$C$9:$C$550,SMALL(IF(Накл!$B$9:$B$550=A230,ROW(Накл!$B$9:$B$550)-ROW(Накл!$B$9)+1),ROW(D235)-ROW(A230)+1)),"")," ",IFERROR(INDEX(Накл!$C$9:$C$550,SMALL(IF(Накл!$B$9:$B$550=A230,ROW(Накл!$B$9:$B$550)-ROW(Накл!$B$9)+1),ROW(D236)-ROW(A230)+1)),"")," ",IFERROR(INDEX(Накл!$C$9:$C$550,SMALL(IF(Накл!$B$9:$B$550=A230,ROW(Накл!$B$9:$B$550)-ROW(Накл!$B$9)+1),ROW(D237)-ROW(A230)+1)),"")," ",IFERROR(INDEX(Накл!$C$9:$C$550,SMALL(IF(Накл!$B$9:$B$550=A230,ROW(Накл!$B$9:$B$550)-ROW(Накл!$B$9)+1),ROW(D238)-ROW(A230)+1)),"")," ",IFERROR(INDEX(Накл!$C$9:$C$550,SMALL(IF(Накл!$B$9:$B$550=A230,ROW(Накл!$B$9:$B$550)-ROW(Накл!$B$9)+1),ROW(D239)-ROW(A230)+1)),""))</f>
        <v xml:space="preserve">         </v>
      </c>
      <c r="E230" s="26" t="str">
        <f t="array" ref="E230">IF(LEN(D230)&lt;10,CONCATENATE(IFERROR(INDEX(Накл!$C$9:$C$550,SMALL(IF(Накл!$A$9:$A$550=VALUE(LEFT(A230,8)),ROW(Накл!$A$9:$A$550)-ROW(Накл!$A$9)+1),ROW(E230)-ROW(B230)+1)),"")," ",IFERROR(INDEX(Накл!$C$9:$C$550,SMALL(IF(Накл!$A$9:$A$550=VALUE(LEFT(A230,8)),ROW(Накл!$A$9:$A$550)-ROW(Накл!$A$9)+1),ROW(E231)-ROW(B230)+1)),"")," ",IFERROR(INDEX(Накл!$C$9:$C$550,SMALL(IF(Накл!$A$9:$A$550=VALUE(LEFT(A230,8)),ROW(Накл!$A$9:$A$550)-ROW(Накл!$A$9)+1),ROW(E232)-ROW(B230)+1)),"")," ",IFERROR(INDEX(Накл!$C$9:$C$550,SMALL(IF(Накл!$A$9:$A$550=VALUE(LEFT(A230,8)),ROW(Накл!$A$9:$A$550)-ROW(Накл!$A$9)+1),ROW(E233)-ROW(B230)+1)),"")),"")</f>
        <v xml:space="preserve">   </v>
      </c>
    </row>
    <row r="231" spans="1:5">
      <c r="A231" s="26" t="str">
        <f>IFERROR(CONCATENATE(VALUE(SUBSTITUTE(SUBSTITUTE(LEFT(Накл!G238,11),".",""),"-",""))," ",Накл!J238),"-")</f>
        <v>-</v>
      </c>
      <c r="B231" s="26" t="str">
        <f>IFERROR(VLOOKUP(VALUE(LEFT(A231,8)),Накл!$A$9:$D$550,4,0),"-")</f>
        <v>-</v>
      </c>
      <c r="C231" s="26">
        <f>Накл!J238</f>
        <v>0</v>
      </c>
      <c r="D231" s="33" t="str">
        <f t="array" ref="D231">CONCATENATE(IFERROR(INDEX(Накл!$C$9:$C$550,SMALL(IF(Накл!$B$9:$B$550=A231,ROW(Накл!$B$9:$B$550)-ROW(Накл!$B$9)+1),ROW(D231)-ROW(A231)+1)),"")," ",IFERROR(INDEX(Накл!$C$9:$C$550,SMALL(IF(Накл!$B$9:$B$550=A231,ROW(Накл!$B$9:$B$550)-ROW(Накл!$B$9)+1),ROW(D232)-ROW(A231)+1)),"")," ",IFERROR(INDEX(Накл!$C$9:$C$550,SMALL(IF(Накл!$B$9:$B$550=A231,ROW(Накл!$B$9:$B$550)-ROW(Накл!$B$9)+1),ROW(D233)-ROW(A231)+1)),"")," ",IFERROR(INDEX(Накл!$C$9:$C$550,SMALL(IF(Накл!$B$9:$B$550=A231,ROW(Накл!$B$9:$B$550)-ROW(Накл!$B$9)+1),ROW(D234)-ROW(A231)+1)),"")," ",IFERROR(INDEX(Накл!$C$9:$C$550,SMALL(IF(Накл!$B$9:$B$550=A231,ROW(Накл!$B$9:$B$550)-ROW(Накл!$B$9)+1),ROW(D235)-ROW(A231)+1)),"")," ",IFERROR(INDEX(Накл!$C$9:$C$550,SMALL(IF(Накл!$B$9:$B$550=A231,ROW(Накл!$B$9:$B$550)-ROW(Накл!$B$9)+1),ROW(D236)-ROW(A231)+1)),"")," ",IFERROR(INDEX(Накл!$C$9:$C$550,SMALL(IF(Накл!$B$9:$B$550=A231,ROW(Накл!$B$9:$B$550)-ROW(Накл!$B$9)+1),ROW(D237)-ROW(A231)+1)),"")," ",IFERROR(INDEX(Накл!$C$9:$C$550,SMALL(IF(Накл!$B$9:$B$550=A231,ROW(Накл!$B$9:$B$550)-ROW(Накл!$B$9)+1),ROW(D238)-ROW(A231)+1)),"")," ",IFERROR(INDEX(Накл!$C$9:$C$550,SMALL(IF(Накл!$B$9:$B$550=A231,ROW(Накл!$B$9:$B$550)-ROW(Накл!$B$9)+1),ROW(D239)-ROW(A231)+1)),"")," ",IFERROR(INDEX(Накл!$C$9:$C$550,SMALL(IF(Накл!$B$9:$B$550=A231,ROW(Накл!$B$9:$B$550)-ROW(Накл!$B$9)+1),ROW(D240)-ROW(A231)+1)),""))</f>
        <v xml:space="preserve">         </v>
      </c>
      <c r="E231" s="26" t="str">
        <f t="array" ref="E231">IF(LEN(D231)&lt;10,CONCATENATE(IFERROR(INDEX(Накл!$C$9:$C$550,SMALL(IF(Накл!$A$9:$A$550=VALUE(LEFT(A231,8)),ROW(Накл!$A$9:$A$550)-ROW(Накл!$A$9)+1),ROW(E231)-ROW(B231)+1)),"")," ",IFERROR(INDEX(Накл!$C$9:$C$550,SMALL(IF(Накл!$A$9:$A$550=VALUE(LEFT(A231,8)),ROW(Накл!$A$9:$A$550)-ROW(Накл!$A$9)+1),ROW(E232)-ROW(B231)+1)),"")," ",IFERROR(INDEX(Накл!$C$9:$C$550,SMALL(IF(Накл!$A$9:$A$550=VALUE(LEFT(A231,8)),ROW(Накл!$A$9:$A$550)-ROW(Накл!$A$9)+1),ROW(E233)-ROW(B231)+1)),"")," ",IFERROR(INDEX(Накл!$C$9:$C$550,SMALL(IF(Накл!$A$9:$A$550=VALUE(LEFT(A231,8)),ROW(Накл!$A$9:$A$550)-ROW(Накл!$A$9)+1),ROW(E234)-ROW(B231)+1)),"")),"")</f>
        <v xml:space="preserve">   </v>
      </c>
    </row>
    <row r="232" spans="1:5">
      <c r="A232" s="26" t="str">
        <f>IFERROR(CONCATENATE(VALUE(SUBSTITUTE(SUBSTITUTE(LEFT(Накл!G239,11),".",""),"-",""))," ",Накл!J239),"-")</f>
        <v>-</v>
      </c>
      <c r="B232" s="26" t="str">
        <f>IFERROR(VLOOKUP(VALUE(LEFT(A232,8)),Накл!$A$9:$D$550,4,0),"-")</f>
        <v>-</v>
      </c>
      <c r="C232" s="26">
        <f>Накл!J239</f>
        <v>0</v>
      </c>
      <c r="D232" s="33" t="str">
        <f t="array" ref="D232">CONCATENATE(IFERROR(INDEX(Накл!$C$9:$C$550,SMALL(IF(Накл!$B$9:$B$550=A232,ROW(Накл!$B$9:$B$550)-ROW(Накл!$B$9)+1),ROW(D232)-ROW(A232)+1)),"")," ",IFERROR(INDEX(Накл!$C$9:$C$550,SMALL(IF(Накл!$B$9:$B$550=A232,ROW(Накл!$B$9:$B$550)-ROW(Накл!$B$9)+1),ROW(D233)-ROW(A232)+1)),"")," ",IFERROR(INDEX(Накл!$C$9:$C$550,SMALL(IF(Накл!$B$9:$B$550=A232,ROW(Накл!$B$9:$B$550)-ROW(Накл!$B$9)+1),ROW(D234)-ROW(A232)+1)),"")," ",IFERROR(INDEX(Накл!$C$9:$C$550,SMALL(IF(Накл!$B$9:$B$550=A232,ROW(Накл!$B$9:$B$550)-ROW(Накл!$B$9)+1),ROW(D235)-ROW(A232)+1)),"")," ",IFERROR(INDEX(Накл!$C$9:$C$550,SMALL(IF(Накл!$B$9:$B$550=A232,ROW(Накл!$B$9:$B$550)-ROW(Накл!$B$9)+1),ROW(D236)-ROW(A232)+1)),"")," ",IFERROR(INDEX(Накл!$C$9:$C$550,SMALL(IF(Накл!$B$9:$B$550=A232,ROW(Накл!$B$9:$B$550)-ROW(Накл!$B$9)+1),ROW(D237)-ROW(A232)+1)),"")," ",IFERROR(INDEX(Накл!$C$9:$C$550,SMALL(IF(Накл!$B$9:$B$550=A232,ROW(Накл!$B$9:$B$550)-ROW(Накл!$B$9)+1),ROW(D238)-ROW(A232)+1)),"")," ",IFERROR(INDEX(Накл!$C$9:$C$550,SMALL(IF(Накл!$B$9:$B$550=A232,ROW(Накл!$B$9:$B$550)-ROW(Накл!$B$9)+1),ROW(D239)-ROW(A232)+1)),"")," ",IFERROR(INDEX(Накл!$C$9:$C$550,SMALL(IF(Накл!$B$9:$B$550=A232,ROW(Накл!$B$9:$B$550)-ROW(Накл!$B$9)+1),ROW(D240)-ROW(A232)+1)),"")," ",IFERROR(INDEX(Накл!$C$9:$C$550,SMALL(IF(Накл!$B$9:$B$550=A232,ROW(Накл!$B$9:$B$550)-ROW(Накл!$B$9)+1),ROW(D241)-ROW(A232)+1)),""))</f>
        <v xml:space="preserve">         </v>
      </c>
      <c r="E232" s="26" t="str">
        <f t="array" ref="E232">IF(LEN(D232)&lt;10,CONCATENATE(IFERROR(INDEX(Накл!$C$9:$C$550,SMALL(IF(Накл!$A$9:$A$550=VALUE(LEFT(A232,8)),ROW(Накл!$A$9:$A$550)-ROW(Накл!$A$9)+1),ROW(E232)-ROW(B232)+1)),"")," ",IFERROR(INDEX(Накл!$C$9:$C$550,SMALL(IF(Накл!$A$9:$A$550=VALUE(LEFT(A232,8)),ROW(Накл!$A$9:$A$550)-ROW(Накл!$A$9)+1),ROW(E233)-ROW(B232)+1)),"")," ",IFERROR(INDEX(Накл!$C$9:$C$550,SMALL(IF(Накл!$A$9:$A$550=VALUE(LEFT(A232,8)),ROW(Накл!$A$9:$A$550)-ROW(Накл!$A$9)+1),ROW(E234)-ROW(B232)+1)),"")," ",IFERROR(INDEX(Накл!$C$9:$C$550,SMALL(IF(Накл!$A$9:$A$550=VALUE(LEFT(A232,8)),ROW(Накл!$A$9:$A$550)-ROW(Накл!$A$9)+1),ROW(E235)-ROW(B232)+1)),"")),"")</f>
        <v xml:space="preserve">   </v>
      </c>
    </row>
    <row r="233" spans="1:5">
      <c r="A233" s="26" t="str">
        <f>IFERROR(CONCATENATE(VALUE(SUBSTITUTE(SUBSTITUTE(LEFT(Накл!G240,11),".",""),"-",""))," ",Накл!J240),"-")</f>
        <v>-</v>
      </c>
      <c r="B233" s="26" t="str">
        <f>IFERROR(VLOOKUP(VALUE(LEFT(A233,8)),Накл!$A$9:$D$550,4,0),"-")</f>
        <v>-</v>
      </c>
      <c r="C233" s="26">
        <f>Накл!J240</f>
        <v>0</v>
      </c>
      <c r="D233" s="33" t="str">
        <f t="array" ref="D233">CONCATENATE(IFERROR(INDEX(Накл!$C$9:$C$550,SMALL(IF(Накл!$B$9:$B$550=A233,ROW(Накл!$B$9:$B$550)-ROW(Накл!$B$9)+1),ROW(D233)-ROW(A233)+1)),"")," ",IFERROR(INDEX(Накл!$C$9:$C$550,SMALL(IF(Накл!$B$9:$B$550=A233,ROW(Накл!$B$9:$B$550)-ROW(Накл!$B$9)+1),ROW(D234)-ROW(A233)+1)),"")," ",IFERROR(INDEX(Накл!$C$9:$C$550,SMALL(IF(Накл!$B$9:$B$550=A233,ROW(Накл!$B$9:$B$550)-ROW(Накл!$B$9)+1),ROW(D235)-ROW(A233)+1)),"")," ",IFERROR(INDEX(Накл!$C$9:$C$550,SMALL(IF(Накл!$B$9:$B$550=A233,ROW(Накл!$B$9:$B$550)-ROW(Накл!$B$9)+1),ROW(D236)-ROW(A233)+1)),"")," ",IFERROR(INDEX(Накл!$C$9:$C$550,SMALL(IF(Накл!$B$9:$B$550=A233,ROW(Накл!$B$9:$B$550)-ROW(Накл!$B$9)+1),ROW(D237)-ROW(A233)+1)),"")," ",IFERROR(INDEX(Накл!$C$9:$C$550,SMALL(IF(Накл!$B$9:$B$550=A233,ROW(Накл!$B$9:$B$550)-ROW(Накл!$B$9)+1),ROW(D238)-ROW(A233)+1)),"")," ",IFERROR(INDEX(Накл!$C$9:$C$550,SMALL(IF(Накл!$B$9:$B$550=A233,ROW(Накл!$B$9:$B$550)-ROW(Накл!$B$9)+1),ROW(D239)-ROW(A233)+1)),"")," ",IFERROR(INDEX(Накл!$C$9:$C$550,SMALL(IF(Накл!$B$9:$B$550=A233,ROW(Накл!$B$9:$B$550)-ROW(Накл!$B$9)+1),ROW(D240)-ROW(A233)+1)),"")," ",IFERROR(INDEX(Накл!$C$9:$C$550,SMALL(IF(Накл!$B$9:$B$550=A233,ROW(Накл!$B$9:$B$550)-ROW(Накл!$B$9)+1),ROW(D241)-ROW(A233)+1)),"")," ",IFERROR(INDEX(Накл!$C$9:$C$550,SMALL(IF(Накл!$B$9:$B$550=A233,ROW(Накл!$B$9:$B$550)-ROW(Накл!$B$9)+1),ROW(D242)-ROW(A233)+1)),""))</f>
        <v xml:space="preserve">         </v>
      </c>
      <c r="E233" s="26" t="str">
        <f t="array" ref="E233">IF(LEN(D233)&lt;10,CONCATENATE(IFERROR(INDEX(Накл!$C$9:$C$550,SMALL(IF(Накл!$A$9:$A$550=VALUE(LEFT(A233,8)),ROW(Накл!$A$9:$A$550)-ROW(Накл!$A$9)+1),ROW(E233)-ROW(B233)+1)),"")," ",IFERROR(INDEX(Накл!$C$9:$C$550,SMALL(IF(Накл!$A$9:$A$550=VALUE(LEFT(A233,8)),ROW(Накл!$A$9:$A$550)-ROW(Накл!$A$9)+1),ROW(E234)-ROW(B233)+1)),"")," ",IFERROR(INDEX(Накл!$C$9:$C$550,SMALL(IF(Накл!$A$9:$A$550=VALUE(LEFT(A233,8)),ROW(Накл!$A$9:$A$550)-ROW(Накл!$A$9)+1),ROW(E235)-ROW(B233)+1)),"")," ",IFERROR(INDEX(Накл!$C$9:$C$550,SMALL(IF(Накл!$A$9:$A$550=VALUE(LEFT(A233,8)),ROW(Накл!$A$9:$A$550)-ROW(Накл!$A$9)+1),ROW(E236)-ROW(B233)+1)),"")),"")</f>
        <v xml:space="preserve">   </v>
      </c>
    </row>
    <row r="234" spans="1:5">
      <c r="A234" s="26" t="str">
        <f>IFERROR(CONCATENATE(VALUE(SUBSTITUTE(SUBSTITUTE(LEFT(Накл!G241,11),".",""),"-",""))," ",Накл!J241),"-")</f>
        <v>-</v>
      </c>
      <c r="B234" s="26" t="str">
        <f>IFERROR(VLOOKUP(VALUE(LEFT(A234,8)),Накл!$A$9:$D$550,4,0),"-")</f>
        <v>-</v>
      </c>
      <c r="C234" s="26">
        <f>Накл!J241</f>
        <v>0</v>
      </c>
      <c r="D234" s="33" t="str">
        <f t="array" ref="D234">CONCATENATE(IFERROR(INDEX(Накл!$C$9:$C$550,SMALL(IF(Накл!$B$9:$B$550=A234,ROW(Накл!$B$9:$B$550)-ROW(Накл!$B$9)+1),ROW(D234)-ROW(A234)+1)),"")," ",IFERROR(INDEX(Накл!$C$9:$C$550,SMALL(IF(Накл!$B$9:$B$550=A234,ROW(Накл!$B$9:$B$550)-ROW(Накл!$B$9)+1),ROW(D235)-ROW(A234)+1)),"")," ",IFERROR(INDEX(Накл!$C$9:$C$550,SMALL(IF(Накл!$B$9:$B$550=A234,ROW(Накл!$B$9:$B$550)-ROW(Накл!$B$9)+1),ROW(D236)-ROW(A234)+1)),"")," ",IFERROR(INDEX(Накл!$C$9:$C$550,SMALL(IF(Накл!$B$9:$B$550=A234,ROW(Накл!$B$9:$B$550)-ROW(Накл!$B$9)+1),ROW(D237)-ROW(A234)+1)),"")," ",IFERROR(INDEX(Накл!$C$9:$C$550,SMALL(IF(Накл!$B$9:$B$550=A234,ROW(Накл!$B$9:$B$550)-ROW(Накл!$B$9)+1),ROW(D238)-ROW(A234)+1)),"")," ",IFERROR(INDEX(Накл!$C$9:$C$550,SMALL(IF(Накл!$B$9:$B$550=A234,ROW(Накл!$B$9:$B$550)-ROW(Накл!$B$9)+1),ROW(D239)-ROW(A234)+1)),"")," ",IFERROR(INDEX(Накл!$C$9:$C$550,SMALL(IF(Накл!$B$9:$B$550=A234,ROW(Накл!$B$9:$B$550)-ROW(Накл!$B$9)+1),ROW(D240)-ROW(A234)+1)),"")," ",IFERROR(INDEX(Накл!$C$9:$C$550,SMALL(IF(Накл!$B$9:$B$550=A234,ROW(Накл!$B$9:$B$550)-ROW(Накл!$B$9)+1),ROW(D241)-ROW(A234)+1)),"")," ",IFERROR(INDEX(Накл!$C$9:$C$550,SMALL(IF(Накл!$B$9:$B$550=A234,ROW(Накл!$B$9:$B$550)-ROW(Накл!$B$9)+1),ROW(D242)-ROW(A234)+1)),"")," ",IFERROR(INDEX(Накл!$C$9:$C$550,SMALL(IF(Накл!$B$9:$B$550=A234,ROW(Накл!$B$9:$B$550)-ROW(Накл!$B$9)+1),ROW(D243)-ROW(A234)+1)),""))</f>
        <v xml:space="preserve">         </v>
      </c>
      <c r="E234" s="26" t="str">
        <f t="array" ref="E234">IF(LEN(D234)&lt;10,CONCATENATE(IFERROR(INDEX(Накл!$C$9:$C$550,SMALL(IF(Накл!$A$9:$A$550=VALUE(LEFT(A234,8)),ROW(Накл!$A$9:$A$550)-ROW(Накл!$A$9)+1),ROW(E234)-ROW(B234)+1)),"")," ",IFERROR(INDEX(Накл!$C$9:$C$550,SMALL(IF(Накл!$A$9:$A$550=VALUE(LEFT(A234,8)),ROW(Накл!$A$9:$A$550)-ROW(Накл!$A$9)+1),ROW(E235)-ROW(B234)+1)),"")," ",IFERROR(INDEX(Накл!$C$9:$C$550,SMALL(IF(Накл!$A$9:$A$550=VALUE(LEFT(A234,8)),ROW(Накл!$A$9:$A$550)-ROW(Накл!$A$9)+1),ROW(E236)-ROW(B234)+1)),"")," ",IFERROR(INDEX(Накл!$C$9:$C$550,SMALL(IF(Накл!$A$9:$A$550=VALUE(LEFT(A234,8)),ROW(Накл!$A$9:$A$550)-ROW(Накл!$A$9)+1),ROW(E237)-ROW(B234)+1)),"")),"")</f>
        <v xml:space="preserve">   </v>
      </c>
    </row>
    <row r="235" spans="1:5">
      <c r="A235" s="26" t="str">
        <f>IFERROR(CONCATENATE(VALUE(SUBSTITUTE(SUBSTITUTE(LEFT(Накл!G242,11),".",""),"-",""))," ",Накл!J242),"-")</f>
        <v>-</v>
      </c>
      <c r="B235" s="26" t="str">
        <f>IFERROR(VLOOKUP(VALUE(LEFT(A235,8)),Накл!$A$9:$D$550,4,0),"-")</f>
        <v>-</v>
      </c>
      <c r="C235" s="26">
        <f>Накл!J242</f>
        <v>0</v>
      </c>
      <c r="D235" s="33" t="str">
        <f t="array" ref="D235">CONCATENATE(IFERROR(INDEX(Накл!$C$9:$C$550,SMALL(IF(Накл!$B$9:$B$550=A235,ROW(Накл!$B$9:$B$550)-ROW(Накл!$B$9)+1),ROW(D235)-ROW(A235)+1)),"")," ",IFERROR(INDEX(Накл!$C$9:$C$550,SMALL(IF(Накл!$B$9:$B$550=A235,ROW(Накл!$B$9:$B$550)-ROW(Накл!$B$9)+1),ROW(D236)-ROW(A235)+1)),"")," ",IFERROR(INDEX(Накл!$C$9:$C$550,SMALL(IF(Накл!$B$9:$B$550=A235,ROW(Накл!$B$9:$B$550)-ROW(Накл!$B$9)+1),ROW(D237)-ROW(A235)+1)),"")," ",IFERROR(INDEX(Накл!$C$9:$C$550,SMALL(IF(Накл!$B$9:$B$550=A235,ROW(Накл!$B$9:$B$550)-ROW(Накл!$B$9)+1),ROW(D238)-ROW(A235)+1)),"")," ",IFERROR(INDEX(Накл!$C$9:$C$550,SMALL(IF(Накл!$B$9:$B$550=A235,ROW(Накл!$B$9:$B$550)-ROW(Накл!$B$9)+1),ROW(D239)-ROW(A235)+1)),"")," ",IFERROR(INDEX(Накл!$C$9:$C$550,SMALL(IF(Накл!$B$9:$B$550=A235,ROW(Накл!$B$9:$B$550)-ROW(Накл!$B$9)+1),ROW(D240)-ROW(A235)+1)),"")," ",IFERROR(INDEX(Накл!$C$9:$C$550,SMALL(IF(Накл!$B$9:$B$550=A235,ROW(Накл!$B$9:$B$550)-ROW(Накл!$B$9)+1),ROW(D241)-ROW(A235)+1)),"")," ",IFERROR(INDEX(Накл!$C$9:$C$550,SMALL(IF(Накл!$B$9:$B$550=A235,ROW(Накл!$B$9:$B$550)-ROW(Накл!$B$9)+1),ROW(D242)-ROW(A235)+1)),"")," ",IFERROR(INDEX(Накл!$C$9:$C$550,SMALL(IF(Накл!$B$9:$B$550=A235,ROW(Накл!$B$9:$B$550)-ROW(Накл!$B$9)+1),ROW(D243)-ROW(A235)+1)),"")," ",IFERROR(INDEX(Накл!$C$9:$C$550,SMALL(IF(Накл!$B$9:$B$550=A235,ROW(Накл!$B$9:$B$550)-ROW(Накл!$B$9)+1),ROW(D244)-ROW(A235)+1)),""))</f>
        <v xml:space="preserve">         </v>
      </c>
      <c r="E235" s="26" t="str">
        <f t="array" ref="E235">IF(LEN(D235)&lt;10,CONCATENATE(IFERROR(INDEX(Накл!$C$9:$C$550,SMALL(IF(Накл!$A$9:$A$550=VALUE(LEFT(A235,8)),ROW(Накл!$A$9:$A$550)-ROW(Накл!$A$9)+1),ROW(E235)-ROW(B235)+1)),"")," ",IFERROR(INDEX(Накл!$C$9:$C$550,SMALL(IF(Накл!$A$9:$A$550=VALUE(LEFT(A235,8)),ROW(Накл!$A$9:$A$550)-ROW(Накл!$A$9)+1),ROW(E236)-ROW(B235)+1)),"")," ",IFERROR(INDEX(Накл!$C$9:$C$550,SMALL(IF(Накл!$A$9:$A$550=VALUE(LEFT(A235,8)),ROW(Накл!$A$9:$A$550)-ROW(Накл!$A$9)+1),ROW(E237)-ROW(B235)+1)),"")," ",IFERROR(INDEX(Накл!$C$9:$C$550,SMALL(IF(Накл!$A$9:$A$550=VALUE(LEFT(A235,8)),ROW(Накл!$A$9:$A$550)-ROW(Накл!$A$9)+1),ROW(E238)-ROW(B235)+1)),"")),"")</f>
        <v xml:space="preserve">   </v>
      </c>
    </row>
    <row r="236" spans="1:5">
      <c r="A236" s="26" t="str">
        <f>IFERROR(CONCATENATE(VALUE(SUBSTITUTE(SUBSTITUTE(LEFT(Накл!G243,11),".",""),"-",""))," ",Накл!J243),"-")</f>
        <v>-</v>
      </c>
      <c r="B236" s="26" t="str">
        <f>IFERROR(VLOOKUP(VALUE(LEFT(A236,8)),Накл!$A$9:$D$550,4,0),"-")</f>
        <v>-</v>
      </c>
      <c r="C236" s="26">
        <f>Накл!J243</f>
        <v>0</v>
      </c>
      <c r="D236" s="33" t="str">
        <f t="array" ref="D236">CONCATENATE(IFERROR(INDEX(Накл!$C$9:$C$550,SMALL(IF(Накл!$B$9:$B$550=A236,ROW(Накл!$B$9:$B$550)-ROW(Накл!$B$9)+1),ROW(D236)-ROW(A236)+1)),"")," ",IFERROR(INDEX(Накл!$C$9:$C$550,SMALL(IF(Накл!$B$9:$B$550=A236,ROW(Накл!$B$9:$B$550)-ROW(Накл!$B$9)+1),ROW(D237)-ROW(A236)+1)),"")," ",IFERROR(INDEX(Накл!$C$9:$C$550,SMALL(IF(Накл!$B$9:$B$550=A236,ROW(Накл!$B$9:$B$550)-ROW(Накл!$B$9)+1),ROW(D238)-ROW(A236)+1)),"")," ",IFERROR(INDEX(Накл!$C$9:$C$550,SMALL(IF(Накл!$B$9:$B$550=A236,ROW(Накл!$B$9:$B$550)-ROW(Накл!$B$9)+1),ROW(D239)-ROW(A236)+1)),"")," ",IFERROR(INDEX(Накл!$C$9:$C$550,SMALL(IF(Накл!$B$9:$B$550=A236,ROW(Накл!$B$9:$B$550)-ROW(Накл!$B$9)+1),ROW(D240)-ROW(A236)+1)),"")," ",IFERROR(INDEX(Накл!$C$9:$C$550,SMALL(IF(Накл!$B$9:$B$550=A236,ROW(Накл!$B$9:$B$550)-ROW(Накл!$B$9)+1),ROW(D241)-ROW(A236)+1)),"")," ",IFERROR(INDEX(Накл!$C$9:$C$550,SMALL(IF(Накл!$B$9:$B$550=A236,ROW(Накл!$B$9:$B$550)-ROW(Накл!$B$9)+1),ROW(D242)-ROW(A236)+1)),"")," ",IFERROR(INDEX(Накл!$C$9:$C$550,SMALL(IF(Накл!$B$9:$B$550=A236,ROW(Накл!$B$9:$B$550)-ROW(Накл!$B$9)+1),ROW(D243)-ROW(A236)+1)),"")," ",IFERROR(INDEX(Накл!$C$9:$C$550,SMALL(IF(Накл!$B$9:$B$550=A236,ROW(Накл!$B$9:$B$550)-ROW(Накл!$B$9)+1),ROW(D244)-ROW(A236)+1)),"")," ",IFERROR(INDEX(Накл!$C$9:$C$550,SMALL(IF(Накл!$B$9:$B$550=A236,ROW(Накл!$B$9:$B$550)-ROW(Накл!$B$9)+1),ROW(D245)-ROW(A236)+1)),""))</f>
        <v xml:space="preserve">         </v>
      </c>
      <c r="E236" s="26" t="str">
        <f t="array" ref="E236">IF(LEN(D236)&lt;10,CONCATENATE(IFERROR(INDEX(Накл!$C$9:$C$550,SMALL(IF(Накл!$A$9:$A$550=VALUE(LEFT(A236,8)),ROW(Накл!$A$9:$A$550)-ROW(Накл!$A$9)+1),ROW(E236)-ROW(B236)+1)),"")," ",IFERROR(INDEX(Накл!$C$9:$C$550,SMALL(IF(Накл!$A$9:$A$550=VALUE(LEFT(A236,8)),ROW(Накл!$A$9:$A$550)-ROW(Накл!$A$9)+1),ROW(E237)-ROW(B236)+1)),"")," ",IFERROR(INDEX(Накл!$C$9:$C$550,SMALL(IF(Накл!$A$9:$A$550=VALUE(LEFT(A236,8)),ROW(Накл!$A$9:$A$550)-ROW(Накл!$A$9)+1),ROW(E238)-ROW(B236)+1)),"")," ",IFERROR(INDEX(Накл!$C$9:$C$550,SMALL(IF(Накл!$A$9:$A$550=VALUE(LEFT(A236,8)),ROW(Накл!$A$9:$A$550)-ROW(Накл!$A$9)+1),ROW(E239)-ROW(B236)+1)),"")),"")</f>
        <v xml:space="preserve">   </v>
      </c>
    </row>
    <row r="237" spans="1:5">
      <c r="A237" s="26" t="str">
        <f>IFERROR(CONCATENATE(VALUE(SUBSTITUTE(SUBSTITUTE(LEFT(Накл!G244,11),".",""),"-",""))," ",Накл!J244),"-")</f>
        <v>-</v>
      </c>
      <c r="B237" s="26" t="str">
        <f>IFERROR(VLOOKUP(VALUE(LEFT(A237,8)),Накл!$A$9:$D$550,4,0),"-")</f>
        <v>-</v>
      </c>
      <c r="C237" s="26">
        <f>Накл!J244</f>
        <v>0</v>
      </c>
      <c r="D237" s="33" t="str">
        <f t="array" ref="D237">CONCATENATE(IFERROR(INDEX(Накл!$C$9:$C$550,SMALL(IF(Накл!$B$9:$B$550=A237,ROW(Накл!$B$9:$B$550)-ROW(Накл!$B$9)+1),ROW(D237)-ROW(A237)+1)),"")," ",IFERROR(INDEX(Накл!$C$9:$C$550,SMALL(IF(Накл!$B$9:$B$550=A237,ROW(Накл!$B$9:$B$550)-ROW(Накл!$B$9)+1),ROW(D238)-ROW(A237)+1)),"")," ",IFERROR(INDEX(Накл!$C$9:$C$550,SMALL(IF(Накл!$B$9:$B$550=A237,ROW(Накл!$B$9:$B$550)-ROW(Накл!$B$9)+1),ROW(D239)-ROW(A237)+1)),"")," ",IFERROR(INDEX(Накл!$C$9:$C$550,SMALL(IF(Накл!$B$9:$B$550=A237,ROW(Накл!$B$9:$B$550)-ROW(Накл!$B$9)+1),ROW(D240)-ROW(A237)+1)),"")," ",IFERROR(INDEX(Накл!$C$9:$C$550,SMALL(IF(Накл!$B$9:$B$550=A237,ROW(Накл!$B$9:$B$550)-ROW(Накл!$B$9)+1),ROW(D241)-ROW(A237)+1)),"")," ",IFERROR(INDEX(Накл!$C$9:$C$550,SMALL(IF(Накл!$B$9:$B$550=A237,ROW(Накл!$B$9:$B$550)-ROW(Накл!$B$9)+1),ROW(D242)-ROW(A237)+1)),"")," ",IFERROR(INDEX(Накл!$C$9:$C$550,SMALL(IF(Накл!$B$9:$B$550=A237,ROW(Накл!$B$9:$B$550)-ROW(Накл!$B$9)+1),ROW(D243)-ROW(A237)+1)),"")," ",IFERROR(INDEX(Накл!$C$9:$C$550,SMALL(IF(Накл!$B$9:$B$550=A237,ROW(Накл!$B$9:$B$550)-ROW(Накл!$B$9)+1),ROW(D244)-ROW(A237)+1)),"")," ",IFERROR(INDEX(Накл!$C$9:$C$550,SMALL(IF(Накл!$B$9:$B$550=A237,ROW(Накл!$B$9:$B$550)-ROW(Накл!$B$9)+1),ROW(D245)-ROW(A237)+1)),"")," ",IFERROR(INDEX(Накл!$C$9:$C$550,SMALL(IF(Накл!$B$9:$B$550=A237,ROW(Накл!$B$9:$B$550)-ROW(Накл!$B$9)+1),ROW(D246)-ROW(A237)+1)),""))</f>
        <v xml:space="preserve">         </v>
      </c>
      <c r="E237" s="26" t="str">
        <f t="array" ref="E237">IF(LEN(D237)&lt;10,CONCATENATE(IFERROR(INDEX(Накл!$C$9:$C$550,SMALL(IF(Накл!$A$9:$A$550=VALUE(LEFT(A237,8)),ROW(Накл!$A$9:$A$550)-ROW(Накл!$A$9)+1),ROW(E237)-ROW(B237)+1)),"")," ",IFERROR(INDEX(Накл!$C$9:$C$550,SMALL(IF(Накл!$A$9:$A$550=VALUE(LEFT(A237,8)),ROW(Накл!$A$9:$A$550)-ROW(Накл!$A$9)+1),ROW(E238)-ROW(B237)+1)),"")," ",IFERROR(INDEX(Накл!$C$9:$C$550,SMALL(IF(Накл!$A$9:$A$550=VALUE(LEFT(A237,8)),ROW(Накл!$A$9:$A$550)-ROW(Накл!$A$9)+1),ROW(E239)-ROW(B237)+1)),"")," ",IFERROR(INDEX(Накл!$C$9:$C$550,SMALL(IF(Накл!$A$9:$A$550=VALUE(LEFT(A237,8)),ROW(Накл!$A$9:$A$550)-ROW(Накл!$A$9)+1),ROW(E240)-ROW(B237)+1)),"")),"")</f>
        <v xml:space="preserve">   </v>
      </c>
    </row>
    <row r="238" spans="1:5">
      <c r="A238" s="26" t="str">
        <f>IFERROR(CONCATENATE(VALUE(SUBSTITUTE(SUBSTITUTE(LEFT(Накл!G245,11),".",""),"-",""))," ",Накл!J245),"-")</f>
        <v>-</v>
      </c>
      <c r="B238" s="26" t="str">
        <f>IFERROR(VLOOKUP(VALUE(LEFT(A238,8)),Накл!$A$9:$D$550,4,0),"-")</f>
        <v>-</v>
      </c>
      <c r="C238" s="26">
        <f>Накл!J245</f>
        <v>0</v>
      </c>
      <c r="D238" s="33" t="str">
        <f t="array" ref="D238">CONCATENATE(IFERROR(INDEX(Накл!$C$9:$C$550,SMALL(IF(Накл!$B$9:$B$550=A238,ROW(Накл!$B$9:$B$550)-ROW(Накл!$B$9)+1),ROW(D238)-ROW(A238)+1)),"")," ",IFERROR(INDEX(Накл!$C$9:$C$550,SMALL(IF(Накл!$B$9:$B$550=A238,ROW(Накл!$B$9:$B$550)-ROW(Накл!$B$9)+1),ROW(D239)-ROW(A238)+1)),"")," ",IFERROR(INDEX(Накл!$C$9:$C$550,SMALL(IF(Накл!$B$9:$B$550=A238,ROW(Накл!$B$9:$B$550)-ROW(Накл!$B$9)+1),ROW(D240)-ROW(A238)+1)),"")," ",IFERROR(INDEX(Накл!$C$9:$C$550,SMALL(IF(Накл!$B$9:$B$550=A238,ROW(Накл!$B$9:$B$550)-ROW(Накл!$B$9)+1),ROW(D241)-ROW(A238)+1)),"")," ",IFERROR(INDEX(Накл!$C$9:$C$550,SMALL(IF(Накл!$B$9:$B$550=A238,ROW(Накл!$B$9:$B$550)-ROW(Накл!$B$9)+1),ROW(D242)-ROW(A238)+1)),"")," ",IFERROR(INDEX(Накл!$C$9:$C$550,SMALL(IF(Накл!$B$9:$B$550=A238,ROW(Накл!$B$9:$B$550)-ROW(Накл!$B$9)+1),ROW(D243)-ROW(A238)+1)),"")," ",IFERROR(INDEX(Накл!$C$9:$C$550,SMALL(IF(Накл!$B$9:$B$550=A238,ROW(Накл!$B$9:$B$550)-ROW(Накл!$B$9)+1),ROW(D244)-ROW(A238)+1)),"")," ",IFERROR(INDEX(Накл!$C$9:$C$550,SMALL(IF(Накл!$B$9:$B$550=A238,ROW(Накл!$B$9:$B$550)-ROW(Накл!$B$9)+1),ROW(D245)-ROW(A238)+1)),"")," ",IFERROR(INDEX(Накл!$C$9:$C$550,SMALL(IF(Накл!$B$9:$B$550=A238,ROW(Накл!$B$9:$B$550)-ROW(Накл!$B$9)+1),ROW(D246)-ROW(A238)+1)),"")," ",IFERROR(INDEX(Накл!$C$9:$C$550,SMALL(IF(Накл!$B$9:$B$550=A238,ROW(Накл!$B$9:$B$550)-ROW(Накл!$B$9)+1),ROW(D247)-ROW(A238)+1)),""))</f>
        <v xml:space="preserve">         </v>
      </c>
      <c r="E238" s="26" t="str">
        <f t="array" ref="E238">IF(LEN(D238)&lt;10,CONCATENATE(IFERROR(INDEX(Накл!$C$9:$C$550,SMALL(IF(Накл!$A$9:$A$550=VALUE(LEFT(A238,8)),ROW(Накл!$A$9:$A$550)-ROW(Накл!$A$9)+1),ROW(E238)-ROW(B238)+1)),"")," ",IFERROR(INDEX(Накл!$C$9:$C$550,SMALL(IF(Накл!$A$9:$A$550=VALUE(LEFT(A238,8)),ROW(Накл!$A$9:$A$550)-ROW(Накл!$A$9)+1),ROW(E239)-ROW(B238)+1)),"")," ",IFERROR(INDEX(Накл!$C$9:$C$550,SMALL(IF(Накл!$A$9:$A$550=VALUE(LEFT(A238,8)),ROW(Накл!$A$9:$A$550)-ROW(Накл!$A$9)+1),ROW(E240)-ROW(B238)+1)),"")," ",IFERROR(INDEX(Накл!$C$9:$C$550,SMALL(IF(Накл!$A$9:$A$550=VALUE(LEFT(A238,8)),ROW(Накл!$A$9:$A$550)-ROW(Накл!$A$9)+1),ROW(E241)-ROW(B238)+1)),"")),"")</f>
        <v xml:space="preserve">   </v>
      </c>
    </row>
    <row r="239" spans="1:5">
      <c r="A239" s="26" t="str">
        <f>IFERROR(CONCATENATE(VALUE(SUBSTITUTE(SUBSTITUTE(LEFT(Накл!G246,11),".",""),"-",""))," ",Накл!J246),"-")</f>
        <v>-</v>
      </c>
      <c r="B239" s="26" t="str">
        <f>IFERROR(VLOOKUP(VALUE(LEFT(A239,8)),Накл!$A$9:$D$550,4,0),"-")</f>
        <v>-</v>
      </c>
      <c r="C239" s="26">
        <f>Накл!J246</f>
        <v>0</v>
      </c>
      <c r="D239" s="33" t="str">
        <f t="array" ref="D239">CONCATENATE(IFERROR(INDEX(Накл!$C$9:$C$550,SMALL(IF(Накл!$B$9:$B$550=A239,ROW(Накл!$B$9:$B$550)-ROW(Накл!$B$9)+1),ROW(D239)-ROW(A239)+1)),"")," ",IFERROR(INDEX(Накл!$C$9:$C$550,SMALL(IF(Накл!$B$9:$B$550=A239,ROW(Накл!$B$9:$B$550)-ROW(Накл!$B$9)+1),ROW(D240)-ROW(A239)+1)),"")," ",IFERROR(INDEX(Накл!$C$9:$C$550,SMALL(IF(Накл!$B$9:$B$550=A239,ROW(Накл!$B$9:$B$550)-ROW(Накл!$B$9)+1),ROW(D241)-ROW(A239)+1)),"")," ",IFERROR(INDEX(Накл!$C$9:$C$550,SMALL(IF(Накл!$B$9:$B$550=A239,ROW(Накл!$B$9:$B$550)-ROW(Накл!$B$9)+1),ROW(D242)-ROW(A239)+1)),"")," ",IFERROR(INDEX(Накл!$C$9:$C$550,SMALL(IF(Накл!$B$9:$B$550=A239,ROW(Накл!$B$9:$B$550)-ROW(Накл!$B$9)+1),ROW(D243)-ROW(A239)+1)),"")," ",IFERROR(INDEX(Накл!$C$9:$C$550,SMALL(IF(Накл!$B$9:$B$550=A239,ROW(Накл!$B$9:$B$550)-ROW(Накл!$B$9)+1),ROW(D244)-ROW(A239)+1)),"")," ",IFERROR(INDEX(Накл!$C$9:$C$550,SMALL(IF(Накл!$B$9:$B$550=A239,ROW(Накл!$B$9:$B$550)-ROW(Накл!$B$9)+1),ROW(D245)-ROW(A239)+1)),"")," ",IFERROR(INDEX(Накл!$C$9:$C$550,SMALL(IF(Накл!$B$9:$B$550=A239,ROW(Накл!$B$9:$B$550)-ROW(Накл!$B$9)+1),ROW(D246)-ROW(A239)+1)),"")," ",IFERROR(INDEX(Накл!$C$9:$C$550,SMALL(IF(Накл!$B$9:$B$550=A239,ROW(Накл!$B$9:$B$550)-ROW(Накл!$B$9)+1),ROW(D247)-ROW(A239)+1)),"")," ",IFERROR(INDEX(Накл!$C$9:$C$550,SMALL(IF(Накл!$B$9:$B$550=A239,ROW(Накл!$B$9:$B$550)-ROW(Накл!$B$9)+1),ROW(D248)-ROW(A239)+1)),""))</f>
        <v xml:space="preserve">         </v>
      </c>
      <c r="E239" s="26" t="str">
        <f t="array" ref="E239">IF(LEN(D239)&lt;10,CONCATENATE(IFERROR(INDEX(Накл!$C$9:$C$550,SMALL(IF(Накл!$A$9:$A$550=VALUE(LEFT(A239,8)),ROW(Накл!$A$9:$A$550)-ROW(Накл!$A$9)+1),ROW(E239)-ROW(B239)+1)),"")," ",IFERROR(INDEX(Накл!$C$9:$C$550,SMALL(IF(Накл!$A$9:$A$550=VALUE(LEFT(A239,8)),ROW(Накл!$A$9:$A$550)-ROW(Накл!$A$9)+1),ROW(E240)-ROW(B239)+1)),"")," ",IFERROR(INDEX(Накл!$C$9:$C$550,SMALL(IF(Накл!$A$9:$A$550=VALUE(LEFT(A239,8)),ROW(Накл!$A$9:$A$550)-ROW(Накл!$A$9)+1),ROW(E241)-ROW(B239)+1)),"")," ",IFERROR(INDEX(Накл!$C$9:$C$550,SMALL(IF(Накл!$A$9:$A$550=VALUE(LEFT(A239,8)),ROW(Накл!$A$9:$A$550)-ROW(Накл!$A$9)+1),ROW(E242)-ROW(B239)+1)),"")),"")</f>
        <v xml:space="preserve">   </v>
      </c>
    </row>
    <row r="240" spans="1:5">
      <c r="A240" s="26" t="str">
        <f>IFERROR(CONCATENATE(VALUE(SUBSTITUTE(SUBSTITUTE(LEFT(Накл!G247,11),".",""),"-",""))," ",Накл!J247),"-")</f>
        <v>-</v>
      </c>
      <c r="B240" s="26" t="str">
        <f>IFERROR(VLOOKUP(VALUE(LEFT(A240,8)),Накл!$A$9:$D$550,4,0),"-")</f>
        <v>-</v>
      </c>
      <c r="C240" s="26">
        <f>Накл!J247</f>
        <v>0</v>
      </c>
      <c r="D240" s="33" t="str">
        <f t="array" ref="D240">CONCATENATE(IFERROR(INDEX(Накл!$C$9:$C$550,SMALL(IF(Накл!$B$9:$B$550=A240,ROW(Накл!$B$9:$B$550)-ROW(Накл!$B$9)+1),ROW(D240)-ROW(A240)+1)),"")," ",IFERROR(INDEX(Накл!$C$9:$C$550,SMALL(IF(Накл!$B$9:$B$550=A240,ROW(Накл!$B$9:$B$550)-ROW(Накл!$B$9)+1),ROW(D241)-ROW(A240)+1)),"")," ",IFERROR(INDEX(Накл!$C$9:$C$550,SMALL(IF(Накл!$B$9:$B$550=A240,ROW(Накл!$B$9:$B$550)-ROW(Накл!$B$9)+1),ROW(D242)-ROW(A240)+1)),"")," ",IFERROR(INDEX(Накл!$C$9:$C$550,SMALL(IF(Накл!$B$9:$B$550=A240,ROW(Накл!$B$9:$B$550)-ROW(Накл!$B$9)+1),ROW(D243)-ROW(A240)+1)),"")," ",IFERROR(INDEX(Накл!$C$9:$C$550,SMALL(IF(Накл!$B$9:$B$550=A240,ROW(Накл!$B$9:$B$550)-ROW(Накл!$B$9)+1),ROW(D244)-ROW(A240)+1)),"")," ",IFERROR(INDEX(Накл!$C$9:$C$550,SMALL(IF(Накл!$B$9:$B$550=A240,ROW(Накл!$B$9:$B$550)-ROW(Накл!$B$9)+1),ROW(D245)-ROW(A240)+1)),"")," ",IFERROR(INDEX(Накл!$C$9:$C$550,SMALL(IF(Накл!$B$9:$B$550=A240,ROW(Накл!$B$9:$B$550)-ROW(Накл!$B$9)+1),ROW(D246)-ROW(A240)+1)),"")," ",IFERROR(INDEX(Накл!$C$9:$C$550,SMALL(IF(Накл!$B$9:$B$550=A240,ROW(Накл!$B$9:$B$550)-ROW(Накл!$B$9)+1),ROW(D247)-ROW(A240)+1)),"")," ",IFERROR(INDEX(Накл!$C$9:$C$550,SMALL(IF(Накл!$B$9:$B$550=A240,ROW(Накл!$B$9:$B$550)-ROW(Накл!$B$9)+1),ROW(D248)-ROW(A240)+1)),"")," ",IFERROR(INDEX(Накл!$C$9:$C$550,SMALL(IF(Накл!$B$9:$B$550=A240,ROW(Накл!$B$9:$B$550)-ROW(Накл!$B$9)+1),ROW(D249)-ROW(A240)+1)),""))</f>
        <v xml:space="preserve">         </v>
      </c>
      <c r="E240" s="26" t="str">
        <f t="array" ref="E240">IF(LEN(D240)&lt;10,CONCATENATE(IFERROR(INDEX(Накл!$C$9:$C$550,SMALL(IF(Накл!$A$9:$A$550=VALUE(LEFT(A240,8)),ROW(Накл!$A$9:$A$550)-ROW(Накл!$A$9)+1),ROW(E240)-ROW(B240)+1)),"")," ",IFERROR(INDEX(Накл!$C$9:$C$550,SMALL(IF(Накл!$A$9:$A$550=VALUE(LEFT(A240,8)),ROW(Накл!$A$9:$A$550)-ROW(Накл!$A$9)+1),ROW(E241)-ROW(B240)+1)),"")," ",IFERROR(INDEX(Накл!$C$9:$C$550,SMALL(IF(Накл!$A$9:$A$550=VALUE(LEFT(A240,8)),ROW(Накл!$A$9:$A$550)-ROW(Накл!$A$9)+1),ROW(E242)-ROW(B240)+1)),"")," ",IFERROR(INDEX(Накл!$C$9:$C$550,SMALL(IF(Накл!$A$9:$A$550=VALUE(LEFT(A240,8)),ROW(Накл!$A$9:$A$550)-ROW(Накл!$A$9)+1),ROW(E243)-ROW(B240)+1)),"")),"")</f>
        <v xml:space="preserve">   </v>
      </c>
    </row>
    <row r="241" spans="1:5">
      <c r="A241" s="26" t="str">
        <f>IFERROR(CONCATENATE(VALUE(SUBSTITUTE(SUBSTITUTE(LEFT(Накл!G248,11),".",""),"-",""))," ",Накл!J248),"-")</f>
        <v>-</v>
      </c>
      <c r="B241" s="26" t="str">
        <f>IFERROR(VLOOKUP(VALUE(LEFT(A241,8)),Накл!$A$9:$D$550,4,0),"-")</f>
        <v>-</v>
      </c>
      <c r="C241" s="26">
        <f>Накл!J248</f>
        <v>0</v>
      </c>
      <c r="D241" s="33" t="str">
        <f t="array" ref="D241">CONCATENATE(IFERROR(INDEX(Накл!$C$9:$C$550,SMALL(IF(Накл!$B$9:$B$550=A241,ROW(Накл!$B$9:$B$550)-ROW(Накл!$B$9)+1),ROW(D241)-ROW(A241)+1)),"")," ",IFERROR(INDEX(Накл!$C$9:$C$550,SMALL(IF(Накл!$B$9:$B$550=A241,ROW(Накл!$B$9:$B$550)-ROW(Накл!$B$9)+1),ROW(D242)-ROW(A241)+1)),"")," ",IFERROR(INDEX(Накл!$C$9:$C$550,SMALL(IF(Накл!$B$9:$B$550=A241,ROW(Накл!$B$9:$B$550)-ROW(Накл!$B$9)+1),ROW(D243)-ROW(A241)+1)),"")," ",IFERROR(INDEX(Накл!$C$9:$C$550,SMALL(IF(Накл!$B$9:$B$550=A241,ROW(Накл!$B$9:$B$550)-ROW(Накл!$B$9)+1),ROW(D244)-ROW(A241)+1)),"")," ",IFERROR(INDEX(Накл!$C$9:$C$550,SMALL(IF(Накл!$B$9:$B$550=A241,ROW(Накл!$B$9:$B$550)-ROW(Накл!$B$9)+1),ROW(D245)-ROW(A241)+1)),"")," ",IFERROR(INDEX(Накл!$C$9:$C$550,SMALL(IF(Накл!$B$9:$B$550=A241,ROW(Накл!$B$9:$B$550)-ROW(Накл!$B$9)+1),ROW(D246)-ROW(A241)+1)),"")," ",IFERROR(INDEX(Накл!$C$9:$C$550,SMALL(IF(Накл!$B$9:$B$550=A241,ROW(Накл!$B$9:$B$550)-ROW(Накл!$B$9)+1),ROW(D247)-ROW(A241)+1)),"")," ",IFERROR(INDEX(Накл!$C$9:$C$550,SMALL(IF(Накл!$B$9:$B$550=A241,ROW(Накл!$B$9:$B$550)-ROW(Накл!$B$9)+1),ROW(D248)-ROW(A241)+1)),"")," ",IFERROR(INDEX(Накл!$C$9:$C$550,SMALL(IF(Накл!$B$9:$B$550=A241,ROW(Накл!$B$9:$B$550)-ROW(Накл!$B$9)+1),ROW(D249)-ROW(A241)+1)),"")," ",IFERROR(INDEX(Накл!$C$9:$C$550,SMALL(IF(Накл!$B$9:$B$550=A241,ROW(Накл!$B$9:$B$550)-ROW(Накл!$B$9)+1),ROW(D250)-ROW(A241)+1)),""))</f>
        <v xml:space="preserve">         </v>
      </c>
      <c r="E241" s="26" t="str">
        <f t="array" ref="E241">IF(LEN(D241)&lt;10,CONCATENATE(IFERROR(INDEX(Накл!$C$9:$C$550,SMALL(IF(Накл!$A$9:$A$550=VALUE(LEFT(A241,8)),ROW(Накл!$A$9:$A$550)-ROW(Накл!$A$9)+1),ROW(E241)-ROW(B241)+1)),"")," ",IFERROR(INDEX(Накл!$C$9:$C$550,SMALL(IF(Накл!$A$9:$A$550=VALUE(LEFT(A241,8)),ROW(Накл!$A$9:$A$550)-ROW(Накл!$A$9)+1),ROW(E242)-ROW(B241)+1)),"")," ",IFERROR(INDEX(Накл!$C$9:$C$550,SMALL(IF(Накл!$A$9:$A$550=VALUE(LEFT(A241,8)),ROW(Накл!$A$9:$A$550)-ROW(Накл!$A$9)+1),ROW(E243)-ROW(B241)+1)),"")," ",IFERROR(INDEX(Накл!$C$9:$C$550,SMALL(IF(Накл!$A$9:$A$550=VALUE(LEFT(A241,8)),ROW(Накл!$A$9:$A$550)-ROW(Накл!$A$9)+1),ROW(E244)-ROW(B241)+1)),"")),"")</f>
        <v xml:space="preserve">   </v>
      </c>
    </row>
    <row r="242" spans="1:5">
      <c r="A242" s="26" t="str">
        <f>IFERROR(CONCATENATE(VALUE(SUBSTITUTE(SUBSTITUTE(LEFT(Накл!G249,11),".",""),"-",""))," ",Накл!J249),"-")</f>
        <v>-</v>
      </c>
      <c r="B242" s="26" t="str">
        <f>IFERROR(VLOOKUP(VALUE(LEFT(A242,8)),Накл!$A$9:$D$550,4,0),"-")</f>
        <v>-</v>
      </c>
      <c r="C242" s="26">
        <f>Накл!J249</f>
        <v>0</v>
      </c>
      <c r="D242" s="33" t="str">
        <f t="array" ref="D242">CONCATENATE(IFERROR(INDEX(Накл!$C$9:$C$550,SMALL(IF(Накл!$B$9:$B$550=A242,ROW(Накл!$B$9:$B$550)-ROW(Накл!$B$9)+1),ROW(D242)-ROW(A242)+1)),"")," ",IFERROR(INDEX(Накл!$C$9:$C$550,SMALL(IF(Накл!$B$9:$B$550=A242,ROW(Накл!$B$9:$B$550)-ROW(Накл!$B$9)+1),ROW(D243)-ROW(A242)+1)),"")," ",IFERROR(INDEX(Накл!$C$9:$C$550,SMALL(IF(Накл!$B$9:$B$550=A242,ROW(Накл!$B$9:$B$550)-ROW(Накл!$B$9)+1),ROW(D244)-ROW(A242)+1)),"")," ",IFERROR(INDEX(Накл!$C$9:$C$550,SMALL(IF(Накл!$B$9:$B$550=A242,ROW(Накл!$B$9:$B$550)-ROW(Накл!$B$9)+1),ROW(D245)-ROW(A242)+1)),"")," ",IFERROR(INDEX(Накл!$C$9:$C$550,SMALL(IF(Накл!$B$9:$B$550=A242,ROW(Накл!$B$9:$B$550)-ROW(Накл!$B$9)+1),ROW(D246)-ROW(A242)+1)),"")," ",IFERROR(INDEX(Накл!$C$9:$C$550,SMALL(IF(Накл!$B$9:$B$550=A242,ROW(Накл!$B$9:$B$550)-ROW(Накл!$B$9)+1),ROW(D247)-ROW(A242)+1)),"")," ",IFERROR(INDEX(Накл!$C$9:$C$550,SMALL(IF(Накл!$B$9:$B$550=A242,ROW(Накл!$B$9:$B$550)-ROW(Накл!$B$9)+1),ROW(D248)-ROW(A242)+1)),"")," ",IFERROR(INDEX(Накл!$C$9:$C$550,SMALL(IF(Накл!$B$9:$B$550=A242,ROW(Накл!$B$9:$B$550)-ROW(Накл!$B$9)+1),ROW(D249)-ROW(A242)+1)),"")," ",IFERROR(INDEX(Накл!$C$9:$C$550,SMALL(IF(Накл!$B$9:$B$550=A242,ROW(Накл!$B$9:$B$550)-ROW(Накл!$B$9)+1),ROW(D250)-ROW(A242)+1)),"")," ",IFERROR(INDEX(Накл!$C$9:$C$550,SMALL(IF(Накл!$B$9:$B$550=A242,ROW(Накл!$B$9:$B$550)-ROW(Накл!$B$9)+1),ROW(D251)-ROW(A242)+1)),""))</f>
        <v xml:space="preserve">         </v>
      </c>
      <c r="E242" s="26" t="str">
        <f t="array" ref="E242">IF(LEN(D242)&lt;10,CONCATENATE(IFERROR(INDEX(Накл!$C$9:$C$550,SMALL(IF(Накл!$A$9:$A$550=VALUE(LEFT(A242,8)),ROW(Накл!$A$9:$A$550)-ROW(Накл!$A$9)+1),ROW(E242)-ROW(B242)+1)),"")," ",IFERROR(INDEX(Накл!$C$9:$C$550,SMALL(IF(Накл!$A$9:$A$550=VALUE(LEFT(A242,8)),ROW(Накл!$A$9:$A$550)-ROW(Накл!$A$9)+1),ROW(E243)-ROW(B242)+1)),"")," ",IFERROR(INDEX(Накл!$C$9:$C$550,SMALL(IF(Накл!$A$9:$A$550=VALUE(LEFT(A242,8)),ROW(Накл!$A$9:$A$550)-ROW(Накл!$A$9)+1),ROW(E244)-ROW(B242)+1)),"")," ",IFERROR(INDEX(Накл!$C$9:$C$550,SMALL(IF(Накл!$A$9:$A$550=VALUE(LEFT(A242,8)),ROW(Накл!$A$9:$A$550)-ROW(Накл!$A$9)+1),ROW(E245)-ROW(B242)+1)),"")),"")</f>
        <v xml:space="preserve">   </v>
      </c>
    </row>
    <row r="243" spans="1:5">
      <c r="A243" s="26" t="str">
        <f>IFERROR(CONCATENATE(VALUE(SUBSTITUTE(SUBSTITUTE(LEFT(Накл!G250,11),".",""),"-",""))," ",Накл!J250),"-")</f>
        <v>-</v>
      </c>
      <c r="B243" s="26" t="str">
        <f>IFERROR(VLOOKUP(VALUE(LEFT(A243,8)),Накл!$A$9:$D$550,4,0),"-")</f>
        <v>-</v>
      </c>
      <c r="C243" s="26">
        <f>Накл!J250</f>
        <v>0</v>
      </c>
      <c r="D243" s="33" t="str">
        <f t="array" ref="D243">CONCATENATE(IFERROR(INDEX(Накл!$C$9:$C$550,SMALL(IF(Накл!$B$9:$B$550=A243,ROW(Накл!$B$9:$B$550)-ROW(Накл!$B$9)+1),ROW(D243)-ROW(A243)+1)),"")," ",IFERROR(INDEX(Накл!$C$9:$C$550,SMALL(IF(Накл!$B$9:$B$550=A243,ROW(Накл!$B$9:$B$550)-ROW(Накл!$B$9)+1),ROW(D244)-ROW(A243)+1)),"")," ",IFERROR(INDEX(Накл!$C$9:$C$550,SMALL(IF(Накл!$B$9:$B$550=A243,ROW(Накл!$B$9:$B$550)-ROW(Накл!$B$9)+1),ROW(D245)-ROW(A243)+1)),"")," ",IFERROR(INDEX(Накл!$C$9:$C$550,SMALL(IF(Накл!$B$9:$B$550=A243,ROW(Накл!$B$9:$B$550)-ROW(Накл!$B$9)+1),ROW(D246)-ROW(A243)+1)),"")," ",IFERROR(INDEX(Накл!$C$9:$C$550,SMALL(IF(Накл!$B$9:$B$550=A243,ROW(Накл!$B$9:$B$550)-ROW(Накл!$B$9)+1),ROW(D247)-ROW(A243)+1)),"")," ",IFERROR(INDEX(Накл!$C$9:$C$550,SMALL(IF(Накл!$B$9:$B$550=A243,ROW(Накл!$B$9:$B$550)-ROW(Накл!$B$9)+1),ROW(D248)-ROW(A243)+1)),"")," ",IFERROR(INDEX(Накл!$C$9:$C$550,SMALL(IF(Накл!$B$9:$B$550=A243,ROW(Накл!$B$9:$B$550)-ROW(Накл!$B$9)+1),ROW(D249)-ROW(A243)+1)),"")," ",IFERROR(INDEX(Накл!$C$9:$C$550,SMALL(IF(Накл!$B$9:$B$550=A243,ROW(Накл!$B$9:$B$550)-ROW(Накл!$B$9)+1),ROW(D250)-ROW(A243)+1)),"")," ",IFERROR(INDEX(Накл!$C$9:$C$550,SMALL(IF(Накл!$B$9:$B$550=A243,ROW(Накл!$B$9:$B$550)-ROW(Накл!$B$9)+1),ROW(D251)-ROW(A243)+1)),"")," ",IFERROR(INDEX(Накл!$C$9:$C$550,SMALL(IF(Накл!$B$9:$B$550=A243,ROW(Накл!$B$9:$B$550)-ROW(Накл!$B$9)+1),ROW(D252)-ROW(A243)+1)),""))</f>
        <v xml:space="preserve">         </v>
      </c>
      <c r="E243" s="26" t="str">
        <f t="array" ref="E243">IF(LEN(D243)&lt;10,CONCATENATE(IFERROR(INDEX(Накл!$C$9:$C$550,SMALL(IF(Накл!$A$9:$A$550=VALUE(LEFT(A243,8)),ROW(Накл!$A$9:$A$550)-ROW(Накл!$A$9)+1),ROW(E243)-ROW(B243)+1)),"")," ",IFERROR(INDEX(Накл!$C$9:$C$550,SMALL(IF(Накл!$A$9:$A$550=VALUE(LEFT(A243,8)),ROW(Накл!$A$9:$A$550)-ROW(Накл!$A$9)+1),ROW(E244)-ROW(B243)+1)),"")," ",IFERROR(INDEX(Накл!$C$9:$C$550,SMALL(IF(Накл!$A$9:$A$550=VALUE(LEFT(A243,8)),ROW(Накл!$A$9:$A$550)-ROW(Накл!$A$9)+1),ROW(E245)-ROW(B243)+1)),"")," ",IFERROR(INDEX(Накл!$C$9:$C$550,SMALL(IF(Накл!$A$9:$A$550=VALUE(LEFT(A243,8)),ROW(Накл!$A$9:$A$550)-ROW(Накл!$A$9)+1),ROW(E246)-ROW(B243)+1)),"")),"")</f>
        <v xml:space="preserve">   </v>
      </c>
    </row>
    <row r="244" spans="1:5">
      <c r="A244" s="26" t="str">
        <f>IFERROR(CONCATENATE(VALUE(SUBSTITUTE(SUBSTITUTE(LEFT(Накл!G251,11),".",""),"-",""))," ",Накл!J251),"-")</f>
        <v>-</v>
      </c>
      <c r="B244" s="26" t="str">
        <f>IFERROR(VLOOKUP(VALUE(LEFT(A244,8)),Накл!$A$9:$D$550,4,0),"-")</f>
        <v>-</v>
      </c>
      <c r="C244" s="26">
        <f>Накл!J251</f>
        <v>0</v>
      </c>
      <c r="D244" s="33" t="str">
        <f t="array" ref="D244">CONCATENATE(IFERROR(INDEX(Накл!$C$9:$C$550,SMALL(IF(Накл!$B$9:$B$550=A244,ROW(Накл!$B$9:$B$550)-ROW(Накл!$B$9)+1),ROW(D244)-ROW(A244)+1)),"")," ",IFERROR(INDEX(Накл!$C$9:$C$550,SMALL(IF(Накл!$B$9:$B$550=A244,ROW(Накл!$B$9:$B$550)-ROW(Накл!$B$9)+1),ROW(D245)-ROW(A244)+1)),"")," ",IFERROR(INDEX(Накл!$C$9:$C$550,SMALL(IF(Накл!$B$9:$B$550=A244,ROW(Накл!$B$9:$B$550)-ROW(Накл!$B$9)+1),ROW(D246)-ROW(A244)+1)),"")," ",IFERROR(INDEX(Накл!$C$9:$C$550,SMALL(IF(Накл!$B$9:$B$550=A244,ROW(Накл!$B$9:$B$550)-ROW(Накл!$B$9)+1),ROW(D247)-ROW(A244)+1)),"")," ",IFERROR(INDEX(Накл!$C$9:$C$550,SMALL(IF(Накл!$B$9:$B$550=A244,ROW(Накл!$B$9:$B$550)-ROW(Накл!$B$9)+1),ROW(D248)-ROW(A244)+1)),"")," ",IFERROR(INDEX(Накл!$C$9:$C$550,SMALL(IF(Накл!$B$9:$B$550=A244,ROW(Накл!$B$9:$B$550)-ROW(Накл!$B$9)+1),ROW(D249)-ROW(A244)+1)),"")," ",IFERROR(INDEX(Накл!$C$9:$C$550,SMALL(IF(Накл!$B$9:$B$550=A244,ROW(Накл!$B$9:$B$550)-ROW(Накл!$B$9)+1),ROW(D250)-ROW(A244)+1)),"")," ",IFERROR(INDEX(Накл!$C$9:$C$550,SMALL(IF(Накл!$B$9:$B$550=A244,ROW(Накл!$B$9:$B$550)-ROW(Накл!$B$9)+1),ROW(D251)-ROW(A244)+1)),"")," ",IFERROR(INDEX(Накл!$C$9:$C$550,SMALL(IF(Накл!$B$9:$B$550=A244,ROW(Накл!$B$9:$B$550)-ROW(Накл!$B$9)+1),ROW(D252)-ROW(A244)+1)),"")," ",IFERROR(INDEX(Накл!$C$9:$C$550,SMALL(IF(Накл!$B$9:$B$550=A244,ROW(Накл!$B$9:$B$550)-ROW(Накл!$B$9)+1),ROW(D253)-ROW(A244)+1)),""))</f>
        <v xml:space="preserve">         </v>
      </c>
      <c r="E244" s="26" t="str">
        <f t="array" ref="E244">IF(LEN(D244)&lt;10,CONCATENATE(IFERROR(INDEX(Накл!$C$9:$C$550,SMALL(IF(Накл!$A$9:$A$550=VALUE(LEFT(A244,8)),ROW(Накл!$A$9:$A$550)-ROW(Накл!$A$9)+1),ROW(E244)-ROW(B244)+1)),"")," ",IFERROR(INDEX(Накл!$C$9:$C$550,SMALL(IF(Накл!$A$9:$A$550=VALUE(LEFT(A244,8)),ROW(Накл!$A$9:$A$550)-ROW(Накл!$A$9)+1),ROW(E245)-ROW(B244)+1)),"")," ",IFERROR(INDEX(Накл!$C$9:$C$550,SMALL(IF(Накл!$A$9:$A$550=VALUE(LEFT(A244,8)),ROW(Накл!$A$9:$A$550)-ROW(Накл!$A$9)+1),ROW(E246)-ROW(B244)+1)),"")," ",IFERROR(INDEX(Накл!$C$9:$C$550,SMALL(IF(Накл!$A$9:$A$550=VALUE(LEFT(A244,8)),ROW(Накл!$A$9:$A$550)-ROW(Накл!$A$9)+1),ROW(E247)-ROW(B244)+1)),"")),"")</f>
        <v xml:space="preserve">   </v>
      </c>
    </row>
    <row r="245" spans="1:5">
      <c r="A245" s="26" t="str">
        <f>IFERROR(CONCATENATE(VALUE(SUBSTITUTE(SUBSTITUTE(LEFT(Накл!G252,11),".",""),"-",""))," ",Накл!J252),"-")</f>
        <v>-</v>
      </c>
      <c r="B245" s="26" t="str">
        <f>IFERROR(VLOOKUP(VALUE(LEFT(A245,8)),Накл!$A$9:$D$550,4,0),"-")</f>
        <v>-</v>
      </c>
      <c r="C245" s="26">
        <f>Накл!J252</f>
        <v>0</v>
      </c>
      <c r="D245" s="33" t="str">
        <f t="array" ref="D245">CONCATENATE(IFERROR(INDEX(Накл!$C$9:$C$550,SMALL(IF(Накл!$B$9:$B$550=A245,ROW(Накл!$B$9:$B$550)-ROW(Накл!$B$9)+1),ROW(D245)-ROW(A245)+1)),"")," ",IFERROR(INDEX(Накл!$C$9:$C$550,SMALL(IF(Накл!$B$9:$B$550=A245,ROW(Накл!$B$9:$B$550)-ROW(Накл!$B$9)+1),ROW(D246)-ROW(A245)+1)),"")," ",IFERROR(INDEX(Накл!$C$9:$C$550,SMALL(IF(Накл!$B$9:$B$550=A245,ROW(Накл!$B$9:$B$550)-ROW(Накл!$B$9)+1),ROW(D247)-ROW(A245)+1)),"")," ",IFERROR(INDEX(Накл!$C$9:$C$550,SMALL(IF(Накл!$B$9:$B$550=A245,ROW(Накл!$B$9:$B$550)-ROW(Накл!$B$9)+1),ROW(D248)-ROW(A245)+1)),"")," ",IFERROR(INDEX(Накл!$C$9:$C$550,SMALL(IF(Накл!$B$9:$B$550=A245,ROW(Накл!$B$9:$B$550)-ROW(Накл!$B$9)+1),ROW(D249)-ROW(A245)+1)),"")," ",IFERROR(INDEX(Накл!$C$9:$C$550,SMALL(IF(Накл!$B$9:$B$550=A245,ROW(Накл!$B$9:$B$550)-ROW(Накл!$B$9)+1),ROW(D250)-ROW(A245)+1)),"")," ",IFERROR(INDEX(Накл!$C$9:$C$550,SMALL(IF(Накл!$B$9:$B$550=A245,ROW(Накл!$B$9:$B$550)-ROW(Накл!$B$9)+1),ROW(D251)-ROW(A245)+1)),"")," ",IFERROR(INDEX(Накл!$C$9:$C$550,SMALL(IF(Накл!$B$9:$B$550=A245,ROW(Накл!$B$9:$B$550)-ROW(Накл!$B$9)+1),ROW(D252)-ROW(A245)+1)),"")," ",IFERROR(INDEX(Накл!$C$9:$C$550,SMALL(IF(Накл!$B$9:$B$550=A245,ROW(Накл!$B$9:$B$550)-ROW(Накл!$B$9)+1),ROW(D253)-ROW(A245)+1)),"")," ",IFERROR(INDEX(Накл!$C$9:$C$550,SMALL(IF(Накл!$B$9:$B$550=A245,ROW(Накл!$B$9:$B$550)-ROW(Накл!$B$9)+1),ROW(D254)-ROW(A245)+1)),""))</f>
        <v xml:space="preserve">         </v>
      </c>
      <c r="E245" s="26" t="str">
        <f t="array" ref="E245">IF(LEN(D245)&lt;10,CONCATENATE(IFERROR(INDEX(Накл!$C$9:$C$550,SMALL(IF(Накл!$A$9:$A$550=VALUE(LEFT(A245,8)),ROW(Накл!$A$9:$A$550)-ROW(Накл!$A$9)+1),ROW(E245)-ROW(B245)+1)),"")," ",IFERROR(INDEX(Накл!$C$9:$C$550,SMALL(IF(Накл!$A$9:$A$550=VALUE(LEFT(A245,8)),ROW(Накл!$A$9:$A$550)-ROW(Накл!$A$9)+1),ROW(E246)-ROW(B245)+1)),"")," ",IFERROR(INDEX(Накл!$C$9:$C$550,SMALL(IF(Накл!$A$9:$A$550=VALUE(LEFT(A245,8)),ROW(Накл!$A$9:$A$550)-ROW(Накл!$A$9)+1),ROW(E247)-ROW(B245)+1)),"")," ",IFERROR(INDEX(Накл!$C$9:$C$550,SMALL(IF(Накл!$A$9:$A$550=VALUE(LEFT(A245,8)),ROW(Накл!$A$9:$A$550)-ROW(Накл!$A$9)+1),ROW(E248)-ROW(B245)+1)),"")),"")</f>
        <v xml:space="preserve">   </v>
      </c>
    </row>
    <row r="246" spans="1:5">
      <c r="A246" s="26" t="str">
        <f>IFERROR(CONCATENATE(VALUE(SUBSTITUTE(SUBSTITUTE(LEFT(Накл!G253,11),".",""),"-",""))," ",Накл!J253),"-")</f>
        <v>-</v>
      </c>
      <c r="B246" s="26" t="str">
        <f>IFERROR(VLOOKUP(VALUE(LEFT(A246,8)),Накл!$A$9:$D$550,4,0),"-")</f>
        <v>-</v>
      </c>
      <c r="C246" s="26">
        <f>Накл!J253</f>
        <v>0</v>
      </c>
      <c r="D246" s="33" t="str">
        <f t="array" ref="D246">CONCATENATE(IFERROR(INDEX(Накл!$C$9:$C$550,SMALL(IF(Накл!$B$9:$B$550=A246,ROW(Накл!$B$9:$B$550)-ROW(Накл!$B$9)+1),ROW(D246)-ROW(A246)+1)),"")," ",IFERROR(INDEX(Накл!$C$9:$C$550,SMALL(IF(Накл!$B$9:$B$550=A246,ROW(Накл!$B$9:$B$550)-ROW(Накл!$B$9)+1),ROW(D247)-ROW(A246)+1)),"")," ",IFERROR(INDEX(Накл!$C$9:$C$550,SMALL(IF(Накл!$B$9:$B$550=A246,ROW(Накл!$B$9:$B$550)-ROW(Накл!$B$9)+1),ROW(D248)-ROW(A246)+1)),"")," ",IFERROR(INDEX(Накл!$C$9:$C$550,SMALL(IF(Накл!$B$9:$B$550=A246,ROW(Накл!$B$9:$B$550)-ROW(Накл!$B$9)+1),ROW(D249)-ROW(A246)+1)),"")," ",IFERROR(INDEX(Накл!$C$9:$C$550,SMALL(IF(Накл!$B$9:$B$550=A246,ROW(Накл!$B$9:$B$550)-ROW(Накл!$B$9)+1),ROW(D250)-ROW(A246)+1)),"")," ",IFERROR(INDEX(Накл!$C$9:$C$550,SMALL(IF(Накл!$B$9:$B$550=A246,ROW(Накл!$B$9:$B$550)-ROW(Накл!$B$9)+1),ROW(D251)-ROW(A246)+1)),"")," ",IFERROR(INDEX(Накл!$C$9:$C$550,SMALL(IF(Накл!$B$9:$B$550=A246,ROW(Накл!$B$9:$B$550)-ROW(Накл!$B$9)+1),ROW(D252)-ROW(A246)+1)),"")," ",IFERROR(INDEX(Накл!$C$9:$C$550,SMALL(IF(Накл!$B$9:$B$550=A246,ROW(Накл!$B$9:$B$550)-ROW(Накл!$B$9)+1),ROW(D253)-ROW(A246)+1)),"")," ",IFERROR(INDEX(Накл!$C$9:$C$550,SMALL(IF(Накл!$B$9:$B$550=A246,ROW(Накл!$B$9:$B$550)-ROW(Накл!$B$9)+1),ROW(D254)-ROW(A246)+1)),"")," ",IFERROR(INDEX(Накл!$C$9:$C$550,SMALL(IF(Накл!$B$9:$B$550=A246,ROW(Накл!$B$9:$B$550)-ROW(Накл!$B$9)+1),ROW(D255)-ROW(A246)+1)),""))</f>
        <v xml:space="preserve">         </v>
      </c>
      <c r="E246" s="26" t="str">
        <f t="array" ref="E246">IF(LEN(D246)&lt;10,CONCATENATE(IFERROR(INDEX(Накл!$C$9:$C$550,SMALL(IF(Накл!$A$9:$A$550=VALUE(LEFT(A246,8)),ROW(Накл!$A$9:$A$550)-ROW(Накл!$A$9)+1),ROW(E246)-ROW(B246)+1)),"")," ",IFERROR(INDEX(Накл!$C$9:$C$550,SMALL(IF(Накл!$A$9:$A$550=VALUE(LEFT(A246,8)),ROW(Накл!$A$9:$A$550)-ROW(Накл!$A$9)+1),ROW(E247)-ROW(B246)+1)),"")," ",IFERROR(INDEX(Накл!$C$9:$C$550,SMALL(IF(Накл!$A$9:$A$550=VALUE(LEFT(A246,8)),ROW(Накл!$A$9:$A$550)-ROW(Накл!$A$9)+1),ROW(E248)-ROW(B246)+1)),"")," ",IFERROR(INDEX(Накл!$C$9:$C$550,SMALL(IF(Накл!$A$9:$A$550=VALUE(LEFT(A246,8)),ROW(Накл!$A$9:$A$550)-ROW(Накл!$A$9)+1),ROW(E249)-ROW(B246)+1)),"")),"")</f>
        <v xml:space="preserve">   </v>
      </c>
    </row>
    <row r="247" spans="1:5">
      <c r="A247" s="26" t="str">
        <f>IFERROR(CONCATENATE(VALUE(SUBSTITUTE(SUBSTITUTE(LEFT(Накл!G254,11),".",""),"-",""))," ",Накл!J254),"-")</f>
        <v>-</v>
      </c>
      <c r="B247" s="26" t="str">
        <f>IFERROR(VLOOKUP(VALUE(LEFT(A247,8)),Накл!$A$9:$D$550,4,0),"-")</f>
        <v>-</v>
      </c>
      <c r="C247" s="26">
        <f>Накл!J254</f>
        <v>0</v>
      </c>
      <c r="D247" s="33" t="str">
        <f t="array" ref="D247">CONCATENATE(IFERROR(INDEX(Накл!$C$9:$C$550,SMALL(IF(Накл!$B$9:$B$550=A247,ROW(Накл!$B$9:$B$550)-ROW(Накл!$B$9)+1),ROW(D247)-ROW(A247)+1)),"")," ",IFERROR(INDEX(Накл!$C$9:$C$550,SMALL(IF(Накл!$B$9:$B$550=A247,ROW(Накл!$B$9:$B$550)-ROW(Накл!$B$9)+1),ROW(D248)-ROW(A247)+1)),"")," ",IFERROR(INDEX(Накл!$C$9:$C$550,SMALL(IF(Накл!$B$9:$B$550=A247,ROW(Накл!$B$9:$B$550)-ROW(Накл!$B$9)+1),ROW(D249)-ROW(A247)+1)),"")," ",IFERROR(INDEX(Накл!$C$9:$C$550,SMALL(IF(Накл!$B$9:$B$550=A247,ROW(Накл!$B$9:$B$550)-ROW(Накл!$B$9)+1),ROW(D250)-ROW(A247)+1)),"")," ",IFERROR(INDEX(Накл!$C$9:$C$550,SMALL(IF(Накл!$B$9:$B$550=A247,ROW(Накл!$B$9:$B$550)-ROW(Накл!$B$9)+1),ROW(D251)-ROW(A247)+1)),"")," ",IFERROR(INDEX(Накл!$C$9:$C$550,SMALL(IF(Накл!$B$9:$B$550=A247,ROW(Накл!$B$9:$B$550)-ROW(Накл!$B$9)+1),ROW(D252)-ROW(A247)+1)),"")," ",IFERROR(INDEX(Накл!$C$9:$C$550,SMALL(IF(Накл!$B$9:$B$550=A247,ROW(Накл!$B$9:$B$550)-ROW(Накл!$B$9)+1),ROW(D253)-ROW(A247)+1)),"")," ",IFERROR(INDEX(Накл!$C$9:$C$550,SMALL(IF(Накл!$B$9:$B$550=A247,ROW(Накл!$B$9:$B$550)-ROW(Накл!$B$9)+1),ROW(D254)-ROW(A247)+1)),"")," ",IFERROR(INDEX(Накл!$C$9:$C$550,SMALL(IF(Накл!$B$9:$B$550=A247,ROW(Накл!$B$9:$B$550)-ROW(Накл!$B$9)+1),ROW(D255)-ROW(A247)+1)),"")," ",IFERROR(INDEX(Накл!$C$9:$C$550,SMALL(IF(Накл!$B$9:$B$550=A247,ROW(Накл!$B$9:$B$550)-ROW(Накл!$B$9)+1),ROW(D256)-ROW(A247)+1)),""))</f>
        <v xml:space="preserve">         </v>
      </c>
      <c r="E247" s="26" t="str">
        <f t="array" ref="E247">IF(LEN(D247)&lt;10,CONCATENATE(IFERROR(INDEX(Накл!$C$9:$C$550,SMALL(IF(Накл!$A$9:$A$550=VALUE(LEFT(A247,8)),ROW(Накл!$A$9:$A$550)-ROW(Накл!$A$9)+1),ROW(E247)-ROW(B247)+1)),"")," ",IFERROR(INDEX(Накл!$C$9:$C$550,SMALL(IF(Накл!$A$9:$A$550=VALUE(LEFT(A247,8)),ROW(Накл!$A$9:$A$550)-ROW(Накл!$A$9)+1),ROW(E248)-ROW(B247)+1)),"")," ",IFERROR(INDEX(Накл!$C$9:$C$550,SMALL(IF(Накл!$A$9:$A$550=VALUE(LEFT(A247,8)),ROW(Накл!$A$9:$A$550)-ROW(Накл!$A$9)+1),ROW(E249)-ROW(B247)+1)),"")," ",IFERROR(INDEX(Накл!$C$9:$C$550,SMALL(IF(Накл!$A$9:$A$550=VALUE(LEFT(A247,8)),ROW(Накл!$A$9:$A$550)-ROW(Накл!$A$9)+1),ROW(E250)-ROW(B247)+1)),"")),"")</f>
        <v xml:space="preserve">   </v>
      </c>
    </row>
    <row r="248" spans="1:5">
      <c r="A248" s="26" t="str">
        <f>IFERROR(CONCATENATE(VALUE(SUBSTITUTE(SUBSTITUTE(LEFT(Накл!G255,11),".",""),"-",""))," ",Накл!J255),"-")</f>
        <v>-</v>
      </c>
      <c r="B248" s="26" t="str">
        <f>IFERROR(VLOOKUP(VALUE(LEFT(A248,8)),Накл!$A$9:$D$550,4,0),"-")</f>
        <v>-</v>
      </c>
      <c r="C248" s="26">
        <f>Накл!J255</f>
        <v>0</v>
      </c>
      <c r="D248" s="33" t="str">
        <f t="array" ref="D248">CONCATENATE(IFERROR(INDEX(Накл!$C$9:$C$550,SMALL(IF(Накл!$B$9:$B$550=A248,ROW(Накл!$B$9:$B$550)-ROW(Накл!$B$9)+1),ROW(D248)-ROW(A248)+1)),"")," ",IFERROR(INDEX(Накл!$C$9:$C$550,SMALL(IF(Накл!$B$9:$B$550=A248,ROW(Накл!$B$9:$B$550)-ROW(Накл!$B$9)+1),ROW(D249)-ROW(A248)+1)),"")," ",IFERROR(INDEX(Накл!$C$9:$C$550,SMALL(IF(Накл!$B$9:$B$550=A248,ROW(Накл!$B$9:$B$550)-ROW(Накл!$B$9)+1),ROW(D250)-ROW(A248)+1)),"")," ",IFERROR(INDEX(Накл!$C$9:$C$550,SMALL(IF(Накл!$B$9:$B$550=A248,ROW(Накл!$B$9:$B$550)-ROW(Накл!$B$9)+1),ROW(D251)-ROW(A248)+1)),"")," ",IFERROR(INDEX(Накл!$C$9:$C$550,SMALL(IF(Накл!$B$9:$B$550=A248,ROW(Накл!$B$9:$B$550)-ROW(Накл!$B$9)+1),ROW(D252)-ROW(A248)+1)),"")," ",IFERROR(INDEX(Накл!$C$9:$C$550,SMALL(IF(Накл!$B$9:$B$550=A248,ROW(Накл!$B$9:$B$550)-ROW(Накл!$B$9)+1),ROW(D253)-ROW(A248)+1)),"")," ",IFERROR(INDEX(Накл!$C$9:$C$550,SMALL(IF(Накл!$B$9:$B$550=A248,ROW(Накл!$B$9:$B$550)-ROW(Накл!$B$9)+1),ROW(D254)-ROW(A248)+1)),"")," ",IFERROR(INDEX(Накл!$C$9:$C$550,SMALL(IF(Накл!$B$9:$B$550=A248,ROW(Накл!$B$9:$B$550)-ROW(Накл!$B$9)+1),ROW(D255)-ROW(A248)+1)),"")," ",IFERROR(INDEX(Накл!$C$9:$C$550,SMALL(IF(Накл!$B$9:$B$550=A248,ROW(Накл!$B$9:$B$550)-ROW(Накл!$B$9)+1),ROW(D256)-ROW(A248)+1)),"")," ",IFERROR(INDEX(Накл!$C$9:$C$550,SMALL(IF(Накл!$B$9:$B$550=A248,ROW(Накл!$B$9:$B$550)-ROW(Накл!$B$9)+1),ROW(D257)-ROW(A248)+1)),""))</f>
        <v xml:space="preserve">         </v>
      </c>
      <c r="E248" s="26" t="str">
        <f t="array" ref="E248">IF(LEN(D248)&lt;10,CONCATENATE(IFERROR(INDEX(Накл!$C$9:$C$550,SMALL(IF(Накл!$A$9:$A$550=VALUE(LEFT(A248,8)),ROW(Накл!$A$9:$A$550)-ROW(Накл!$A$9)+1),ROW(E248)-ROW(B248)+1)),"")," ",IFERROR(INDEX(Накл!$C$9:$C$550,SMALL(IF(Накл!$A$9:$A$550=VALUE(LEFT(A248,8)),ROW(Накл!$A$9:$A$550)-ROW(Накл!$A$9)+1),ROW(E249)-ROW(B248)+1)),"")," ",IFERROR(INDEX(Накл!$C$9:$C$550,SMALL(IF(Накл!$A$9:$A$550=VALUE(LEFT(A248,8)),ROW(Накл!$A$9:$A$550)-ROW(Накл!$A$9)+1),ROW(E250)-ROW(B248)+1)),"")," ",IFERROR(INDEX(Накл!$C$9:$C$550,SMALL(IF(Накл!$A$9:$A$550=VALUE(LEFT(A248,8)),ROW(Накл!$A$9:$A$550)-ROW(Накл!$A$9)+1),ROW(E251)-ROW(B248)+1)),"")),"")</f>
        <v xml:space="preserve">   </v>
      </c>
    </row>
    <row r="249" spans="1:5">
      <c r="A249" s="26" t="str">
        <f>IFERROR(CONCATENATE(VALUE(SUBSTITUTE(SUBSTITUTE(LEFT(Накл!G256,11),".",""),"-",""))," ",Накл!J256),"-")</f>
        <v>-</v>
      </c>
      <c r="B249" s="26" t="str">
        <f>IFERROR(VLOOKUP(VALUE(LEFT(A249,8)),Накл!$A$9:$D$550,4,0),"-")</f>
        <v>-</v>
      </c>
      <c r="C249" s="26">
        <f>Накл!J256</f>
        <v>0</v>
      </c>
      <c r="D249" s="33" t="str">
        <f t="array" ref="D249">CONCATENATE(IFERROR(INDEX(Накл!$C$9:$C$550,SMALL(IF(Накл!$B$9:$B$550=A249,ROW(Накл!$B$9:$B$550)-ROW(Накл!$B$9)+1),ROW(D249)-ROW(A249)+1)),"")," ",IFERROR(INDEX(Накл!$C$9:$C$550,SMALL(IF(Накл!$B$9:$B$550=A249,ROW(Накл!$B$9:$B$550)-ROW(Накл!$B$9)+1),ROW(D250)-ROW(A249)+1)),"")," ",IFERROR(INDEX(Накл!$C$9:$C$550,SMALL(IF(Накл!$B$9:$B$550=A249,ROW(Накл!$B$9:$B$550)-ROW(Накл!$B$9)+1),ROW(D251)-ROW(A249)+1)),"")," ",IFERROR(INDEX(Накл!$C$9:$C$550,SMALL(IF(Накл!$B$9:$B$550=A249,ROW(Накл!$B$9:$B$550)-ROW(Накл!$B$9)+1),ROW(D252)-ROW(A249)+1)),"")," ",IFERROR(INDEX(Накл!$C$9:$C$550,SMALL(IF(Накл!$B$9:$B$550=A249,ROW(Накл!$B$9:$B$550)-ROW(Накл!$B$9)+1),ROW(D253)-ROW(A249)+1)),"")," ",IFERROR(INDEX(Накл!$C$9:$C$550,SMALL(IF(Накл!$B$9:$B$550=A249,ROW(Накл!$B$9:$B$550)-ROW(Накл!$B$9)+1),ROW(D254)-ROW(A249)+1)),"")," ",IFERROR(INDEX(Накл!$C$9:$C$550,SMALL(IF(Накл!$B$9:$B$550=A249,ROW(Накл!$B$9:$B$550)-ROW(Накл!$B$9)+1),ROW(D255)-ROW(A249)+1)),"")," ",IFERROR(INDEX(Накл!$C$9:$C$550,SMALL(IF(Накл!$B$9:$B$550=A249,ROW(Накл!$B$9:$B$550)-ROW(Накл!$B$9)+1),ROW(D256)-ROW(A249)+1)),"")," ",IFERROR(INDEX(Накл!$C$9:$C$550,SMALL(IF(Накл!$B$9:$B$550=A249,ROW(Накл!$B$9:$B$550)-ROW(Накл!$B$9)+1),ROW(D257)-ROW(A249)+1)),"")," ",IFERROR(INDEX(Накл!$C$9:$C$550,SMALL(IF(Накл!$B$9:$B$550=A249,ROW(Накл!$B$9:$B$550)-ROW(Накл!$B$9)+1),ROW(D258)-ROW(A249)+1)),""))</f>
        <v xml:space="preserve">         </v>
      </c>
      <c r="E249" s="26" t="str">
        <f t="array" ref="E249">IF(LEN(D249)&lt;10,CONCATENATE(IFERROR(INDEX(Накл!$C$9:$C$550,SMALL(IF(Накл!$A$9:$A$550=VALUE(LEFT(A249,8)),ROW(Накл!$A$9:$A$550)-ROW(Накл!$A$9)+1),ROW(E249)-ROW(B249)+1)),"")," ",IFERROR(INDEX(Накл!$C$9:$C$550,SMALL(IF(Накл!$A$9:$A$550=VALUE(LEFT(A249,8)),ROW(Накл!$A$9:$A$550)-ROW(Накл!$A$9)+1),ROW(E250)-ROW(B249)+1)),"")," ",IFERROR(INDEX(Накл!$C$9:$C$550,SMALL(IF(Накл!$A$9:$A$550=VALUE(LEFT(A249,8)),ROW(Накл!$A$9:$A$550)-ROW(Накл!$A$9)+1),ROW(E251)-ROW(B249)+1)),"")," ",IFERROR(INDEX(Накл!$C$9:$C$550,SMALL(IF(Накл!$A$9:$A$550=VALUE(LEFT(A249,8)),ROW(Накл!$A$9:$A$550)-ROW(Накл!$A$9)+1),ROW(E252)-ROW(B249)+1)),"")),"")</f>
        <v xml:space="preserve">   </v>
      </c>
    </row>
    <row r="250" spans="1:5">
      <c r="A250" s="26" t="str">
        <f>IFERROR(CONCATENATE(VALUE(SUBSTITUTE(SUBSTITUTE(LEFT(Накл!G257,11),".",""),"-",""))," ",Накл!J257),"-")</f>
        <v>-</v>
      </c>
      <c r="B250" s="26" t="str">
        <f>IFERROR(VLOOKUP(VALUE(LEFT(A250,8)),Накл!$A$9:$D$550,4,0),"-")</f>
        <v>-</v>
      </c>
      <c r="C250" s="26">
        <f>Накл!J257</f>
        <v>0</v>
      </c>
      <c r="D250" s="33" t="str">
        <f t="array" ref="D250">CONCATENATE(IFERROR(INDEX(Накл!$C$9:$C$550,SMALL(IF(Накл!$B$9:$B$550=A250,ROW(Накл!$B$9:$B$550)-ROW(Накл!$B$9)+1),ROW(D250)-ROW(A250)+1)),"")," ",IFERROR(INDEX(Накл!$C$9:$C$550,SMALL(IF(Накл!$B$9:$B$550=A250,ROW(Накл!$B$9:$B$550)-ROW(Накл!$B$9)+1),ROW(D251)-ROW(A250)+1)),"")," ",IFERROR(INDEX(Накл!$C$9:$C$550,SMALL(IF(Накл!$B$9:$B$550=A250,ROW(Накл!$B$9:$B$550)-ROW(Накл!$B$9)+1),ROW(D252)-ROW(A250)+1)),"")," ",IFERROR(INDEX(Накл!$C$9:$C$550,SMALL(IF(Накл!$B$9:$B$550=A250,ROW(Накл!$B$9:$B$550)-ROW(Накл!$B$9)+1),ROW(D253)-ROW(A250)+1)),"")," ",IFERROR(INDEX(Накл!$C$9:$C$550,SMALL(IF(Накл!$B$9:$B$550=A250,ROW(Накл!$B$9:$B$550)-ROW(Накл!$B$9)+1),ROW(D254)-ROW(A250)+1)),"")," ",IFERROR(INDEX(Накл!$C$9:$C$550,SMALL(IF(Накл!$B$9:$B$550=A250,ROW(Накл!$B$9:$B$550)-ROW(Накл!$B$9)+1),ROW(D255)-ROW(A250)+1)),"")," ",IFERROR(INDEX(Накл!$C$9:$C$550,SMALL(IF(Накл!$B$9:$B$550=A250,ROW(Накл!$B$9:$B$550)-ROW(Накл!$B$9)+1),ROW(D256)-ROW(A250)+1)),"")," ",IFERROR(INDEX(Накл!$C$9:$C$550,SMALL(IF(Накл!$B$9:$B$550=A250,ROW(Накл!$B$9:$B$550)-ROW(Накл!$B$9)+1),ROW(D257)-ROW(A250)+1)),"")," ",IFERROR(INDEX(Накл!$C$9:$C$550,SMALL(IF(Накл!$B$9:$B$550=A250,ROW(Накл!$B$9:$B$550)-ROW(Накл!$B$9)+1),ROW(D258)-ROW(A250)+1)),"")," ",IFERROR(INDEX(Накл!$C$9:$C$550,SMALL(IF(Накл!$B$9:$B$550=A250,ROW(Накл!$B$9:$B$550)-ROW(Накл!$B$9)+1),ROW(D259)-ROW(A250)+1)),""))</f>
        <v xml:space="preserve">         </v>
      </c>
      <c r="E250" s="26" t="str">
        <f t="array" ref="E250">IF(LEN(D250)&lt;10,CONCATENATE(IFERROR(INDEX(Накл!$C$9:$C$550,SMALL(IF(Накл!$A$9:$A$550=VALUE(LEFT(A250,8)),ROW(Накл!$A$9:$A$550)-ROW(Накл!$A$9)+1),ROW(E250)-ROW(B250)+1)),"")," ",IFERROR(INDEX(Накл!$C$9:$C$550,SMALL(IF(Накл!$A$9:$A$550=VALUE(LEFT(A250,8)),ROW(Накл!$A$9:$A$550)-ROW(Накл!$A$9)+1),ROW(E251)-ROW(B250)+1)),"")," ",IFERROR(INDEX(Накл!$C$9:$C$550,SMALL(IF(Накл!$A$9:$A$550=VALUE(LEFT(A250,8)),ROW(Накл!$A$9:$A$550)-ROW(Накл!$A$9)+1),ROW(E252)-ROW(B250)+1)),"")," ",IFERROR(INDEX(Накл!$C$9:$C$550,SMALL(IF(Накл!$A$9:$A$550=VALUE(LEFT(A250,8)),ROW(Накл!$A$9:$A$550)-ROW(Накл!$A$9)+1),ROW(E253)-ROW(B250)+1)),"")),"")</f>
        <v xml:space="preserve">   </v>
      </c>
    </row>
    <row r="251" spans="1:5">
      <c r="A251" s="26" t="str">
        <f>IFERROR(CONCATENATE(VALUE(SUBSTITUTE(SUBSTITUTE(LEFT(Накл!G258,11),".",""),"-",""))," ",Накл!J258),"-")</f>
        <v>-</v>
      </c>
      <c r="B251" s="26" t="str">
        <f>IFERROR(VLOOKUP(VALUE(LEFT(A251,8)),Накл!$A$9:$D$550,4,0),"-")</f>
        <v>-</v>
      </c>
      <c r="C251" s="26">
        <f>Накл!J258</f>
        <v>0</v>
      </c>
      <c r="D251" s="33" t="str">
        <f t="array" ref="D251">CONCATENATE(IFERROR(INDEX(Накл!$C$9:$C$550,SMALL(IF(Накл!$B$9:$B$550=A251,ROW(Накл!$B$9:$B$550)-ROW(Накл!$B$9)+1),ROW(D251)-ROW(A251)+1)),"")," ",IFERROR(INDEX(Накл!$C$9:$C$550,SMALL(IF(Накл!$B$9:$B$550=A251,ROW(Накл!$B$9:$B$550)-ROW(Накл!$B$9)+1),ROW(D252)-ROW(A251)+1)),"")," ",IFERROR(INDEX(Накл!$C$9:$C$550,SMALL(IF(Накл!$B$9:$B$550=A251,ROW(Накл!$B$9:$B$550)-ROW(Накл!$B$9)+1),ROW(D253)-ROW(A251)+1)),"")," ",IFERROR(INDEX(Накл!$C$9:$C$550,SMALL(IF(Накл!$B$9:$B$550=A251,ROW(Накл!$B$9:$B$550)-ROW(Накл!$B$9)+1),ROW(D254)-ROW(A251)+1)),"")," ",IFERROR(INDEX(Накл!$C$9:$C$550,SMALL(IF(Накл!$B$9:$B$550=A251,ROW(Накл!$B$9:$B$550)-ROW(Накл!$B$9)+1),ROW(D255)-ROW(A251)+1)),"")," ",IFERROR(INDEX(Накл!$C$9:$C$550,SMALL(IF(Накл!$B$9:$B$550=A251,ROW(Накл!$B$9:$B$550)-ROW(Накл!$B$9)+1),ROW(D256)-ROW(A251)+1)),"")," ",IFERROR(INDEX(Накл!$C$9:$C$550,SMALL(IF(Накл!$B$9:$B$550=A251,ROW(Накл!$B$9:$B$550)-ROW(Накл!$B$9)+1),ROW(D257)-ROW(A251)+1)),"")," ",IFERROR(INDEX(Накл!$C$9:$C$550,SMALL(IF(Накл!$B$9:$B$550=A251,ROW(Накл!$B$9:$B$550)-ROW(Накл!$B$9)+1),ROW(D258)-ROW(A251)+1)),"")," ",IFERROR(INDEX(Накл!$C$9:$C$550,SMALL(IF(Накл!$B$9:$B$550=A251,ROW(Накл!$B$9:$B$550)-ROW(Накл!$B$9)+1),ROW(D259)-ROW(A251)+1)),"")," ",IFERROR(INDEX(Накл!$C$9:$C$550,SMALL(IF(Накл!$B$9:$B$550=A251,ROW(Накл!$B$9:$B$550)-ROW(Накл!$B$9)+1),ROW(D260)-ROW(A251)+1)),""))</f>
        <v xml:space="preserve">         </v>
      </c>
      <c r="E251" s="26" t="str">
        <f t="array" ref="E251">IF(LEN(D251)&lt;10,CONCATENATE(IFERROR(INDEX(Накл!$C$9:$C$550,SMALL(IF(Накл!$A$9:$A$550=VALUE(LEFT(A251,8)),ROW(Накл!$A$9:$A$550)-ROW(Накл!$A$9)+1),ROW(E251)-ROW(B251)+1)),"")," ",IFERROR(INDEX(Накл!$C$9:$C$550,SMALL(IF(Накл!$A$9:$A$550=VALUE(LEFT(A251,8)),ROW(Накл!$A$9:$A$550)-ROW(Накл!$A$9)+1),ROW(E252)-ROW(B251)+1)),"")," ",IFERROR(INDEX(Накл!$C$9:$C$550,SMALL(IF(Накл!$A$9:$A$550=VALUE(LEFT(A251,8)),ROW(Накл!$A$9:$A$550)-ROW(Накл!$A$9)+1),ROW(E253)-ROW(B251)+1)),"")," ",IFERROR(INDEX(Накл!$C$9:$C$550,SMALL(IF(Накл!$A$9:$A$550=VALUE(LEFT(A251,8)),ROW(Накл!$A$9:$A$550)-ROW(Накл!$A$9)+1),ROW(E254)-ROW(B251)+1)),"")),"")</f>
        <v xml:space="preserve">   </v>
      </c>
    </row>
    <row r="252" spans="1:5">
      <c r="A252" s="26" t="str">
        <f>IFERROR(CONCATENATE(VALUE(SUBSTITUTE(SUBSTITUTE(LEFT(Накл!G259,11),".",""),"-",""))," ",Накл!J259),"-")</f>
        <v>-</v>
      </c>
      <c r="B252" s="26" t="str">
        <f>IFERROR(VLOOKUP(VALUE(LEFT(A252,8)),Накл!$A$9:$D$550,4,0),"-")</f>
        <v>-</v>
      </c>
      <c r="C252" s="26">
        <f>Накл!J259</f>
        <v>0</v>
      </c>
      <c r="D252" s="33" t="str">
        <f t="array" ref="D252">CONCATENATE(IFERROR(INDEX(Накл!$C$9:$C$550,SMALL(IF(Накл!$B$9:$B$550=A252,ROW(Накл!$B$9:$B$550)-ROW(Накл!$B$9)+1),ROW(D252)-ROW(A252)+1)),"")," ",IFERROR(INDEX(Накл!$C$9:$C$550,SMALL(IF(Накл!$B$9:$B$550=A252,ROW(Накл!$B$9:$B$550)-ROW(Накл!$B$9)+1),ROW(D253)-ROW(A252)+1)),"")," ",IFERROR(INDEX(Накл!$C$9:$C$550,SMALL(IF(Накл!$B$9:$B$550=A252,ROW(Накл!$B$9:$B$550)-ROW(Накл!$B$9)+1),ROW(D254)-ROW(A252)+1)),"")," ",IFERROR(INDEX(Накл!$C$9:$C$550,SMALL(IF(Накл!$B$9:$B$550=A252,ROW(Накл!$B$9:$B$550)-ROW(Накл!$B$9)+1),ROW(D255)-ROW(A252)+1)),"")," ",IFERROR(INDEX(Накл!$C$9:$C$550,SMALL(IF(Накл!$B$9:$B$550=A252,ROW(Накл!$B$9:$B$550)-ROW(Накл!$B$9)+1),ROW(D256)-ROW(A252)+1)),"")," ",IFERROR(INDEX(Накл!$C$9:$C$550,SMALL(IF(Накл!$B$9:$B$550=A252,ROW(Накл!$B$9:$B$550)-ROW(Накл!$B$9)+1),ROW(D257)-ROW(A252)+1)),"")," ",IFERROR(INDEX(Накл!$C$9:$C$550,SMALL(IF(Накл!$B$9:$B$550=A252,ROW(Накл!$B$9:$B$550)-ROW(Накл!$B$9)+1),ROW(D258)-ROW(A252)+1)),"")," ",IFERROR(INDEX(Накл!$C$9:$C$550,SMALL(IF(Накл!$B$9:$B$550=A252,ROW(Накл!$B$9:$B$550)-ROW(Накл!$B$9)+1),ROW(D259)-ROW(A252)+1)),"")," ",IFERROR(INDEX(Накл!$C$9:$C$550,SMALL(IF(Накл!$B$9:$B$550=A252,ROW(Накл!$B$9:$B$550)-ROW(Накл!$B$9)+1),ROW(D260)-ROW(A252)+1)),"")," ",IFERROR(INDEX(Накл!$C$9:$C$550,SMALL(IF(Накл!$B$9:$B$550=A252,ROW(Накл!$B$9:$B$550)-ROW(Накл!$B$9)+1),ROW(D261)-ROW(A252)+1)),""))</f>
        <v xml:space="preserve">         </v>
      </c>
      <c r="E252" s="26" t="str">
        <f t="array" ref="E252">IF(LEN(D252)&lt;10,CONCATENATE(IFERROR(INDEX(Накл!$C$9:$C$550,SMALL(IF(Накл!$A$9:$A$550=VALUE(LEFT(A252,8)),ROW(Накл!$A$9:$A$550)-ROW(Накл!$A$9)+1),ROW(E252)-ROW(B252)+1)),"")," ",IFERROR(INDEX(Накл!$C$9:$C$550,SMALL(IF(Накл!$A$9:$A$550=VALUE(LEFT(A252,8)),ROW(Накл!$A$9:$A$550)-ROW(Накл!$A$9)+1),ROW(E253)-ROW(B252)+1)),"")," ",IFERROR(INDEX(Накл!$C$9:$C$550,SMALL(IF(Накл!$A$9:$A$550=VALUE(LEFT(A252,8)),ROW(Накл!$A$9:$A$550)-ROW(Накл!$A$9)+1),ROW(E254)-ROW(B252)+1)),"")," ",IFERROR(INDEX(Накл!$C$9:$C$550,SMALL(IF(Накл!$A$9:$A$550=VALUE(LEFT(A252,8)),ROW(Накл!$A$9:$A$550)-ROW(Накл!$A$9)+1),ROW(E255)-ROW(B252)+1)),"")),"")</f>
        <v xml:space="preserve">   </v>
      </c>
    </row>
    <row r="253" spans="1:5">
      <c r="A253" s="26" t="str">
        <f>IFERROR(CONCATENATE(VALUE(SUBSTITUTE(SUBSTITUTE(LEFT(Накл!G260,11),".",""),"-",""))," ",Накл!J260),"-")</f>
        <v>-</v>
      </c>
      <c r="B253" s="26" t="str">
        <f>IFERROR(VLOOKUP(VALUE(LEFT(A253,8)),Накл!$A$9:$D$550,4,0),"-")</f>
        <v>-</v>
      </c>
      <c r="C253" s="26">
        <f>Накл!J260</f>
        <v>0</v>
      </c>
      <c r="D253" s="33" t="str">
        <f t="array" ref="D253">CONCATENATE(IFERROR(INDEX(Накл!$C$9:$C$550,SMALL(IF(Накл!$B$9:$B$550=A253,ROW(Накл!$B$9:$B$550)-ROW(Накл!$B$9)+1),ROW(D253)-ROW(A253)+1)),"")," ",IFERROR(INDEX(Накл!$C$9:$C$550,SMALL(IF(Накл!$B$9:$B$550=A253,ROW(Накл!$B$9:$B$550)-ROW(Накл!$B$9)+1),ROW(D254)-ROW(A253)+1)),"")," ",IFERROR(INDEX(Накл!$C$9:$C$550,SMALL(IF(Накл!$B$9:$B$550=A253,ROW(Накл!$B$9:$B$550)-ROW(Накл!$B$9)+1),ROW(D255)-ROW(A253)+1)),"")," ",IFERROR(INDEX(Накл!$C$9:$C$550,SMALL(IF(Накл!$B$9:$B$550=A253,ROW(Накл!$B$9:$B$550)-ROW(Накл!$B$9)+1),ROW(D256)-ROW(A253)+1)),"")," ",IFERROR(INDEX(Накл!$C$9:$C$550,SMALL(IF(Накл!$B$9:$B$550=A253,ROW(Накл!$B$9:$B$550)-ROW(Накл!$B$9)+1),ROW(D257)-ROW(A253)+1)),"")," ",IFERROR(INDEX(Накл!$C$9:$C$550,SMALL(IF(Накл!$B$9:$B$550=A253,ROW(Накл!$B$9:$B$550)-ROW(Накл!$B$9)+1),ROW(D258)-ROW(A253)+1)),"")," ",IFERROR(INDEX(Накл!$C$9:$C$550,SMALL(IF(Накл!$B$9:$B$550=A253,ROW(Накл!$B$9:$B$550)-ROW(Накл!$B$9)+1),ROW(D259)-ROW(A253)+1)),"")," ",IFERROR(INDEX(Накл!$C$9:$C$550,SMALL(IF(Накл!$B$9:$B$550=A253,ROW(Накл!$B$9:$B$550)-ROW(Накл!$B$9)+1),ROW(D260)-ROW(A253)+1)),"")," ",IFERROR(INDEX(Накл!$C$9:$C$550,SMALL(IF(Накл!$B$9:$B$550=A253,ROW(Накл!$B$9:$B$550)-ROW(Накл!$B$9)+1),ROW(D261)-ROW(A253)+1)),"")," ",IFERROR(INDEX(Накл!$C$9:$C$550,SMALL(IF(Накл!$B$9:$B$550=A253,ROW(Накл!$B$9:$B$550)-ROW(Накл!$B$9)+1),ROW(D262)-ROW(A253)+1)),""))</f>
        <v xml:space="preserve">         </v>
      </c>
      <c r="E253" s="26" t="str">
        <f t="array" ref="E253">IF(LEN(D253)&lt;10,CONCATENATE(IFERROR(INDEX(Накл!$C$9:$C$550,SMALL(IF(Накл!$A$9:$A$550=VALUE(LEFT(A253,8)),ROW(Накл!$A$9:$A$550)-ROW(Накл!$A$9)+1),ROW(E253)-ROW(B253)+1)),"")," ",IFERROR(INDEX(Накл!$C$9:$C$550,SMALL(IF(Накл!$A$9:$A$550=VALUE(LEFT(A253,8)),ROW(Накл!$A$9:$A$550)-ROW(Накл!$A$9)+1),ROW(E254)-ROW(B253)+1)),"")," ",IFERROR(INDEX(Накл!$C$9:$C$550,SMALL(IF(Накл!$A$9:$A$550=VALUE(LEFT(A253,8)),ROW(Накл!$A$9:$A$550)-ROW(Накл!$A$9)+1),ROW(E255)-ROW(B253)+1)),"")," ",IFERROR(INDEX(Накл!$C$9:$C$550,SMALL(IF(Накл!$A$9:$A$550=VALUE(LEFT(A253,8)),ROW(Накл!$A$9:$A$550)-ROW(Накл!$A$9)+1),ROW(E256)-ROW(B253)+1)),"")),"")</f>
        <v xml:space="preserve">   </v>
      </c>
    </row>
    <row r="254" spans="1:5">
      <c r="A254" s="26" t="str">
        <f>IFERROR(CONCATENATE(VALUE(SUBSTITUTE(SUBSTITUTE(LEFT(Накл!G261,11),".",""),"-",""))," ",Накл!J261),"-")</f>
        <v>-</v>
      </c>
      <c r="B254" s="26" t="str">
        <f>IFERROR(VLOOKUP(VALUE(LEFT(A254,8)),Накл!$A$9:$D$550,4,0),"-")</f>
        <v>-</v>
      </c>
      <c r="C254" s="26">
        <f>Накл!J261</f>
        <v>0</v>
      </c>
      <c r="D254" s="33" t="str">
        <f t="array" ref="D254">CONCATENATE(IFERROR(INDEX(Накл!$C$9:$C$550,SMALL(IF(Накл!$B$9:$B$550=A254,ROW(Накл!$B$9:$B$550)-ROW(Накл!$B$9)+1),ROW(D254)-ROW(A254)+1)),"")," ",IFERROR(INDEX(Накл!$C$9:$C$550,SMALL(IF(Накл!$B$9:$B$550=A254,ROW(Накл!$B$9:$B$550)-ROW(Накл!$B$9)+1),ROW(D255)-ROW(A254)+1)),"")," ",IFERROR(INDEX(Накл!$C$9:$C$550,SMALL(IF(Накл!$B$9:$B$550=A254,ROW(Накл!$B$9:$B$550)-ROW(Накл!$B$9)+1),ROW(D256)-ROW(A254)+1)),"")," ",IFERROR(INDEX(Накл!$C$9:$C$550,SMALL(IF(Накл!$B$9:$B$550=A254,ROW(Накл!$B$9:$B$550)-ROW(Накл!$B$9)+1),ROW(D257)-ROW(A254)+1)),"")," ",IFERROR(INDEX(Накл!$C$9:$C$550,SMALL(IF(Накл!$B$9:$B$550=A254,ROW(Накл!$B$9:$B$550)-ROW(Накл!$B$9)+1),ROW(D258)-ROW(A254)+1)),"")," ",IFERROR(INDEX(Накл!$C$9:$C$550,SMALL(IF(Накл!$B$9:$B$550=A254,ROW(Накл!$B$9:$B$550)-ROW(Накл!$B$9)+1),ROW(D259)-ROW(A254)+1)),"")," ",IFERROR(INDEX(Накл!$C$9:$C$550,SMALL(IF(Накл!$B$9:$B$550=A254,ROW(Накл!$B$9:$B$550)-ROW(Накл!$B$9)+1),ROW(D260)-ROW(A254)+1)),"")," ",IFERROR(INDEX(Накл!$C$9:$C$550,SMALL(IF(Накл!$B$9:$B$550=A254,ROW(Накл!$B$9:$B$550)-ROW(Накл!$B$9)+1),ROW(D261)-ROW(A254)+1)),"")," ",IFERROR(INDEX(Накл!$C$9:$C$550,SMALL(IF(Накл!$B$9:$B$550=A254,ROW(Накл!$B$9:$B$550)-ROW(Накл!$B$9)+1),ROW(D262)-ROW(A254)+1)),"")," ",IFERROR(INDEX(Накл!$C$9:$C$550,SMALL(IF(Накл!$B$9:$B$550=A254,ROW(Накл!$B$9:$B$550)-ROW(Накл!$B$9)+1),ROW(D263)-ROW(A254)+1)),""))</f>
        <v xml:space="preserve">         </v>
      </c>
      <c r="E254" s="26" t="str">
        <f t="array" ref="E254">IF(LEN(D254)&lt;10,CONCATENATE(IFERROR(INDEX(Накл!$C$9:$C$550,SMALL(IF(Накл!$A$9:$A$550=VALUE(LEFT(A254,8)),ROW(Накл!$A$9:$A$550)-ROW(Накл!$A$9)+1),ROW(E254)-ROW(B254)+1)),"")," ",IFERROR(INDEX(Накл!$C$9:$C$550,SMALL(IF(Накл!$A$9:$A$550=VALUE(LEFT(A254,8)),ROW(Накл!$A$9:$A$550)-ROW(Накл!$A$9)+1),ROW(E255)-ROW(B254)+1)),"")," ",IFERROR(INDEX(Накл!$C$9:$C$550,SMALL(IF(Накл!$A$9:$A$550=VALUE(LEFT(A254,8)),ROW(Накл!$A$9:$A$550)-ROW(Накл!$A$9)+1),ROW(E256)-ROW(B254)+1)),"")," ",IFERROR(INDEX(Накл!$C$9:$C$550,SMALL(IF(Накл!$A$9:$A$550=VALUE(LEFT(A254,8)),ROW(Накл!$A$9:$A$550)-ROW(Накл!$A$9)+1),ROW(E257)-ROW(B254)+1)),"")),"")</f>
        <v xml:space="preserve">   </v>
      </c>
    </row>
    <row r="255" spans="1:5">
      <c r="A255" s="26" t="str">
        <f>IFERROR(CONCATENATE(VALUE(SUBSTITUTE(SUBSTITUTE(LEFT(Накл!G262,11),".",""),"-",""))," ",Накл!J262),"-")</f>
        <v>-</v>
      </c>
      <c r="B255" s="26" t="str">
        <f>IFERROR(VLOOKUP(VALUE(LEFT(A255,8)),Накл!$A$9:$D$550,4,0),"-")</f>
        <v>-</v>
      </c>
      <c r="C255" s="26">
        <f>Накл!J262</f>
        <v>0</v>
      </c>
      <c r="D255" s="33" t="str">
        <f t="array" ref="D255">CONCATENATE(IFERROR(INDEX(Накл!$C$9:$C$550,SMALL(IF(Накл!$B$9:$B$550=A255,ROW(Накл!$B$9:$B$550)-ROW(Накл!$B$9)+1),ROW(D255)-ROW(A255)+1)),"")," ",IFERROR(INDEX(Накл!$C$9:$C$550,SMALL(IF(Накл!$B$9:$B$550=A255,ROW(Накл!$B$9:$B$550)-ROW(Накл!$B$9)+1),ROW(D256)-ROW(A255)+1)),"")," ",IFERROR(INDEX(Накл!$C$9:$C$550,SMALL(IF(Накл!$B$9:$B$550=A255,ROW(Накл!$B$9:$B$550)-ROW(Накл!$B$9)+1),ROW(D257)-ROW(A255)+1)),"")," ",IFERROR(INDEX(Накл!$C$9:$C$550,SMALL(IF(Накл!$B$9:$B$550=A255,ROW(Накл!$B$9:$B$550)-ROW(Накл!$B$9)+1),ROW(D258)-ROW(A255)+1)),"")," ",IFERROR(INDEX(Накл!$C$9:$C$550,SMALL(IF(Накл!$B$9:$B$550=A255,ROW(Накл!$B$9:$B$550)-ROW(Накл!$B$9)+1),ROW(D259)-ROW(A255)+1)),"")," ",IFERROR(INDEX(Накл!$C$9:$C$550,SMALL(IF(Накл!$B$9:$B$550=A255,ROW(Накл!$B$9:$B$550)-ROW(Накл!$B$9)+1),ROW(D260)-ROW(A255)+1)),"")," ",IFERROR(INDEX(Накл!$C$9:$C$550,SMALL(IF(Накл!$B$9:$B$550=A255,ROW(Накл!$B$9:$B$550)-ROW(Накл!$B$9)+1),ROW(D261)-ROW(A255)+1)),"")," ",IFERROR(INDEX(Накл!$C$9:$C$550,SMALL(IF(Накл!$B$9:$B$550=A255,ROW(Накл!$B$9:$B$550)-ROW(Накл!$B$9)+1),ROW(D262)-ROW(A255)+1)),"")," ",IFERROR(INDEX(Накл!$C$9:$C$550,SMALL(IF(Накл!$B$9:$B$550=A255,ROW(Накл!$B$9:$B$550)-ROW(Накл!$B$9)+1),ROW(D263)-ROW(A255)+1)),"")," ",IFERROR(INDEX(Накл!$C$9:$C$550,SMALL(IF(Накл!$B$9:$B$550=A255,ROW(Накл!$B$9:$B$550)-ROW(Накл!$B$9)+1),ROW(D264)-ROW(A255)+1)),""))</f>
        <v xml:space="preserve">         </v>
      </c>
      <c r="E255" s="26" t="str">
        <f t="array" ref="E255">IF(LEN(D255)&lt;10,CONCATENATE(IFERROR(INDEX(Накл!$C$9:$C$550,SMALL(IF(Накл!$A$9:$A$550=VALUE(LEFT(A255,8)),ROW(Накл!$A$9:$A$550)-ROW(Накл!$A$9)+1),ROW(E255)-ROW(B255)+1)),"")," ",IFERROR(INDEX(Накл!$C$9:$C$550,SMALL(IF(Накл!$A$9:$A$550=VALUE(LEFT(A255,8)),ROW(Накл!$A$9:$A$550)-ROW(Накл!$A$9)+1),ROW(E256)-ROW(B255)+1)),"")," ",IFERROR(INDEX(Накл!$C$9:$C$550,SMALL(IF(Накл!$A$9:$A$550=VALUE(LEFT(A255,8)),ROW(Накл!$A$9:$A$550)-ROW(Накл!$A$9)+1),ROW(E257)-ROW(B255)+1)),"")," ",IFERROR(INDEX(Накл!$C$9:$C$550,SMALL(IF(Накл!$A$9:$A$550=VALUE(LEFT(A255,8)),ROW(Накл!$A$9:$A$550)-ROW(Накл!$A$9)+1),ROW(E258)-ROW(B255)+1)),"")),"")</f>
        <v xml:space="preserve">   </v>
      </c>
    </row>
    <row r="256" spans="1:5">
      <c r="A256" s="26" t="str">
        <f>IFERROR(CONCATENATE(VALUE(SUBSTITUTE(SUBSTITUTE(LEFT(Накл!G263,11),".",""),"-",""))," ",Накл!J263),"-")</f>
        <v>-</v>
      </c>
      <c r="B256" s="26" t="str">
        <f>IFERROR(VLOOKUP(VALUE(LEFT(A256,8)),Накл!$A$9:$D$550,4,0),"-")</f>
        <v>-</v>
      </c>
      <c r="C256" s="26">
        <f>Накл!J263</f>
        <v>0</v>
      </c>
      <c r="D256" s="33" t="str">
        <f t="array" ref="D256">CONCATENATE(IFERROR(INDEX(Накл!$C$9:$C$550,SMALL(IF(Накл!$B$9:$B$550=A256,ROW(Накл!$B$9:$B$550)-ROW(Накл!$B$9)+1),ROW(D256)-ROW(A256)+1)),"")," ",IFERROR(INDEX(Накл!$C$9:$C$550,SMALL(IF(Накл!$B$9:$B$550=A256,ROW(Накл!$B$9:$B$550)-ROW(Накл!$B$9)+1),ROW(D257)-ROW(A256)+1)),"")," ",IFERROR(INDEX(Накл!$C$9:$C$550,SMALL(IF(Накл!$B$9:$B$550=A256,ROW(Накл!$B$9:$B$550)-ROW(Накл!$B$9)+1),ROW(D258)-ROW(A256)+1)),"")," ",IFERROR(INDEX(Накл!$C$9:$C$550,SMALL(IF(Накл!$B$9:$B$550=A256,ROW(Накл!$B$9:$B$550)-ROW(Накл!$B$9)+1),ROW(D259)-ROW(A256)+1)),"")," ",IFERROR(INDEX(Накл!$C$9:$C$550,SMALL(IF(Накл!$B$9:$B$550=A256,ROW(Накл!$B$9:$B$550)-ROW(Накл!$B$9)+1),ROW(D260)-ROW(A256)+1)),"")," ",IFERROR(INDEX(Накл!$C$9:$C$550,SMALL(IF(Накл!$B$9:$B$550=A256,ROW(Накл!$B$9:$B$550)-ROW(Накл!$B$9)+1),ROW(D261)-ROW(A256)+1)),"")," ",IFERROR(INDEX(Накл!$C$9:$C$550,SMALL(IF(Накл!$B$9:$B$550=A256,ROW(Накл!$B$9:$B$550)-ROW(Накл!$B$9)+1),ROW(D262)-ROW(A256)+1)),"")," ",IFERROR(INDEX(Накл!$C$9:$C$550,SMALL(IF(Накл!$B$9:$B$550=A256,ROW(Накл!$B$9:$B$550)-ROW(Накл!$B$9)+1),ROW(D263)-ROW(A256)+1)),"")," ",IFERROR(INDEX(Накл!$C$9:$C$550,SMALL(IF(Накл!$B$9:$B$550=A256,ROW(Накл!$B$9:$B$550)-ROW(Накл!$B$9)+1),ROW(D264)-ROW(A256)+1)),"")," ",IFERROR(INDEX(Накл!$C$9:$C$550,SMALL(IF(Накл!$B$9:$B$550=A256,ROW(Накл!$B$9:$B$550)-ROW(Накл!$B$9)+1),ROW(D265)-ROW(A256)+1)),""))</f>
        <v xml:space="preserve">         </v>
      </c>
      <c r="E256" s="26" t="str">
        <f t="array" ref="E256">IF(LEN(D256)&lt;10,CONCATENATE(IFERROR(INDEX(Накл!$C$9:$C$550,SMALL(IF(Накл!$A$9:$A$550=VALUE(LEFT(A256,8)),ROW(Накл!$A$9:$A$550)-ROW(Накл!$A$9)+1),ROW(E256)-ROW(B256)+1)),"")," ",IFERROR(INDEX(Накл!$C$9:$C$550,SMALL(IF(Накл!$A$9:$A$550=VALUE(LEFT(A256,8)),ROW(Накл!$A$9:$A$550)-ROW(Накл!$A$9)+1),ROW(E257)-ROW(B256)+1)),"")," ",IFERROR(INDEX(Накл!$C$9:$C$550,SMALL(IF(Накл!$A$9:$A$550=VALUE(LEFT(A256,8)),ROW(Накл!$A$9:$A$550)-ROW(Накл!$A$9)+1),ROW(E258)-ROW(B256)+1)),"")," ",IFERROR(INDEX(Накл!$C$9:$C$550,SMALL(IF(Накл!$A$9:$A$550=VALUE(LEFT(A256,8)),ROW(Накл!$A$9:$A$550)-ROW(Накл!$A$9)+1),ROW(E259)-ROW(B256)+1)),"")),"")</f>
        <v xml:space="preserve">   </v>
      </c>
    </row>
    <row r="257" spans="1:5">
      <c r="A257" s="26" t="str">
        <f>IFERROR(CONCATENATE(VALUE(SUBSTITUTE(SUBSTITUTE(LEFT(Накл!G264,11),".",""),"-",""))," ",Накл!J264),"-")</f>
        <v>-</v>
      </c>
      <c r="B257" s="26" t="str">
        <f>IFERROR(VLOOKUP(VALUE(LEFT(A257,8)),Накл!$A$9:$D$550,4,0),"-")</f>
        <v>-</v>
      </c>
      <c r="C257" s="26">
        <f>Накл!J264</f>
        <v>0</v>
      </c>
      <c r="D257" s="33" t="str">
        <f t="array" ref="D257">CONCATENATE(IFERROR(INDEX(Накл!$C$9:$C$550,SMALL(IF(Накл!$B$9:$B$550=A257,ROW(Накл!$B$9:$B$550)-ROW(Накл!$B$9)+1),ROW(D257)-ROW(A257)+1)),"")," ",IFERROR(INDEX(Накл!$C$9:$C$550,SMALL(IF(Накл!$B$9:$B$550=A257,ROW(Накл!$B$9:$B$550)-ROW(Накл!$B$9)+1),ROW(D258)-ROW(A257)+1)),"")," ",IFERROR(INDEX(Накл!$C$9:$C$550,SMALL(IF(Накл!$B$9:$B$550=A257,ROW(Накл!$B$9:$B$550)-ROW(Накл!$B$9)+1),ROW(D259)-ROW(A257)+1)),"")," ",IFERROR(INDEX(Накл!$C$9:$C$550,SMALL(IF(Накл!$B$9:$B$550=A257,ROW(Накл!$B$9:$B$550)-ROW(Накл!$B$9)+1),ROW(D260)-ROW(A257)+1)),"")," ",IFERROR(INDEX(Накл!$C$9:$C$550,SMALL(IF(Накл!$B$9:$B$550=A257,ROW(Накл!$B$9:$B$550)-ROW(Накл!$B$9)+1),ROW(D261)-ROW(A257)+1)),"")," ",IFERROR(INDEX(Накл!$C$9:$C$550,SMALL(IF(Накл!$B$9:$B$550=A257,ROW(Накл!$B$9:$B$550)-ROW(Накл!$B$9)+1),ROW(D262)-ROW(A257)+1)),"")," ",IFERROR(INDEX(Накл!$C$9:$C$550,SMALL(IF(Накл!$B$9:$B$550=A257,ROW(Накл!$B$9:$B$550)-ROW(Накл!$B$9)+1),ROW(D263)-ROW(A257)+1)),"")," ",IFERROR(INDEX(Накл!$C$9:$C$550,SMALL(IF(Накл!$B$9:$B$550=A257,ROW(Накл!$B$9:$B$550)-ROW(Накл!$B$9)+1),ROW(D264)-ROW(A257)+1)),"")," ",IFERROR(INDEX(Накл!$C$9:$C$550,SMALL(IF(Накл!$B$9:$B$550=A257,ROW(Накл!$B$9:$B$550)-ROW(Накл!$B$9)+1),ROW(D265)-ROW(A257)+1)),"")," ",IFERROR(INDEX(Накл!$C$9:$C$550,SMALL(IF(Накл!$B$9:$B$550=A257,ROW(Накл!$B$9:$B$550)-ROW(Накл!$B$9)+1),ROW(D266)-ROW(A257)+1)),""))</f>
        <v xml:space="preserve">         </v>
      </c>
      <c r="E257" s="26" t="str">
        <f t="array" ref="E257">IF(LEN(D257)&lt;10,CONCATENATE(IFERROR(INDEX(Накл!$C$9:$C$550,SMALL(IF(Накл!$A$9:$A$550=VALUE(LEFT(A257,8)),ROW(Накл!$A$9:$A$550)-ROW(Накл!$A$9)+1),ROW(E257)-ROW(B257)+1)),"")," ",IFERROR(INDEX(Накл!$C$9:$C$550,SMALL(IF(Накл!$A$9:$A$550=VALUE(LEFT(A257,8)),ROW(Накл!$A$9:$A$550)-ROW(Накл!$A$9)+1),ROW(E258)-ROW(B257)+1)),"")," ",IFERROR(INDEX(Накл!$C$9:$C$550,SMALL(IF(Накл!$A$9:$A$550=VALUE(LEFT(A257,8)),ROW(Накл!$A$9:$A$550)-ROW(Накл!$A$9)+1),ROW(E259)-ROW(B257)+1)),"")," ",IFERROR(INDEX(Накл!$C$9:$C$550,SMALL(IF(Накл!$A$9:$A$550=VALUE(LEFT(A257,8)),ROW(Накл!$A$9:$A$550)-ROW(Накл!$A$9)+1),ROW(E260)-ROW(B257)+1)),"")),"")</f>
        <v xml:space="preserve">   </v>
      </c>
    </row>
    <row r="258" spans="1:5">
      <c r="A258" s="26" t="str">
        <f>IFERROR(CONCATENATE(VALUE(SUBSTITUTE(SUBSTITUTE(LEFT(Накл!G265,11),".",""),"-",""))," ",Накл!J265),"-")</f>
        <v>-</v>
      </c>
      <c r="B258" s="26" t="str">
        <f>IFERROR(VLOOKUP(VALUE(LEFT(A258,8)),Накл!$A$9:$D$550,4,0),"-")</f>
        <v>-</v>
      </c>
      <c r="C258" s="26">
        <f>Накл!J265</f>
        <v>0</v>
      </c>
      <c r="D258" s="33" t="str">
        <f t="array" ref="D258">CONCATENATE(IFERROR(INDEX(Накл!$C$9:$C$550,SMALL(IF(Накл!$B$9:$B$550=A258,ROW(Накл!$B$9:$B$550)-ROW(Накл!$B$9)+1),ROW(D258)-ROW(A258)+1)),"")," ",IFERROR(INDEX(Накл!$C$9:$C$550,SMALL(IF(Накл!$B$9:$B$550=A258,ROW(Накл!$B$9:$B$550)-ROW(Накл!$B$9)+1),ROW(D259)-ROW(A258)+1)),"")," ",IFERROR(INDEX(Накл!$C$9:$C$550,SMALL(IF(Накл!$B$9:$B$550=A258,ROW(Накл!$B$9:$B$550)-ROW(Накл!$B$9)+1),ROW(D260)-ROW(A258)+1)),"")," ",IFERROR(INDEX(Накл!$C$9:$C$550,SMALL(IF(Накл!$B$9:$B$550=A258,ROW(Накл!$B$9:$B$550)-ROW(Накл!$B$9)+1),ROW(D261)-ROW(A258)+1)),"")," ",IFERROR(INDEX(Накл!$C$9:$C$550,SMALL(IF(Накл!$B$9:$B$550=A258,ROW(Накл!$B$9:$B$550)-ROW(Накл!$B$9)+1),ROW(D262)-ROW(A258)+1)),"")," ",IFERROR(INDEX(Накл!$C$9:$C$550,SMALL(IF(Накл!$B$9:$B$550=A258,ROW(Накл!$B$9:$B$550)-ROW(Накл!$B$9)+1),ROW(D263)-ROW(A258)+1)),"")," ",IFERROR(INDEX(Накл!$C$9:$C$550,SMALL(IF(Накл!$B$9:$B$550=A258,ROW(Накл!$B$9:$B$550)-ROW(Накл!$B$9)+1),ROW(D264)-ROW(A258)+1)),"")," ",IFERROR(INDEX(Накл!$C$9:$C$550,SMALL(IF(Накл!$B$9:$B$550=A258,ROW(Накл!$B$9:$B$550)-ROW(Накл!$B$9)+1),ROW(D265)-ROW(A258)+1)),"")," ",IFERROR(INDEX(Накл!$C$9:$C$550,SMALL(IF(Накл!$B$9:$B$550=A258,ROW(Накл!$B$9:$B$550)-ROW(Накл!$B$9)+1),ROW(D266)-ROW(A258)+1)),"")," ",IFERROR(INDEX(Накл!$C$9:$C$550,SMALL(IF(Накл!$B$9:$B$550=A258,ROW(Накл!$B$9:$B$550)-ROW(Накл!$B$9)+1),ROW(D267)-ROW(A258)+1)),""))</f>
        <v xml:space="preserve">         </v>
      </c>
      <c r="E258" s="26" t="str">
        <f t="array" ref="E258">IF(LEN(D258)&lt;10,CONCATENATE(IFERROR(INDEX(Накл!$C$9:$C$550,SMALL(IF(Накл!$A$9:$A$550=VALUE(LEFT(A258,8)),ROW(Накл!$A$9:$A$550)-ROW(Накл!$A$9)+1),ROW(E258)-ROW(B258)+1)),"")," ",IFERROR(INDEX(Накл!$C$9:$C$550,SMALL(IF(Накл!$A$9:$A$550=VALUE(LEFT(A258,8)),ROW(Накл!$A$9:$A$550)-ROW(Накл!$A$9)+1),ROW(E259)-ROW(B258)+1)),"")," ",IFERROR(INDEX(Накл!$C$9:$C$550,SMALL(IF(Накл!$A$9:$A$550=VALUE(LEFT(A258,8)),ROW(Накл!$A$9:$A$550)-ROW(Накл!$A$9)+1),ROW(E260)-ROW(B258)+1)),"")," ",IFERROR(INDEX(Накл!$C$9:$C$550,SMALL(IF(Накл!$A$9:$A$550=VALUE(LEFT(A258,8)),ROW(Накл!$A$9:$A$550)-ROW(Накл!$A$9)+1),ROW(E261)-ROW(B258)+1)),"")),"")</f>
        <v xml:space="preserve">   </v>
      </c>
    </row>
    <row r="259" spans="1:5">
      <c r="A259" s="26" t="str">
        <f>IFERROR(CONCATENATE(VALUE(SUBSTITUTE(SUBSTITUTE(LEFT(Накл!G266,11),".",""),"-",""))," ",Накл!J266),"-")</f>
        <v>-</v>
      </c>
      <c r="B259" s="26" t="str">
        <f>IFERROR(VLOOKUP(VALUE(LEFT(A259,8)),Накл!$A$9:$D$550,4,0),"-")</f>
        <v>-</v>
      </c>
      <c r="C259" s="26">
        <f>Накл!J266</f>
        <v>0</v>
      </c>
      <c r="D259" s="33" t="str">
        <f t="array" ref="D259">CONCATENATE(IFERROR(INDEX(Накл!$C$9:$C$550,SMALL(IF(Накл!$B$9:$B$550=A259,ROW(Накл!$B$9:$B$550)-ROW(Накл!$B$9)+1),ROW(D259)-ROW(A259)+1)),"")," ",IFERROR(INDEX(Накл!$C$9:$C$550,SMALL(IF(Накл!$B$9:$B$550=A259,ROW(Накл!$B$9:$B$550)-ROW(Накл!$B$9)+1),ROW(D260)-ROW(A259)+1)),"")," ",IFERROR(INDEX(Накл!$C$9:$C$550,SMALL(IF(Накл!$B$9:$B$550=A259,ROW(Накл!$B$9:$B$550)-ROW(Накл!$B$9)+1),ROW(D261)-ROW(A259)+1)),"")," ",IFERROR(INDEX(Накл!$C$9:$C$550,SMALL(IF(Накл!$B$9:$B$550=A259,ROW(Накл!$B$9:$B$550)-ROW(Накл!$B$9)+1),ROW(D262)-ROW(A259)+1)),"")," ",IFERROR(INDEX(Накл!$C$9:$C$550,SMALL(IF(Накл!$B$9:$B$550=A259,ROW(Накл!$B$9:$B$550)-ROW(Накл!$B$9)+1),ROW(D263)-ROW(A259)+1)),"")," ",IFERROR(INDEX(Накл!$C$9:$C$550,SMALL(IF(Накл!$B$9:$B$550=A259,ROW(Накл!$B$9:$B$550)-ROW(Накл!$B$9)+1),ROW(D264)-ROW(A259)+1)),"")," ",IFERROR(INDEX(Накл!$C$9:$C$550,SMALL(IF(Накл!$B$9:$B$550=A259,ROW(Накл!$B$9:$B$550)-ROW(Накл!$B$9)+1),ROW(D265)-ROW(A259)+1)),"")," ",IFERROR(INDEX(Накл!$C$9:$C$550,SMALL(IF(Накл!$B$9:$B$550=A259,ROW(Накл!$B$9:$B$550)-ROW(Накл!$B$9)+1),ROW(D266)-ROW(A259)+1)),"")," ",IFERROR(INDEX(Накл!$C$9:$C$550,SMALL(IF(Накл!$B$9:$B$550=A259,ROW(Накл!$B$9:$B$550)-ROW(Накл!$B$9)+1),ROW(D267)-ROW(A259)+1)),"")," ",IFERROR(INDEX(Накл!$C$9:$C$550,SMALL(IF(Накл!$B$9:$B$550=A259,ROW(Накл!$B$9:$B$550)-ROW(Накл!$B$9)+1),ROW(D268)-ROW(A259)+1)),""))</f>
        <v xml:space="preserve">         </v>
      </c>
      <c r="E259" s="26" t="str">
        <f t="array" ref="E259">IF(LEN(D259)&lt;10,CONCATENATE(IFERROR(INDEX(Накл!$C$9:$C$550,SMALL(IF(Накл!$A$9:$A$550=VALUE(LEFT(A259,8)),ROW(Накл!$A$9:$A$550)-ROW(Накл!$A$9)+1),ROW(E259)-ROW(B259)+1)),"")," ",IFERROR(INDEX(Накл!$C$9:$C$550,SMALL(IF(Накл!$A$9:$A$550=VALUE(LEFT(A259,8)),ROW(Накл!$A$9:$A$550)-ROW(Накл!$A$9)+1),ROW(E260)-ROW(B259)+1)),"")," ",IFERROR(INDEX(Накл!$C$9:$C$550,SMALL(IF(Накл!$A$9:$A$550=VALUE(LEFT(A259,8)),ROW(Накл!$A$9:$A$550)-ROW(Накл!$A$9)+1),ROW(E261)-ROW(B259)+1)),"")," ",IFERROR(INDEX(Накл!$C$9:$C$550,SMALL(IF(Накл!$A$9:$A$550=VALUE(LEFT(A259,8)),ROW(Накл!$A$9:$A$550)-ROW(Накл!$A$9)+1),ROW(E262)-ROW(B259)+1)),"")),"")</f>
        <v xml:space="preserve">   </v>
      </c>
    </row>
    <row r="260" spans="1:5">
      <c r="A260" s="26" t="str">
        <f>IFERROR(CONCATENATE(VALUE(SUBSTITUTE(SUBSTITUTE(LEFT(Накл!G267,11),".",""),"-",""))," ",Накл!J267),"-")</f>
        <v>-</v>
      </c>
      <c r="B260" s="26" t="str">
        <f>IFERROR(VLOOKUP(VALUE(LEFT(A260,8)),Накл!$A$9:$D$550,4,0),"-")</f>
        <v>-</v>
      </c>
      <c r="C260" s="26">
        <f>Накл!J267</f>
        <v>0</v>
      </c>
      <c r="D260" s="33" t="str">
        <f t="array" ref="D260">CONCATENATE(IFERROR(INDEX(Накл!$C$9:$C$550,SMALL(IF(Накл!$B$9:$B$550=A260,ROW(Накл!$B$9:$B$550)-ROW(Накл!$B$9)+1),ROW(D260)-ROW(A260)+1)),"")," ",IFERROR(INDEX(Накл!$C$9:$C$550,SMALL(IF(Накл!$B$9:$B$550=A260,ROW(Накл!$B$9:$B$550)-ROW(Накл!$B$9)+1),ROW(D261)-ROW(A260)+1)),"")," ",IFERROR(INDEX(Накл!$C$9:$C$550,SMALL(IF(Накл!$B$9:$B$550=A260,ROW(Накл!$B$9:$B$550)-ROW(Накл!$B$9)+1),ROW(D262)-ROW(A260)+1)),"")," ",IFERROR(INDEX(Накл!$C$9:$C$550,SMALL(IF(Накл!$B$9:$B$550=A260,ROW(Накл!$B$9:$B$550)-ROW(Накл!$B$9)+1),ROW(D263)-ROW(A260)+1)),"")," ",IFERROR(INDEX(Накл!$C$9:$C$550,SMALL(IF(Накл!$B$9:$B$550=A260,ROW(Накл!$B$9:$B$550)-ROW(Накл!$B$9)+1),ROW(D264)-ROW(A260)+1)),"")," ",IFERROR(INDEX(Накл!$C$9:$C$550,SMALL(IF(Накл!$B$9:$B$550=A260,ROW(Накл!$B$9:$B$550)-ROW(Накл!$B$9)+1),ROW(D265)-ROW(A260)+1)),"")," ",IFERROR(INDEX(Накл!$C$9:$C$550,SMALL(IF(Накл!$B$9:$B$550=A260,ROW(Накл!$B$9:$B$550)-ROW(Накл!$B$9)+1),ROW(D266)-ROW(A260)+1)),"")," ",IFERROR(INDEX(Накл!$C$9:$C$550,SMALL(IF(Накл!$B$9:$B$550=A260,ROW(Накл!$B$9:$B$550)-ROW(Накл!$B$9)+1),ROW(D267)-ROW(A260)+1)),"")," ",IFERROR(INDEX(Накл!$C$9:$C$550,SMALL(IF(Накл!$B$9:$B$550=A260,ROW(Накл!$B$9:$B$550)-ROW(Накл!$B$9)+1),ROW(D268)-ROW(A260)+1)),"")," ",IFERROR(INDEX(Накл!$C$9:$C$550,SMALL(IF(Накл!$B$9:$B$550=A260,ROW(Накл!$B$9:$B$550)-ROW(Накл!$B$9)+1),ROW(D269)-ROW(A260)+1)),""))</f>
        <v xml:space="preserve">         </v>
      </c>
      <c r="E260" s="26" t="str">
        <f t="array" ref="E260">IF(LEN(D260)&lt;10,CONCATENATE(IFERROR(INDEX(Накл!$C$9:$C$550,SMALL(IF(Накл!$A$9:$A$550=VALUE(LEFT(A260,8)),ROW(Накл!$A$9:$A$550)-ROW(Накл!$A$9)+1),ROW(E260)-ROW(B260)+1)),"")," ",IFERROR(INDEX(Накл!$C$9:$C$550,SMALL(IF(Накл!$A$9:$A$550=VALUE(LEFT(A260,8)),ROW(Накл!$A$9:$A$550)-ROW(Накл!$A$9)+1),ROW(E261)-ROW(B260)+1)),"")," ",IFERROR(INDEX(Накл!$C$9:$C$550,SMALL(IF(Накл!$A$9:$A$550=VALUE(LEFT(A260,8)),ROW(Накл!$A$9:$A$550)-ROW(Накл!$A$9)+1),ROW(E262)-ROW(B260)+1)),"")," ",IFERROR(INDEX(Накл!$C$9:$C$550,SMALL(IF(Накл!$A$9:$A$550=VALUE(LEFT(A260,8)),ROW(Накл!$A$9:$A$550)-ROW(Накл!$A$9)+1),ROW(E263)-ROW(B260)+1)),"")),"")</f>
        <v xml:space="preserve">   </v>
      </c>
    </row>
    <row r="261" spans="1:5">
      <c r="A261" s="26" t="str">
        <f>IFERROR(CONCATENATE(VALUE(SUBSTITUTE(SUBSTITUTE(LEFT(Накл!G268,11),".",""),"-",""))," ",Накл!J268),"-")</f>
        <v>-</v>
      </c>
      <c r="B261" s="26" t="str">
        <f>IFERROR(VLOOKUP(VALUE(LEFT(A261,8)),Накл!$A$9:$D$550,4,0),"-")</f>
        <v>-</v>
      </c>
      <c r="C261" s="26">
        <f>Накл!J268</f>
        <v>0</v>
      </c>
      <c r="D261" s="33" t="str">
        <f t="array" ref="D261">CONCATENATE(IFERROR(INDEX(Накл!$C$9:$C$550,SMALL(IF(Накл!$B$9:$B$550=A261,ROW(Накл!$B$9:$B$550)-ROW(Накл!$B$9)+1),ROW(D261)-ROW(A261)+1)),"")," ",IFERROR(INDEX(Накл!$C$9:$C$550,SMALL(IF(Накл!$B$9:$B$550=A261,ROW(Накл!$B$9:$B$550)-ROW(Накл!$B$9)+1),ROW(D262)-ROW(A261)+1)),"")," ",IFERROR(INDEX(Накл!$C$9:$C$550,SMALL(IF(Накл!$B$9:$B$550=A261,ROW(Накл!$B$9:$B$550)-ROW(Накл!$B$9)+1),ROW(D263)-ROW(A261)+1)),"")," ",IFERROR(INDEX(Накл!$C$9:$C$550,SMALL(IF(Накл!$B$9:$B$550=A261,ROW(Накл!$B$9:$B$550)-ROW(Накл!$B$9)+1),ROW(D264)-ROW(A261)+1)),"")," ",IFERROR(INDEX(Накл!$C$9:$C$550,SMALL(IF(Накл!$B$9:$B$550=A261,ROW(Накл!$B$9:$B$550)-ROW(Накл!$B$9)+1),ROW(D265)-ROW(A261)+1)),"")," ",IFERROR(INDEX(Накл!$C$9:$C$550,SMALL(IF(Накл!$B$9:$B$550=A261,ROW(Накл!$B$9:$B$550)-ROW(Накл!$B$9)+1),ROW(D266)-ROW(A261)+1)),"")," ",IFERROR(INDEX(Накл!$C$9:$C$550,SMALL(IF(Накл!$B$9:$B$550=A261,ROW(Накл!$B$9:$B$550)-ROW(Накл!$B$9)+1),ROW(D267)-ROW(A261)+1)),"")," ",IFERROR(INDEX(Накл!$C$9:$C$550,SMALL(IF(Накл!$B$9:$B$550=A261,ROW(Накл!$B$9:$B$550)-ROW(Накл!$B$9)+1),ROW(D268)-ROW(A261)+1)),"")," ",IFERROR(INDEX(Накл!$C$9:$C$550,SMALL(IF(Накл!$B$9:$B$550=A261,ROW(Накл!$B$9:$B$550)-ROW(Накл!$B$9)+1),ROW(D269)-ROW(A261)+1)),"")," ",IFERROR(INDEX(Накл!$C$9:$C$550,SMALL(IF(Накл!$B$9:$B$550=A261,ROW(Накл!$B$9:$B$550)-ROW(Накл!$B$9)+1),ROW(D270)-ROW(A261)+1)),""))</f>
        <v xml:space="preserve">         </v>
      </c>
      <c r="E261" s="26" t="str">
        <f t="array" ref="E261">IF(LEN(D261)&lt;10,CONCATENATE(IFERROR(INDEX(Накл!$C$9:$C$550,SMALL(IF(Накл!$A$9:$A$550=VALUE(LEFT(A261,8)),ROW(Накл!$A$9:$A$550)-ROW(Накл!$A$9)+1),ROW(E261)-ROW(B261)+1)),"")," ",IFERROR(INDEX(Накл!$C$9:$C$550,SMALL(IF(Накл!$A$9:$A$550=VALUE(LEFT(A261,8)),ROW(Накл!$A$9:$A$550)-ROW(Накл!$A$9)+1),ROW(E262)-ROW(B261)+1)),"")," ",IFERROR(INDEX(Накл!$C$9:$C$550,SMALL(IF(Накл!$A$9:$A$550=VALUE(LEFT(A261,8)),ROW(Накл!$A$9:$A$550)-ROW(Накл!$A$9)+1),ROW(E263)-ROW(B261)+1)),"")," ",IFERROR(INDEX(Накл!$C$9:$C$550,SMALL(IF(Накл!$A$9:$A$550=VALUE(LEFT(A261,8)),ROW(Накл!$A$9:$A$550)-ROW(Накл!$A$9)+1),ROW(E264)-ROW(B261)+1)),"")),"")</f>
        <v xml:space="preserve">   </v>
      </c>
    </row>
    <row r="262" spans="1:5">
      <c r="A262" s="26" t="str">
        <f>IFERROR(CONCATENATE(VALUE(SUBSTITUTE(SUBSTITUTE(LEFT(Накл!G269,11),".",""),"-",""))," ",Накл!J269),"-")</f>
        <v>-</v>
      </c>
      <c r="B262" s="26" t="str">
        <f>IFERROR(VLOOKUP(VALUE(LEFT(A262,8)),Накл!$A$9:$D$550,4,0),"-")</f>
        <v>-</v>
      </c>
      <c r="C262" s="26">
        <f>Накл!J269</f>
        <v>0</v>
      </c>
      <c r="D262" s="33" t="str">
        <f t="array" ref="D262">CONCATENATE(IFERROR(INDEX(Накл!$C$9:$C$550,SMALL(IF(Накл!$B$9:$B$550=A262,ROW(Накл!$B$9:$B$550)-ROW(Накл!$B$9)+1),ROW(D262)-ROW(A262)+1)),"")," ",IFERROR(INDEX(Накл!$C$9:$C$550,SMALL(IF(Накл!$B$9:$B$550=A262,ROW(Накл!$B$9:$B$550)-ROW(Накл!$B$9)+1),ROW(D263)-ROW(A262)+1)),"")," ",IFERROR(INDEX(Накл!$C$9:$C$550,SMALL(IF(Накл!$B$9:$B$550=A262,ROW(Накл!$B$9:$B$550)-ROW(Накл!$B$9)+1),ROW(D264)-ROW(A262)+1)),"")," ",IFERROR(INDEX(Накл!$C$9:$C$550,SMALL(IF(Накл!$B$9:$B$550=A262,ROW(Накл!$B$9:$B$550)-ROW(Накл!$B$9)+1),ROW(D265)-ROW(A262)+1)),"")," ",IFERROR(INDEX(Накл!$C$9:$C$550,SMALL(IF(Накл!$B$9:$B$550=A262,ROW(Накл!$B$9:$B$550)-ROW(Накл!$B$9)+1),ROW(D266)-ROW(A262)+1)),"")," ",IFERROR(INDEX(Накл!$C$9:$C$550,SMALL(IF(Накл!$B$9:$B$550=A262,ROW(Накл!$B$9:$B$550)-ROW(Накл!$B$9)+1),ROW(D267)-ROW(A262)+1)),"")," ",IFERROR(INDEX(Накл!$C$9:$C$550,SMALL(IF(Накл!$B$9:$B$550=A262,ROW(Накл!$B$9:$B$550)-ROW(Накл!$B$9)+1),ROW(D268)-ROW(A262)+1)),"")," ",IFERROR(INDEX(Накл!$C$9:$C$550,SMALL(IF(Накл!$B$9:$B$550=A262,ROW(Накл!$B$9:$B$550)-ROW(Накл!$B$9)+1),ROW(D269)-ROW(A262)+1)),"")," ",IFERROR(INDEX(Накл!$C$9:$C$550,SMALL(IF(Накл!$B$9:$B$550=A262,ROW(Накл!$B$9:$B$550)-ROW(Накл!$B$9)+1),ROW(D270)-ROW(A262)+1)),"")," ",IFERROR(INDEX(Накл!$C$9:$C$550,SMALL(IF(Накл!$B$9:$B$550=A262,ROW(Накл!$B$9:$B$550)-ROW(Накл!$B$9)+1),ROW(D271)-ROW(A262)+1)),""))</f>
        <v xml:space="preserve">         </v>
      </c>
      <c r="E262" s="26" t="str">
        <f t="array" ref="E262">IF(LEN(D262)&lt;10,CONCATENATE(IFERROR(INDEX(Накл!$C$9:$C$550,SMALL(IF(Накл!$A$9:$A$550=VALUE(LEFT(A262,8)),ROW(Накл!$A$9:$A$550)-ROW(Накл!$A$9)+1),ROW(E262)-ROW(B262)+1)),"")," ",IFERROR(INDEX(Накл!$C$9:$C$550,SMALL(IF(Накл!$A$9:$A$550=VALUE(LEFT(A262,8)),ROW(Накл!$A$9:$A$550)-ROW(Накл!$A$9)+1),ROW(E263)-ROW(B262)+1)),"")," ",IFERROR(INDEX(Накл!$C$9:$C$550,SMALL(IF(Накл!$A$9:$A$550=VALUE(LEFT(A262,8)),ROW(Накл!$A$9:$A$550)-ROW(Накл!$A$9)+1),ROW(E264)-ROW(B262)+1)),"")," ",IFERROR(INDEX(Накл!$C$9:$C$550,SMALL(IF(Накл!$A$9:$A$550=VALUE(LEFT(A262,8)),ROW(Накл!$A$9:$A$550)-ROW(Накл!$A$9)+1),ROW(E265)-ROW(B262)+1)),"")),"")</f>
        <v xml:space="preserve">   </v>
      </c>
    </row>
    <row r="263" spans="1:5">
      <c r="A263" s="26" t="str">
        <f>IFERROR(CONCATENATE(VALUE(SUBSTITUTE(SUBSTITUTE(LEFT(Накл!G270,11),".",""),"-",""))," ",Накл!J270),"-")</f>
        <v>-</v>
      </c>
      <c r="B263" s="26" t="str">
        <f>IFERROR(VLOOKUP(VALUE(LEFT(A263,8)),Накл!$A$9:$D$550,4,0),"-")</f>
        <v>-</v>
      </c>
      <c r="C263" s="26">
        <f>Накл!J270</f>
        <v>0</v>
      </c>
      <c r="D263" s="33" t="str">
        <f t="array" ref="D263">CONCATENATE(IFERROR(INDEX(Накл!$C$9:$C$550,SMALL(IF(Накл!$B$9:$B$550=A263,ROW(Накл!$B$9:$B$550)-ROW(Накл!$B$9)+1),ROW(D263)-ROW(A263)+1)),"")," ",IFERROR(INDEX(Накл!$C$9:$C$550,SMALL(IF(Накл!$B$9:$B$550=A263,ROW(Накл!$B$9:$B$550)-ROW(Накл!$B$9)+1),ROW(D264)-ROW(A263)+1)),"")," ",IFERROR(INDEX(Накл!$C$9:$C$550,SMALL(IF(Накл!$B$9:$B$550=A263,ROW(Накл!$B$9:$B$550)-ROW(Накл!$B$9)+1),ROW(D265)-ROW(A263)+1)),"")," ",IFERROR(INDEX(Накл!$C$9:$C$550,SMALL(IF(Накл!$B$9:$B$550=A263,ROW(Накл!$B$9:$B$550)-ROW(Накл!$B$9)+1),ROW(D266)-ROW(A263)+1)),"")," ",IFERROR(INDEX(Накл!$C$9:$C$550,SMALL(IF(Накл!$B$9:$B$550=A263,ROW(Накл!$B$9:$B$550)-ROW(Накл!$B$9)+1),ROW(D267)-ROW(A263)+1)),"")," ",IFERROR(INDEX(Накл!$C$9:$C$550,SMALL(IF(Накл!$B$9:$B$550=A263,ROW(Накл!$B$9:$B$550)-ROW(Накл!$B$9)+1),ROW(D268)-ROW(A263)+1)),"")," ",IFERROR(INDEX(Накл!$C$9:$C$550,SMALL(IF(Накл!$B$9:$B$550=A263,ROW(Накл!$B$9:$B$550)-ROW(Накл!$B$9)+1),ROW(D269)-ROW(A263)+1)),"")," ",IFERROR(INDEX(Накл!$C$9:$C$550,SMALL(IF(Накл!$B$9:$B$550=A263,ROW(Накл!$B$9:$B$550)-ROW(Накл!$B$9)+1),ROW(D270)-ROW(A263)+1)),"")," ",IFERROR(INDEX(Накл!$C$9:$C$550,SMALL(IF(Накл!$B$9:$B$550=A263,ROW(Накл!$B$9:$B$550)-ROW(Накл!$B$9)+1),ROW(D271)-ROW(A263)+1)),"")," ",IFERROR(INDEX(Накл!$C$9:$C$550,SMALL(IF(Накл!$B$9:$B$550=A263,ROW(Накл!$B$9:$B$550)-ROW(Накл!$B$9)+1),ROW(D272)-ROW(A263)+1)),""))</f>
        <v xml:space="preserve">         </v>
      </c>
      <c r="E263" s="26" t="str">
        <f t="array" ref="E263">IF(LEN(D263)&lt;10,CONCATENATE(IFERROR(INDEX(Накл!$C$9:$C$550,SMALL(IF(Накл!$A$9:$A$550=VALUE(LEFT(A263,8)),ROW(Накл!$A$9:$A$550)-ROW(Накл!$A$9)+1),ROW(E263)-ROW(B263)+1)),"")," ",IFERROR(INDEX(Накл!$C$9:$C$550,SMALL(IF(Накл!$A$9:$A$550=VALUE(LEFT(A263,8)),ROW(Накл!$A$9:$A$550)-ROW(Накл!$A$9)+1),ROW(E264)-ROW(B263)+1)),"")," ",IFERROR(INDEX(Накл!$C$9:$C$550,SMALL(IF(Накл!$A$9:$A$550=VALUE(LEFT(A263,8)),ROW(Накл!$A$9:$A$550)-ROW(Накл!$A$9)+1),ROW(E265)-ROW(B263)+1)),"")," ",IFERROR(INDEX(Накл!$C$9:$C$550,SMALL(IF(Накл!$A$9:$A$550=VALUE(LEFT(A263,8)),ROW(Накл!$A$9:$A$550)-ROW(Накл!$A$9)+1),ROW(E266)-ROW(B263)+1)),"")),"")</f>
        <v xml:space="preserve">   </v>
      </c>
    </row>
    <row r="264" spans="1:5">
      <c r="A264" s="26" t="str">
        <f>IFERROR(CONCATENATE(VALUE(SUBSTITUTE(SUBSTITUTE(LEFT(Накл!G271,11),".",""),"-",""))," ",Накл!J271),"-")</f>
        <v>-</v>
      </c>
      <c r="B264" s="26" t="str">
        <f>IFERROR(VLOOKUP(VALUE(LEFT(A264,8)),Накл!$A$9:$D$550,4,0),"-")</f>
        <v>-</v>
      </c>
      <c r="C264" s="26">
        <f>Накл!J271</f>
        <v>0</v>
      </c>
      <c r="D264" s="33" t="str">
        <f t="array" ref="D264">CONCATENATE(IFERROR(INDEX(Накл!$C$9:$C$550,SMALL(IF(Накл!$B$9:$B$550=A264,ROW(Накл!$B$9:$B$550)-ROW(Накл!$B$9)+1),ROW(D264)-ROW(A264)+1)),"")," ",IFERROR(INDEX(Накл!$C$9:$C$550,SMALL(IF(Накл!$B$9:$B$550=A264,ROW(Накл!$B$9:$B$550)-ROW(Накл!$B$9)+1),ROW(D265)-ROW(A264)+1)),"")," ",IFERROR(INDEX(Накл!$C$9:$C$550,SMALL(IF(Накл!$B$9:$B$550=A264,ROW(Накл!$B$9:$B$550)-ROW(Накл!$B$9)+1),ROW(D266)-ROW(A264)+1)),"")," ",IFERROR(INDEX(Накл!$C$9:$C$550,SMALL(IF(Накл!$B$9:$B$550=A264,ROW(Накл!$B$9:$B$550)-ROW(Накл!$B$9)+1),ROW(D267)-ROW(A264)+1)),"")," ",IFERROR(INDEX(Накл!$C$9:$C$550,SMALL(IF(Накл!$B$9:$B$550=A264,ROW(Накл!$B$9:$B$550)-ROW(Накл!$B$9)+1),ROW(D268)-ROW(A264)+1)),"")," ",IFERROR(INDEX(Накл!$C$9:$C$550,SMALL(IF(Накл!$B$9:$B$550=A264,ROW(Накл!$B$9:$B$550)-ROW(Накл!$B$9)+1),ROW(D269)-ROW(A264)+1)),"")," ",IFERROR(INDEX(Накл!$C$9:$C$550,SMALL(IF(Накл!$B$9:$B$550=A264,ROW(Накл!$B$9:$B$550)-ROW(Накл!$B$9)+1),ROW(D270)-ROW(A264)+1)),"")," ",IFERROR(INDEX(Накл!$C$9:$C$550,SMALL(IF(Накл!$B$9:$B$550=A264,ROW(Накл!$B$9:$B$550)-ROW(Накл!$B$9)+1),ROW(D271)-ROW(A264)+1)),"")," ",IFERROR(INDEX(Накл!$C$9:$C$550,SMALL(IF(Накл!$B$9:$B$550=A264,ROW(Накл!$B$9:$B$550)-ROW(Накл!$B$9)+1),ROW(D272)-ROW(A264)+1)),"")," ",IFERROR(INDEX(Накл!$C$9:$C$550,SMALL(IF(Накл!$B$9:$B$550=A264,ROW(Накл!$B$9:$B$550)-ROW(Накл!$B$9)+1),ROW(D273)-ROW(A264)+1)),""))</f>
        <v xml:space="preserve">         </v>
      </c>
      <c r="E264" s="26" t="str">
        <f t="array" ref="E264">IF(LEN(D264)&lt;10,CONCATENATE(IFERROR(INDEX(Накл!$C$9:$C$550,SMALL(IF(Накл!$A$9:$A$550=VALUE(LEFT(A264,8)),ROW(Накл!$A$9:$A$550)-ROW(Накл!$A$9)+1),ROW(E264)-ROW(B264)+1)),"")," ",IFERROR(INDEX(Накл!$C$9:$C$550,SMALL(IF(Накл!$A$9:$A$550=VALUE(LEFT(A264,8)),ROW(Накл!$A$9:$A$550)-ROW(Накл!$A$9)+1),ROW(E265)-ROW(B264)+1)),"")," ",IFERROR(INDEX(Накл!$C$9:$C$550,SMALL(IF(Накл!$A$9:$A$550=VALUE(LEFT(A264,8)),ROW(Накл!$A$9:$A$550)-ROW(Накл!$A$9)+1),ROW(E266)-ROW(B264)+1)),"")," ",IFERROR(INDEX(Накл!$C$9:$C$550,SMALL(IF(Накл!$A$9:$A$550=VALUE(LEFT(A264,8)),ROW(Накл!$A$9:$A$550)-ROW(Накл!$A$9)+1),ROW(E267)-ROW(B264)+1)),"")),"")</f>
        <v xml:space="preserve">   </v>
      </c>
    </row>
    <row r="265" spans="1:5">
      <c r="A265" s="26" t="str">
        <f>IFERROR(CONCATENATE(VALUE(SUBSTITUTE(SUBSTITUTE(LEFT(Накл!G272,11),".",""),"-",""))," ",Накл!J272),"-")</f>
        <v>-</v>
      </c>
      <c r="B265" s="26" t="str">
        <f>IFERROR(VLOOKUP(VALUE(LEFT(A265,8)),Накл!$A$9:$D$550,4,0),"-")</f>
        <v>-</v>
      </c>
      <c r="C265" s="26">
        <f>Накл!J272</f>
        <v>0</v>
      </c>
      <c r="D265" s="33" t="str">
        <f t="array" ref="D265">CONCATENATE(IFERROR(INDEX(Накл!$C$9:$C$550,SMALL(IF(Накл!$B$9:$B$550=A265,ROW(Накл!$B$9:$B$550)-ROW(Накл!$B$9)+1),ROW(D265)-ROW(A265)+1)),"")," ",IFERROR(INDEX(Накл!$C$9:$C$550,SMALL(IF(Накл!$B$9:$B$550=A265,ROW(Накл!$B$9:$B$550)-ROW(Накл!$B$9)+1),ROW(D266)-ROW(A265)+1)),"")," ",IFERROR(INDEX(Накл!$C$9:$C$550,SMALL(IF(Накл!$B$9:$B$550=A265,ROW(Накл!$B$9:$B$550)-ROW(Накл!$B$9)+1),ROW(D267)-ROW(A265)+1)),"")," ",IFERROR(INDEX(Накл!$C$9:$C$550,SMALL(IF(Накл!$B$9:$B$550=A265,ROW(Накл!$B$9:$B$550)-ROW(Накл!$B$9)+1),ROW(D268)-ROW(A265)+1)),"")," ",IFERROR(INDEX(Накл!$C$9:$C$550,SMALL(IF(Накл!$B$9:$B$550=A265,ROW(Накл!$B$9:$B$550)-ROW(Накл!$B$9)+1),ROW(D269)-ROW(A265)+1)),"")," ",IFERROR(INDEX(Накл!$C$9:$C$550,SMALL(IF(Накл!$B$9:$B$550=A265,ROW(Накл!$B$9:$B$550)-ROW(Накл!$B$9)+1),ROW(D270)-ROW(A265)+1)),"")," ",IFERROR(INDEX(Накл!$C$9:$C$550,SMALL(IF(Накл!$B$9:$B$550=A265,ROW(Накл!$B$9:$B$550)-ROW(Накл!$B$9)+1),ROW(D271)-ROW(A265)+1)),"")," ",IFERROR(INDEX(Накл!$C$9:$C$550,SMALL(IF(Накл!$B$9:$B$550=A265,ROW(Накл!$B$9:$B$550)-ROW(Накл!$B$9)+1),ROW(D272)-ROW(A265)+1)),"")," ",IFERROR(INDEX(Накл!$C$9:$C$550,SMALL(IF(Накл!$B$9:$B$550=A265,ROW(Накл!$B$9:$B$550)-ROW(Накл!$B$9)+1),ROW(D273)-ROW(A265)+1)),"")," ",IFERROR(INDEX(Накл!$C$9:$C$550,SMALL(IF(Накл!$B$9:$B$550=A265,ROW(Накл!$B$9:$B$550)-ROW(Накл!$B$9)+1),ROW(D274)-ROW(A265)+1)),""))</f>
        <v xml:space="preserve">         </v>
      </c>
      <c r="E265" s="26" t="str">
        <f t="array" ref="E265">IF(LEN(D265)&lt;10,CONCATENATE(IFERROR(INDEX(Накл!$C$9:$C$550,SMALL(IF(Накл!$A$9:$A$550=VALUE(LEFT(A265,8)),ROW(Накл!$A$9:$A$550)-ROW(Накл!$A$9)+1),ROW(E265)-ROW(B265)+1)),"")," ",IFERROR(INDEX(Накл!$C$9:$C$550,SMALL(IF(Накл!$A$9:$A$550=VALUE(LEFT(A265,8)),ROW(Накл!$A$9:$A$550)-ROW(Накл!$A$9)+1),ROW(E266)-ROW(B265)+1)),"")," ",IFERROR(INDEX(Накл!$C$9:$C$550,SMALL(IF(Накл!$A$9:$A$550=VALUE(LEFT(A265,8)),ROW(Накл!$A$9:$A$550)-ROW(Накл!$A$9)+1),ROW(E267)-ROW(B265)+1)),"")," ",IFERROR(INDEX(Накл!$C$9:$C$550,SMALL(IF(Накл!$A$9:$A$550=VALUE(LEFT(A265,8)),ROW(Накл!$A$9:$A$550)-ROW(Накл!$A$9)+1),ROW(E268)-ROW(B265)+1)),"")),"")</f>
        <v xml:space="preserve">   </v>
      </c>
    </row>
    <row r="266" spans="1:5">
      <c r="A266" s="26" t="str">
        <f>IFERROR(CONCATENATE(VALUE(SUBSTITUTE(SUBSTITUTE(LEFT(Накл!G273,11),".",""),"-",""))," ",Накл!J273),"-")</f>
        <v>-</v>
      </c>
      <c r="B266" s="26" t="str">
        <f>IFERROR(VLOOKUP(VALUE(LEFT(A266,8)),Накл!$A$9:$D$550,4,0),"-")</f>
        <v>-</v>
      </c>
      <c r="C266" s="26">
        <f>Накл!J273</f>
        <v>0</v>
      </c>
      <c r="D266" s="33" t="str">
        <f t="array" ref="D266">CONCATENATE(IFERROR(INDEX(Накл!$C$9:$C$550,SMALL(IF(Накл!$B$9:$B$550=A266,ROW(Накл!$B$9:$B$550)-ROW(Накл!$B$9)+1),ROW(D266)-ROW(A266)+1)),"")," ",IFERROR(INDEX(Накл!$C$9:$C$550,SMALL(IF(Накл!$B$9:$B$550=A266,ROW(Накл!$B$9:$B$550)-ROW(Накл!$B$9)+1),ROW(D267)-ROW(A266)+1)),"")," ",IFERROR(INDEX(Накл!$C$9:$C$550,SMALL(IF(Накл!$B$9:$B$550=A266,ROW(Накл!$B$9:$B$550)-ROW(Накл!$B$9)+1),ROW(D268)-ROW(A266)+1)),"")," ",IFERROR(INDEX(Накл!$C$9:$C$550,SMALL(IF(Накл!$B$9:$B$550=A266,ROW(Накл!$B$9:$B$550)-ROW(Накл!$B$9)+1),ROW(D269)-ROW(A266)+1)),"")," ",IFERROR(INDEX(Накл!$C$9:$C$550,SMALL(IF(Накл!$B$9:$B$550=A266,ROW(Накл!$B$9:$B$550)-ROW(Накл!$B$9)+1),ROW(D270)-ROW(A266)+1)),"")," ",IFERROR(INDEX(Накл!$C$9:$C$550,SMALL(IF(Накл!$B$9:$B$550=A266,ROW(Накл!$B$9:$B$550)-ROW(Накл!$B$9)+1),ROW(D271)-ROW(A266)+1)),"")," ",IFERROR(INDEX(Накл!$C$9:$C$550,SMALL(IF(Накл!$B$9:$B$550=A266,ROW(Накл!$B$9:$B$550)-ROW(Накл!$B$9)+1),ROW(D272)-ROW(A266)+1)),"")," ",IFERROR(INDEX(Накл!$C$9:$C$550,SMALL(IF(Накл!$B$9:$B$550=A266,ROW(Накл!$B$9:$B$550)-ROW(Накл!$B$9)+1),ROW(D273)-ROW(A266)+1)),"")," ",IFERROR(INDEX(Накл!$C$9:$C$550,SMALL(IF(Накл!$B$9:$B$550=A266,ROW(Накл!$B$9:$B$550)-ROW(Накл!$B$9)+1),ROW(D274)-ROW(A266)+1)),"")," ",IFERROR(INDEX(Накл!$C$9:$C$550,SMALL(IF(Накл!$B$9:$B$550=A266,ROW(Накл!$B$9:$B$550)-ROW(Накл!$B$9)+1),ROW(D275)-ROW(A266)+1)),""))</f>
        <v xml:space="preserve">         </v>
      </c>
      <c r="E266" s="26" t="str">
        <f t="array" ref="E266">IF(LEN(D266)&lt;10,CONCATENATE(IFERROR(INDEX(Накл!$C$9:$C$550,SMALL(IF(Накл!$A$9:$A$550=VALUE(LEFT(A266,8)),ROW(Накл!$A$9:$A$550)-ROW(Накл!$A$9)+1),ROW(E266)-ROW(B266)+1)),"")," ",IFERROR(INDEX(Накл!$C$9:$C$550,SMALL(IF(Накл!$A$9:$A$550=VALUE(LEFT(A266,8)),ROW(Накл!$A$9:$A$550)-ROW(Накл!$A$9)+1),ROW(E267)-ROW(B266)+1)),"")," ",IFERROR(INDEX(Накл!$C$9:$C$550,SMALL(IF(Накл!$A$9:$A$550=VALUE(LEFT(A266,8)),ROW(Накл!$A$9:$A$550)-ROW(Накл!$A$9)+1),ROW(E268)-ROW(B266)+1)),"")," ",IFERROR(INDEX(Накл!$C$9:$C$550,SMALL(IF(Накл!$A$9:$A$550=VALUE(LEFT(A266,8)),ROW(Накл!$A$9:$A$550)-ROW(Накл!$A$9)+1),ROW(E269)-ROW(B266)+1)),"")),"")</f>
        <v xml:space="preserve">   </v>
      </c>
    </row>
    <row r="267" spans="1:5">
      <c r="A267" s="26" t="str">
        <f>IFERROR(CONCATENATE(VALUE(SUBSTITUTE(SUBSTITUTE(LEFT(Накл!G274,11),".",""),"-",""))," ",Накл!J274),"-")</f>
        <v>-</v>
      </c>
      <c r="B267" s="26" t="str">
        <f>IFERROR(VLOOKUP(VALUE(LEFT(A267,8)),Накл!$A$9:$D$550,4,0),"-")</f>
        <v>-</v>
      </c>
      <c r="C267" s="26">
        <f>Накл!J274</f>
        <v>0</v>
      </c>
      <c r="D267" s="33" t="str">
        <f t="array" ref="D267">CONCATENATE(IFERROR(INDEX(Накл!$C$9:$C$550,SMALL(IF(Накл!$B$9:$B$550=A267,ROW(Накл!$B$9:$B$550)-ROW(Накл!$B$9)+1),ROW(D267)-ROW(A267)+1)),"")," ",IFERROR(INDEX(Накл!$C$9:$C$550,SMALL(IF(Накл!$B$9:$B$550=A267,ROW(Накл!$B$9:$B$550)-ROW(Накл!$B$9)+1),ROW(D268)-ROW(A267)+1)),"")," ",IFERROR(INDEX(Накл!$C$9:$C$550,SMALL(IF(Накл!$B$9:$B$550=A267,ROW(Накл!$B$9:$B$550)-ROW(Накл!$B$9)+1),ROW(D269)-ROW(A267)+1)),"")," ",IFERROR(INDEX(Накл!$C$9:$C$550,SMALL(IF(Накл!$B$9:$B$550=A267,ROW(Накл!$B$9:$B$550)-ROW(Накл!$B$9)+1),ROW(D270)-ROW(A267)+1)),"")," ",IFERROR(INDEX(Накл!$C$9:$C$550,SMALL(IF(Накл!$B$9:$B$550=A267,ROW(Накл!$B$9:$B$550)-ROW(Накл!$B$9)+1),ROW(D271)-ROW(A267)+1)),"")," ",IFERROR(INDEX(Накл!$C$9:$C$550,SMALL(IF(Накл!$B$9:$B$550=A267,ROW(Накл!$B$9:$B$550)-ROW(Накл!$B$9)+1),ROW(D272)-ROW(A267)+1)),"")," ",IFERROR(INDEX(Накл!$C$9:$C$550,SMALL(IF(Накл!$B$9:$B$550=A267,ROW(Накл!$B$9:$B$550)-ROW(Накл!$B$9)+1),ROW(D273)-ROW(A267)+1)),"")," ",IFERROR(INDEX(Накл!$C$9:$C$550,SMALL(IF(Накл!$B$9:$B$550=A267,ROW(Накл!$B$9:$B$550)-ROW(Накл!$B$9)+1),ROW(D274)-ROW(A267)+1)),"")," ",IFERROR(INDEX(Накл!$C$9:$C$550,SMALL(IF(Накл!$B$9:$B$550=A267,ROW(Накл!$B$9:$B$550)-ROW(Накл!$B$9)+1),ROW(D275)-ROW(A267)+1)),"")," ",IFERROR(INDEX(Накл!$C$9:$C$550,SMALL(IF(Накл!$B$9:$B$550=A267,ROW(Накл!$B$9:$B$550)-ROW(Накл!$B$9)+1),ROW(D276)-ROW(A267)+1)),""))</f>
        <v xml:space="preserve">         </v>
      </c>
      <c r="E267" s="26" t="str">
        <f t="array" ref="E267">IF(LEN(D267)&lt;10,CONCATENATE(IFERROR(INDEX(Накл!$C$9:$C$550,SMALL(IF(Накл!$A$9:$A$550=VALUE(LEFT(A267,8)),ROW(Накл!$A$9:$A$550)-ROW(Накл!$A$9)+1),ROW(E267)-ROW(B267)+1)),"")," ",IFERROR(INDEX(Накл!$C$9:$C$550,SMALL(IF(Накл!$A$9:$A$550=VALUE(LEFT(A267,8)),ROW(Накл!$A$9:$A$550)-ROW(Накл!$A$9)+1),ROW(E268)-ROW(B267)+1)),"")," ",IFERROR(INDEX(Накл!$C$9:$C$550,SMALL(IF(Накл!$A$9:$A$550=VALUE(LEFT(A267,8)),ROW(Накл!$A$9:$A$550)-ROW(Накл!$A$9)+1),ROW(E269)-ROW(B267)+1)),"")," ",IFERROR(INDEX(Накл!$C$9:$C$550,SMALL(IF(Накл!$A$9:$A$550=VALUE(LEFT(A267,8)),ROW(Накл!$A$9:$A$550)-ROW(Накл!$A$9)+1),ROW(E270)-ROW(B267)+1)),"")),"")</f>
        <v xml:space="preserve">   </v>
      </c>
    </row>
    <row r="268" spans="1:5">
      <c r="A268" s="26" t="str">
        <f>IFERROR(CONCATENATE(VALUE(SUBSTITUTE(SUBSTITUTE(LEFT(Накл!G275,11),".",""),"-",""))," ",Накл!J275),"-")</f>
        <v>-</v>
      </c>
      <c r="B268" s="26" t="str">
        <f>IFERROR(VLOOKUP(VALUE(LEFT(A268,8)),Накл!$A$9:$D$550,4,0),"-")</f>
        <v>-</v>
      </c>
      <c r="C268" s="26">
        <f>Накл!J275</f>
        <v>0</v>
      </c>
      <c r="D268" s="33" t="str">
        <f t="array" ref="D268">CONCATENATE(IFERROR(INDEX(Накл!$C$9:$C$550,SMALL(IF(Накл!$B$9:$B$550=A268,ROW(Накл!$B$9:$B$550)-ROW(Накл!$B$9)+1),ROW(D268)-ROW(A268)+1)),"")," ",IFERROR(INDEX(Накл!$C$9:$C$550,SMALL(IF(Накл!$B$9:$B$550=A268,ROW(Накл!$B$9:$B$550)-ROW(Накл!$B$9)+1),ROW(D269)-ROW(A268)+1)),"")," ",IFERROR(INDEX(Накл!$C$9:$C$550,SMALL(IF(Накл!$B$9:$B$550=A268,ROW(Накл!$B$9:$B$550)-ROW(Накл!$B$9)+1),ROW(D270)-ROW(A268)+1)),"")," ",IFERROR(INDEX(Накл!$C$9:$C$550,SMALL(IF(Накл!$B$9:$B$550=A268,ROW(Накл!$B$9:$B$550)-ROW(Накл!$B$9)+1),ROW(D271)-ROW(A268)+1)),"")," ",IFERROR(INDEX(Накл!$C$9:$C$550,SMALL(IF(Накл!$B$9:$B$550=A268,ROW(Накл!$B$9:$B$550)-ROW(Накл!$B$9)+1),ROW(D272)-ROW(A268)+1)),"")," ",IFERROR(INDEX(Накл!$C$9:$C$550,SMALL(IF(Накл!$B$9:$B$550=A268,ROW(Накл!$B$9:$B$550)-ROW(Накл!$B$9)+1),ROW(D273)-ROW(A268)+1)),"")," ",IFERROR(INDEX(Накл!$C$9:$C$550,SMALL(IF(Накл!$B$9:$B$550=A268,ROW(Накл!$B$9:$B$550)-ROW(Накл!$B$9)+1),ROW(D274)-ROW(A268)+1)),"")," ",IFERROR(INDEX(Накл!$C$9:$C$550,SMALL(IF(Накл!$B$9:$B$550=A268,ROW(Накл!$B$9:$B$550)-ROW(Накл!$B$9)+1),ROW(D275)-ROW(A268)+1)),"")," ",IFERROR(INDEX(Накл!$C$9:$C$550,SMALL(IF(Накл!$B$9:$B$550=A268,ROW(Накл!$B$9:$B$550)-ROW(Накл!$B$9)+1),ROW(D276)-ROW(A268)+1)),"")," ",IFERROR(INDEX(Накл!$C$9:$C$550,SMALL(IF(Накл!$B$9:$B$550=A268,ROW(Накл!$B$9:$B$550)-ROW(Накл!$B$9)+1),ROW(D277)-ROW(A268)+1)),""))</f>
        <v xml:space="preserve">         </v>
      </c>
      <c r="E268" s="26" t="str">
        <f t="array" ref="E268">IF(LEN(D268)&lt;10,CONCATENATE(IFERROR(INDEX(Накл!$C$9:$C$550,SMALL(IF(Накл!$A$9:$A$550=VALUE(LEFT(A268,8)),ROW(Накл!$A$9:$A$550)-ROW(Накл!$A$9)+1),ROW(E268)-ROW(B268)+1)),"")," ",IFERROR(INDEX(Накл!$C$9:$C$550,SMALL(IF(Накл!$A$9:$A$550=VALUE(LEFT(A268,8)),ROW(Накл!$A$9:$A$550)-ROW(Накл!$A$9)+1),ROW(E269)-ROW(B268)+1)),"")," ",IFERROR(INDEX(Накл!$C$9:$C$550,SMALL(IF(Накл!$A$9:$A$550=VALUE(LEFT(A268,8)),ROW(Накл!$A$9:$A$550)-ROW(Накл!$A$9)+1),ROW(E270)-ROW(B268)+1)),"")," ",IFERROR(INDEX(Накл!$C$9:$C$550,SMALL(IF(Накл!$A$9:$A$550=VALUE(LEFT(A268,8)),ROW(Накл!$A$9:$A$550)-ROW(Накл!$A$9)+1),ROW(E271)-ROW(B268)+1)),"")),"")</f>
        <v xml:space="preserve">   </v>
      </c>
    </row>
    <row r="269" spans="1:5">
      <c r="A269" s="26" t="str">
        <f>IFERROR(CONCATENATE(VALUE(SUBSTITUTE(SUBSTITUTE(LEFT(Накл!G276,11),".",""),"-",""))," ",Накл!J276),"-")</f>
        <v>-</v>
      </c>
      <c r="B269" s="26" t="str">
        <f>IFERROR(VLOOKUP(VALUE(LEFT(A269,8)),Накл!$A$9:$D$550,4,0),"-")</f>
        <v>-</v>
      </c>
      <c r="C269" s="26">
        <f>Накл!J276</f>
        <v>0</v>
      </c>
      <c r="D269" s="33" t="str">
        <f t="array" ref="D269">CONCATENATE(IFERROR(INDEX(Накл!$C$9:$C$550,SMALL(IF(Накл!$B$9:$B$550=A269,ROW(Накл!$B$9:$B$550)-ROW(Накл!$B$9)+1),ROW(D269)-ROW(A269)+1)),"")," ",IFERROR(INDEX(Накл!$C$9:$C$550,SMALL(IF(Накл!$B$9:$B$550=A269,ROW(Накл!$B$9:$B$550)-ROW(Накл!$B$9)+1),ROW(D270)-ROW(A269)+1)),"")," ",IFERROR(INDEX(Накл!$C$9:$C$550,SMALL(IF(Накл!$B$9:$B$550=A269,ROW(Накл!$B$9:$B$550)-ROW(Накл!$B$9)+1),ROW(D271)-ROW(A269)+1)),"")," ",IFERROR(INDEX(Накл!$C$9:$C$550,SMALL(IF(Накл!$B$9:$B$550=A269,ROW(Накл!$B$9:$B$550)-ROW(Накл!$B$9)+1),ROW(D272)-ROW(A269)+1)),"")," ",IFERROR(INDEX(Накл!$C$9:$C$550,SMALL(IF(Накл!$B$9:$B$550=A269,ROW(Накл!$B$9:$B$550)-ROW(Накл!$B$9)+1),ROW(D273)-ROW(A269)+1)),"")," ",IFERROR(INDEX(Накл!$C$9:$C$550,SMALL(IF(Накл!$B$9:$B$550=A269,ROW(Накл!$B$9:$B$550)-ROW(Накл!$B$9)+1),ROW(D274)-ROW(A269)+1)),"")," ",IFERROR(INDEX(Накл!$C$9:$C$550,SMALL(IF(Накл!$B$9:$B$550=A269,ROW(Накл!$B$9:$B$550)-ROW(Накл!$B$9)+1),ROW(D275)-ROW(A269)+1)),"")," ",IFERROR(INDEX(Накл!$C$9:$C$550,SMALL(IF(Накл!$B$9:$B$550=A269,ROW(Накл!$B$9:$B$550)-ROW(Накл!$B$9)+1),ROW(D276)-ROW(A269)+1)),"")," ",IFERROR(INDEX(Накл!$C$9:$C$550,SMALL(IF(Накл!$B$9:$B$550=A269,ROW(Накл!$B$9:$B$550)-ROW(Накл!$B$9)+1),ROW(D277)-ROW(A269)+1)),"")," ",IFERROR(INDEX(Накл!$C$9:$C$550,SMALL(IF(Накл!$B$9:$B$550=A269,ROW(Накл!$B$9:$B$550)-ROW(Накл!$B$9)+1),ROW(D278)-ROW(A269)+1)),""))</f>
        <v xml:space="preserve">         </v>
      </c>
      <c r="E269" s="26" t="str">
        <f t="array" ref="E269">IF(LEN(D269)&lt;10,CONCATENATE(IFERROR(INDEX(Накл!$C$9:$C$550,SMALL(IF(Накл!$A$9:$A$550=VALUE(LEFT(A269,8)),ROW(Накл!$A$9:$A$550)-ROW(Накл!$A$9)+1),ROW(E269)-ROW(B269)+1)),"")," ",IFERROR(INDEX(Накл!$C$9:$C$550,SMALL(IF(Накл!$A$9:$A$550=VALUE(LEFT(A269,8)),ROW(Накл!$A$9:$A$550)-ROW(Накл!$A$9)+1),ROW(E270)-ROW(B269)+1)),"")," ",IFERROR(INDEX(Накл!$C$9:$C$550,SMALL(IF(Накл!$A$9:$A$550=VALUE(LEFT(A269,8)),ROW(Накл!$A$9:$A$550)-ROW(Накл!$A$9)+1),ROW(E271)-ROW(B269)+1)),"")," ",IFERROR(INDEX(Накл!$C$9:$C$550,SMALL(IF(Накл!$A$9:$A$550=VALUE(LEFT(A269,8)),ROW(Накл!$A$9:$A$550)-ROW(Накл!$A$9)+1),ROW(E272)-ROW(B269)+1)),"")),"")</f>
        <v xml:space="preserve">   </v>
      </c>
    </row>
    <row r="270" spans="1:5">
      <c r="A270" s="26" t="str">
        <f>IFERROR(CONCATENATE(VALUE(SUBSTITUTE(SUBSTITUTE(LEFT(Накл!G277,11),".",""),"-",""))," ",Накл!J277),"-")</f>
        <v>-</v>
      </c>
      <c r="B270" s="26" t="str">
        <f>IFERROR(VLOOKUP(VALUE(LEFT(A270,8)),Накл!$A$9:$D$550,4,0),"-")</f>
        <v>-</v>
      </c>
      <c r="C270" s="26">
        <f>Накл!J277</f>
        <v>0</v>
      </c>
      <c r="D270" s="33" t="str">
        <f t="array" ref="D270">CONCATENATE(IFERROR(INDEX(Накл!$C$9:$C$550,SMALL(IF(Накл!$B$9:$B$550=A270,ROW(Накл!$B$9:$B$550)-ROW(Накл!$B$9)+1),ROW(D270)-ROW(A270)+1)),"")," ",IFERROR(INDEX(Накл!$C$9:$C$550,SMALL(IF(Накл!$B$9:$B$550=A270,ROW(Накл!$B$9:$B$550)-ROW(Накл!$B$9)+1),ROW(D271)-ROW(A270)+1)),"")," ",IFERROR(INDEX(Накл!$C$9:$C$550,SMALL(IF(Накл!$B$9:$B$550=A270,ROW(Накл!$B$9:$B$550)-ROW(Накл!$B$9)+1),ROW(D272)-ROW(A270)+1)),"")," ",IFERROR(INDEX(Накл!$C$9:$C$550,SMALL(IF(Накл!$B$9:$B$550=A270,ROW(Накл!$B$9:$B$550)-ROW(Накл!$B$9)+1),ROW(D273)-ROW(A270)+1)),"")," ",IFERROR(INDEX(Накл!$C$9:$C$550,SMALL(IF(Накл!$B$9:$B$550=A270,ROW(Накл!$B$9:$B$550)-ROW(Накл!$B$9)+1),ROW(D274)-ROW(A270)+1)),"")," ",IFERROR(INDEX(Накл!$C$9:$C$550,SMALL(IF(Накл!$B$9:$B$550=A270,ROW(Накл!$B$9:$B$550)-ROW(Накл!$B$9)+1),ROW(D275)-ROW(A270)+1)),"")," ",IFERROR(INDEX(Накл!$C$9:$C$550,SMALL(IF(Накл!$B$9:$B$550=A270,ROW(Накл!$B$9:$B$550)-ROW(Накл!$B$9)+1),ROW(D276)-ROW(A270)+1)),"")," ",IFERROR(INDEX(Накл!$C$9:$C$550,SMALL(IF(Накл!$B$9:$B$550=A270,ROW(Накл!$B$9:$B$550)-ROW(Накл!$B$9)+1),ROW(D277)-ROW(A270)+1)),"")," ",IFERROR(INDEX(Накл!$C$9:$C$550,SMALL(IF(Накл!$B$9:$B$550=A270,ROW(Накл!$B$9:$B$550)-ROW(Накл!$B$9)+1),ROW(D278)-ROW(A270)+1)),"")," ",IFERROR(INDEX(Накл!$C$9:$C$550,SMALL(IF(Накл!$B$9:$B$550=A270,ROW(Накл!$B$9:$B$550)-ROW(Накл!$B$9)+1),ROW(D279)-ROW(A270)+1)),""))</f>
        <v xml:space="preserve">         </v>
      </c>
      <c r="E270" s="26" t="str">
        <f t="array" ref="E270">IF(LEN(D270)&lt;10,CONCATENATE(IFERROR(INDEX(Накл!$C$9:$C$550,SMALL(IF(Накл!$A$9:$A$550=VALUE(LEFT(A270,8)),ROW(Накл!$A$9:$A$550)-ROW(Накл!$A$9)+1),ROW(E270)-ROW(B270)+1)),"")," ",IFERROR(INDEX(Накл!$C$9:$C$550,SMALL(IF(Накл!$A$9:$A$550=VALUE(LEFT(A270,8)),ROW(Накл!$A$9:$A$550)-ROW(Накл!$A$9)+1),ROW(E271)-ROW(B270)+1)),"")," ",IFERROR(INDEX(Накл!$C$9:$C$550,SMALL(IF(Накл!$A$9:$A$550=VALUE(LEFT(A270,8)),ROW(Накл!$A$9:$A$550)-ROW(Накл!$A$9)+1),ROW(E272)-ROW(B270)+1)),"")," ",IFERROR(INDEX(Накл!$C$9:$C$550,SMALL(IF(Накл!$A$9:$A$550=VALUE(LEFT(A270,8)),ROW(Накл!$A$9:$A$550)-ROW(Накл!$A$9)+1),ROW(E273)-ROW(B270)+1)),"")),"")</f>
        <v xml:space="preserve">   </v>
      </c>
    </row>
    <row r="271" spans="1:5">
      <c r="A271" s="26" t="str">
        <f>IFERROR(CONCATENATE(VALUE(SUBSTITUTE(SUBSTITUTE(LEFT(Накл!G278,11),".",""),"-",""))," ",Накл!J278),"-")</f>
        <v>-</v>
      </c>
      <c r="B271" s="26" t="str">
        <f>IFERROR(VLOOKUP(VALUE(LEFT(A271,8)),Накл!$A$9:$D$550,4,0),"-")</f>
        <v>-</v>
      </c>
      <c r="C271" s="26">
        <f>Накл!J278</f>
        <v>0</v>
      </c>
      <c r="D271" s="33" t="str">
        <f t="array" ref="D271">CONCATENATE(IFERROR(INDEX(Накл!$C$9:$C$550,SMALL(IF(Накл!$B$9:$B$550=A271,ROW(Накл!$B$9:$B$550)-ROW(Накл!$B$9)+1),ROW(D271)-ROW(A271)+1)),"")," ",IFERROR(INDEX(Накл!$C$9:$C$550,SMALL(IF(Накл!$B$9:$B$550=A271,ROW(Накл!$B$9:$B$550)-ROW(Накл!$B$9)+1),ROW(D272)-ROW(A271)+1)),"")," ",IFERROR(INDEX(Накл!$C$9:$C$550,SMALL(IF(Накл!$B$9:$B$550=A271,ROW(Накл!$B$9:$B$550)-ROW(Накл!$B$9)+1),ROW(D273)-ROW(A271)+1)),"")," ",IFERROR(INDEX(Накл!$C$9:$C$550,SMALL(IF(Накл!$B$9:$B$550=A271,ROW(Накл!$B$9:$B$550)-ROW(Накл!$B$9)+1),ROW(D274)-ROW(A271)+1)),"")," ",IFERROR(INDEX(Накл!$C$9:$C$550,SMALL(IF(Накл!$B$9:$B$550=A271,ROW(Накл!$B$9:$B$550)-ROW(Накл!$B$9)+1),ROW(D275)-ROW(A271)+1)),"")," ",IFERROR(INDEX(Накл!$C$9:$C$550,SMALL(IF(Накл!$B$9:$B$550=A271,ROW(Накл!$B$9:$B$550)-ROW(Накл!$B$9)+1),ROW(D276)-ROW(A271)+1)),"")," ",IFERROR(INDEX(Накл!$C$9:$C$550,SMALL(IF(Накл!$B$9:$B$550=A271,ROW(Накл!$B$9:$B$550)-ROW(Накл!$B$9)+1),ROW(D277)-ROW(A271)+1)),"")," ",IFERROR(INDEX(Накл!$C$9:$C$550,SMALL(IF(Накл!$B$9:$B$550=A271,ROW(Накл!$B$9:$B$550)-ROW(Накл!$B$9)+1),ROW(D278)-ROW(A271)+1)),"")," ",IFERROR(INDEX(Накл!$C$9:$C$550,SMALL(IF(Накл!$B$9:$B$550=A271,ROW(Накл!$B$9:$B$550)-ROW(Накл!$B$9)+1),ROW(D279)-ROW(A271)+1)),"")," ",IFERROR(INDEX(Накл!$C$9:$C$550,SMALL(IF(Накл!$B$9:$B$550=A271,ROW(Накл!$B$9:$B$550)-ROW(Накл!$B$9)+1),ROW(D280)-ROW(A271)+1)),""))</f>
        <v xml:space="preserve">         </v>
      </c>
      <c r="E271" s="26" t="str">
        <f t="array" ref="E271">IF(LEN(D271)&lt;10,CONCATENATE(IFERROR(INDEX(Накл!$C$9:$C$550,SMALL(IF(Накл!$A$9:$A$550=VALUE(LEFT(A271,8)),ROW(Накл!$A$9:$A$550)-ROW(Накл!$A$9)+1),ROW(E271)-ROW(B271)+1)),"")," ",IFERROR(INDEX(Накл!$C$9:$C$550,SMALL(IF(Накл!$A$9:$A$550=VALUE(LEFT(A271,8)),ROW(Накл!$A$9:$A$550)-ROW(Накл!$A$9)+1),ROW(E272)-ROW(B271)+1)),"")," ",IFERROR(INDEX(Накл!$C$9:$C$550,SMALL(IF(Накл!$A$9:$A$550=VALUE(LEFT(A271,8)),ROW(Накл!$A$9:$A$550)-ROW(Накл!$A$9)+1),ROW(E273)-ROW(B271)+1)),"")," ",IFERROR(INDEX(Накл!$C$9:$C$550,SMALL(IF(Накл!$A$9:$A$550=VALUE(LEFT(A271,8)),ROW(Накл!$A$9:$A$550)-ROW(Накл!$A$9)+1),ROW(E274)-ROW(B271)+1)),"")),"")</f>
        <v xml:space="preserve">   </v>
      </c>
    </row>
    <row r="272" spans="1:5">
      <c r="A272" s="26" t="str">
        <f>IFERROR(CONCATENATE(VALUE(SUBSTITUTE(SUBSTITUTE(LEFT(Накл!G279,11),".",""),"-",""))," ",Накл!J279),"-")</f>
        <v>-</v>
      </c>
      <c r="B272" s="26" t="str">
        <f>IFERROR(VLOOKUP(VALUE(LEFT(A272,8)),Накл!$A$9:$D$550,4,0),"-")</f>
        <v>-</v>
      </c>
      <c r="C272" s="26">
        <f>Накл!J279</f>
        <v>0</v>
      </c>
      <c r="D272" s="33" t="str">
        <f t="array" ref="D272">CONCATENATE(IFERROR(INDEX(Накл!$C$9:$C$550,SMALL(IF(Накл!$B$9:$B$550=A272,ROW(Накл!$B$9:$B$550)-ROW(Накл!$B$9)+1),ROW(D272)-ROW(A272)+1)),"")," ",IFERROR(INDEX(Накл!$C$9:$C$550,SMALL(IF(Накл!$B$9:$B$550=A272,ROW(Накл!$B$9:$B$550)-ROW(Накл!$B$9)+1),ROW(D273)-ROW(A272)+1)),"")," ",IFERROR(INDEX(Накл!$C$9:$C$550,SMALL(IF(Накл!$B$9:$B$550=A272,ROW(Накл!$B$9:$B$550)-ROW(Накл!$B$9)+1),ROW(D274)-ROW(A272)+1)),"")," ",IFERROR(INDEX(Накл!$C$9:$C$550,SMALL(IF(Накл!$B$9:$B$550=A272,ROW(Накл!$B$9:$B$550)-ROW(Накл!$B$9)+1),ROW(D275)-ROW(A272)+1)),"")," ",IFERROR(INDEX(Накл!$C$9:$C$550,SMALL(IF(Накл!$B$9:$B$550=A272,ROW(Накл!$B$9:$B$550)-ROW(Накл!$B$9)+1),ROW(D276)-ROW(A272)+1)),"")," ",IFERROR(INDEX(Накл!$C$9:$C$550,SMALL(IF(Накл!$B$9:$B$550=A272,ROW(Накл!$B$9:$B$550)-ROW(Накл!$B$9)+1),ROW(D277)-ROW(A272)+1)),"")," ",IFERROR(INDEX(Накл!$C$9:$C$550,SMALL(IF(Накл!$B$9:$B$550=A272,ROW(Накл!$B$9:$B$550)-ROW(Накл!$B$9)+1),ROW(D278)-ROW(A272)+1)),"")," ",IFERROR(INDEX(Накл!$C$9:$C$550,SMALL(IF(Накл!$B$9:$B$550=A272,ROW(Накл!$B$9:$B$550)-ROW(Накл!$B$9)+1),ROW(D279)-ROW(A272)+1)),"")," ",IFERROR(INDEX(Накл!$C$9:$C$550,SMALL(IF(Накл!$B$9:$B$550=A272,ROW(Накл!$B$9:$B$550)-ROW(Накл!$B$9)+1),ROW(D280)-ROW(A272)+1)),"")," ",IFERROR(INDEX(Накл!$C$9:$C$550,SMALL(IF(Накл!$B$9:$B$550=A272,ROW(Накл!$B$9:$B$550)-ROW(Накл!$B$9)+1),ROW(D281)-ROW(A272)+1)),""))</f>
        <v xml:space="preserve">         </v>
      </c>
      <c r="E272" s="26" t="str">
        <f t="array" ref="E272">IF(LEN(D272)&lt;10,CONCATENATE(IFERROR(INDEX(Накл!$C$9:$C$550,SMALL(IF(Накл!$A$9:$A$550=VALUE(LEFT(A272,8)),ROW(Накл!$A$9:$A$550)-ROW(Накл!$A$9)+1),ROW(E272)-ROW(B272)+1)),"")," ",IFERROR(INDEX(Накл!$C$9:$C$550,SMALL(IF(Накл!$A$9:$A$550=VALUE(LEFT(A272,8)),ROW(Накл!$A$9:$A$550)-ROW(Накл!$A$9)+1),ROW(E273)-ROW(B272)+1)),"")," ",IFERROR(INDEX(Накл!$C$9:$C$550,SMALL(IF(Накл!$A$9:$A$550=VALUE(LEFT(A272,8)),ROW(Накл!$A$9:$A$550)-ROW(Накл!$A$9)+1),ROW(E274)-ROW(B272)+1)),"")," ",IFERROR(INDEX(Накл!$C$9:$C$550,SMALL(IF(Накл!$A$9:$A$550=VALUE(LEFT(A272,8)),ROW(Накл!$A$9:$A$550)-ROW(Накл!$A$9)+1),ROW(E275)-ROW(B272)+1)),"")),"")</f>
        <v xml:space="preserve">   </v>
      </c>
    </row>
    <row r="273" spans="1:5">
      <c r="A273" s="26" t="str">
        <f>IFERROR(CONCATENATE(VALUE(SUBSTITUTE(SUBSTITUTE(LEFT(Накл!G280,11),".",""),"-",""))," ",Накл!J280),"-")</f>
        <v>-</v>
      </c>
      <c r="B273" s="26" t="str">
        <f>IFERROR(VLOOKUP(VALUE(LEFT(A273,8)),Накл!$A$9:$D$550,4,0),"-")</f>
        <v>-</v>
      </c>
      <c r="C273" s="26">
        <f>Накл!J280</f>
        <v>0</v>
      </c>
      <c r="D273" s="33" t="str">
        <f t="array" ref="D273">CONCATENATE(IFERROR(INDEX(Накл!$C$9:$C$550,SMALL(IF(Накл!$B$9:$B$550=A273,ROW(Накл!$B$9:$B$550)-ROW(Накл!$B$9)+1),ROW(D273)-ROW(A273)+1)),"")," ",IFERROR(INDEX(Накл!$C$9:$C$550,SMALL(IF(Накл!$B$9:$B$550=A273,ROW(Накл!$B$9:$B$550)-ROW(Накл!$B$9)+1),ROW(D274)-ROW(A273)+1)),"")," ",IFERROR(INDEX(Накл!$C$9:$C$550,SMALL(IF(Накл!$B$9:$B$550=A273,ROW(Накл!$B$9:$B$550)-ROW(Накл!$B$9)+1),ROW(D275)-ROW(A273)+1)),"")," ",IFERROR(INDEX(Накл!$C$9:$C$550,SMALL(IF(Накл!$B$9:$B$550=A273,ROW(Накл!$B$9:$B$550)-ROW(Накл!$B$9)+1),ROW(D276)-ROW(A273)+1)),"")," ",IFERROR(INDEX(Накл!$C$9:$C$550,SMALL(IF(Накл!$B$9:$B$550=A273,ROW(Накл!$B$9:$B$550)-ROW(Накл!$B$9)+1),ROW(D277)-ROW(A273)+1)),"")," ",IFERROR(INDEX(Накл!$C$9:$C$550,SMALL(IF(Накл!$B$9:$B$550=A273,ROW(Накл!$B$9:$B$550)-ROW(Накл!$B$9)+1),ROW(D278)-ROW(A273)+1)),"")," ",IFERROR(INDEX(Накл!$C$9:$C$550,SMALL(IF(Накл!$B$9:$B$550=A273,ROW(Накл!$B$9:$B$550)-ROW(Накл!$B$9)+1),ROW(D279)-ROW(A273)+1)),"")," ",IFERROR(INDEX(Накл!$C$9:$C$550,SMALL(IF(Накл!$B$9:$B$550=A273,ROW(Накл!$B$9:$B$550)-ROW(Накл!$B$9)+1),ROW(D280)-ROW(A273)+1)),"")," ",IFERROR(INDEX(Накл!$C$9:$C$550,SMALL(IF(Накл!$B$9:$B$550=A273,ROW(Накл!$B$9:$B$550)-ROW(Накл!$B$9)+1),ROW(D281)-ROW(A273)+1)),"")," ",IFERROR(INDEX(Накл!$C$9:$C$550,SMALL(IF(Накл!$B$9:$B$550=A273,ROW(Накл!$B$9:$B$550)-ROW(Накл!$B$9)+1),ROW(D282)-ROW(A273)+1)),""))</f>
        <v xml:space="preserve">         </v>
      </c>
      <c r="E273" s="26" t="str">
        <f t="array" ref="E273">IF(LEN(D273)&lt;10,CONCATENATE(IFERROR(INDEX(Накл!$C$9:$C$550,SMALL(IF(Накл!$A$9:$A$550=VALUE(LEFT(A273,8)),ROW(Накл!$A$9:$A$550)-ROW(Накл!$A$9)+1),ROW(E273)-ROW(B273)+1)),"")," ",IFERROR(INDEX(Накл!$C$9:$C$550,SMALL(IF(Накл!$A$9:$A$550=VALUE(LEFT(A273,8)),ROW(Накл!$A$9:$A$550)-ROW(Накл!$A$9)+1),ROW(E274)-ROW(B273)+1)),"")," ",IFERROR(INDEX(Накл!$C$9:$C$550,SMALL(IF(Накл!$A$9:$A$550=VALUE(LEFT(A273,8)),ROW(Накл!$A$9:$A$550)-ROW(Накл!$A$9)+1),ROW(E275)-ROW(B273)+1)),"")," ",IFERROR(INDEX(Накл!$C$9:$C$550,SMALL(IF(Накл!$A$9:$A$550=VALUE(LEFT(A273,8)),ROW(Накл!$A$9:$A$550)-ROW(Накл!$A$9)+1),ROW(E276)-ROW(B273)+1)),"")),"")</f>
        <v xml:space="preserve">   </v>
      </c>
    </row>
    <row r="274" spans="1:5">
      <c r="A274" s="26" t="str">
        <f>IFERROR(CONCATENATE(VALUE(SUBSTITUTE(SUBSTITUTE(LEFT(Накл!G281,11),".",""),"-",""))," ",Накл!J281),"-")</f>
        <v>-</v>
      </c>
      <c r="B274" s="26" t="str">
        <f>IFERROR(VLOOKUP(VALUE(LEFT(A274,8)),Накл!$A$9:$D$550,4,0),"-")</f>
        <v>-</v>
      </c>
      <c r="C274" s="26">
        <f>Накл!J281</f>
        <v>0</v>
      </c>
      <c r="D274" s="33" t="str">
        <f t="array" ref="D274">CONCATENATE(IFERROR(INDEX(Накл!$C$9:$C$550,SMALL(IF(Накл!$B$9:$B$550=A274,ROW(Накл!$B$9:$B$550)-ROW(Накл!$B$9)+1),ROW(D274)-ROW(A274)+1)),"")," ",IFERROR(INDEX(Накл!$C$9:$C$550,SMALL(IF(Накл!$B$9:$B$550=A274,ROW(Накл!$B$9:$B$550)-ROW(Накл!$B$9)+1),ROW(D275)-ROW(A274)+1)),"")," ",IFERROR(INDEX(Накл!$C$9:$C$550,SMALL(IF(Накл!$B$9:$B$550=A274,ROW(Накл!$B$9:$B$550)-ROW(Накл!$B$9)+1),ROW(D276)-ROW(A274)+1)),"")," ",IFERROR(INDEX(Накл!$C$9:$C$550,SMALL(IF(Накл!$B$9:$B$550=A274,ROW(Накл!$B$9:$B$550)-ROW(Накл!$B$9)+1),ROW(D277)-ROW(A274)+1)),"")," ",IFERROR(INDEX(Накл!$C$9:$C$550,SMALL(IF(Накл!$B$9:$B$550=A274,ROW(Накл!$B$9:$B$550)-ROW(Накл!$B$9)+1),ROW(D278)-ROW(A274)+1)),"")," ",IFERROR(INDEX(Накл!$C$9:$C$550,SMALL(IF(Накл!$B$9:$B$550=A274,ROW(Накл!$B$9:$B$550)-ROW(Накл!$B$9)+1),ROW(D279)-ROW(A274)+1)),"")," ",IFERROR(INDEX(Накл!$C$9:$C$550,SMALL(IF(Накл!$B$9:$B$550=A274,ROW(Накл!$B$9:$B$550)-ROW(Накл!$B$9)+1),ROW(D280)-ROW(A274)+1)),"")," ",IFERROR(INDEX(Накл!$C$9:$C$550,SMALL(IF(Накл!$B$9:$B$550=A274,ROW(Накл!$B$9:$B$550)-ROW(Накл!$B$9)+1),ROW(D281)-ROW(A274)+1)),"")," ",IFERROR(INDEX(Накл!$C$9:$C$550,SMALL(IF(Накл!$B$9:$B$550=A274,ROW(Накл!$B$9:$B$550)-ROW(Накл!$B$9)+1),ROW(D282)-ROW(A274)+1)),"")," ",IFERROR(INDEX(Накл!$C$9:$C$550,SMALL(IF(Накл!$B$9:$B$550=A274,ROW(Накл!$B$9:$B$550)-ROW(Накл!$B$9)+1),ROW(D283)-ROW(A274)+1)),""))</f>
        <v xml:space="preserve">         </v>
      </c>
      <c r="E274" s="26" t="str">
        <f t="array" ref="E274">IF(LEN(D274)&lt;10,CONCATENATE(IFERROR(INDEX(Накл!$C$9:$C$550,SMALL(IF(Накл!$A$9:$A$550=VALUE(LEFT(A274,8)),ROW(Накл!$A$9:$A$550)-ROW(Накл!$A$9)+1),ROW(E274)-ROW(B274)+1)),"")," ",IFERROR(INDEX(Накл!$C$9:$C$550,SMALL(IF(Накл!$A$9:$A$550=VALUE(LEFT(A274,8)),ROW(Накл!$A$9:$A$550)-ROW(Накл!$A$9)+1),ROW(E275)-ROW(B274)+1)),"")," ",IFERROR(INDEX(Накл!$C$9:$C$550,SMALL(IF(Накл!$A$9:$A$550=VALUE(LEFT(A274,8)),ROW(Накл!$A$9:$A$550)-ROW(Накл!$A$9)+1),ROW(E276)-ROW(B274)+1)),"")," ",IFERROR(INDEX(Накл!$C$9:$C$550,SMALL(IF(Накл!$A$9:$A$550=VALUE(LEFT(A274,8)),ROW(Накл!$A$9:$A$550)-ROW(Накл!$A$9)+1),ROW(E277)-ROW(B274)+1)),"")),"")</f>
        <v xml:space="preserve">   </v>
      </c>
    </row>
    <row r="275" spans="1:5">
      <c r="A275" s="26" t="str">
        <f>IFERROR(CONCATENATE(VALUE(SUBSTITUTE(SUBSTITUTE(LEFT(Накл!G282,11),".",""),"-",""))," ",Накл!J282),"-")</f>
        <v>-</v>
      </c>
      <c r="B275" s="26" t="str">
        <f>IFERROR(VLOOKUP(VALUE(LEFT(A275,8)),Накл!$A$9:$D$550,4,0),"-")</f>
        <v>-</v>
      </c>
      <c r="C275" s="26">
        <f>Накл!J282</f>
        <v>0</v>
      </c>
      <c r="D275" s="33" t="str">
        <f t="array" ref="D275">CONCATENATE(IFERROR(INDEX(Накл!$C$9:$C$550,SMALL(IF(Накл!$B$9:$B$550=A275,ROW(Накл!$B$9:$B$550)-ROW(Накл!$B$9)+1),ROW(D275)-ROW(A275)+1)),"")," ",IFERROR(INDEX(Накл!$C$9:$C$550,SMALL(IF(Накл!$B$9:$B$550=A275,ROW(Накл!$B$9:$B$550)-ROW(Накл!$B$9)+1),ROW(D276)-ROW(A275)+1)),"")," ",IFERROR(INDEX(Накл!$C$9:$C$550,SMALL(IF(Накл!$B$9:$B$550=A275,ROW(Накл!$B$9:$B$550)-ROW(Накл!$B$9)+1),ROW(D277)-ROW(A275)+1)),"")," ",IFERROR(INDEX(Накл!$C$9:$C$550,SMALL(IF(Накл!$B$9:$B$550=A275,ROW(Накл!$B$9:$B$550)-ROW(Накл!$B$9)+1),ROW(D278)-ROW(A275)+1)),"")," ",IFERROR(INDEX(Накл!$C$9:$C$550,SMALL(IF(Накл!$B$9:$B$550=A275,ROW(Накл!$B$9:$B$550)-ROW(Накл!$B$9)+1),ROW(D279)-ROW(A275)+1)),"")," ",IFERROR(INDEX(Накл!$C$9:$C$550,SMALL(IF(Накл!$B$9:$B$550=A275,ROW(Накл!$B$9:$B$550)-ROW(Накл!$B$9)+1),ROW(D280)-ROW(A275)+1)),"")," ",IFERROR(INDEX(Накл!$C$9:$C$550,SMALL(IF(Накл!$B$9:$B$550=A275,ROW(Накл!$B$9:$B$550)-ROW(Накл!$B$9)+1),ROW(D281)-ROW(A275)+1)),"")," ",IFERROR(INDEX(Накл!$C$9:$C$550,SMALL(IF(Накл!$B$9:$B$550=A275,ROW(Накл!$B$9:$B$550)-ROW(Накл!$B$9)+1),ROW(D282)-ROW(A275)+1)),"")," ",IFERROR(INDEX(Накл!$C$9:$C$550,SMALL(IF(Накл!$B$9:$B$550=A275,ROW(Накл!$B$9:$B$550)-ROW(Накл!$B$9)+1),ROW(D283)-ROW(A275)+1)),"")," ",IFERROR(INDEX(Накл!$C$9:$C$550,SMALL(IF(Накл!$B$9:$B$550=A275,ROW(Накл!$B$9:$B$550)-ROW(Накл!$B$9)+1),ROW(D284)-ROW(A275)+1)),""))</f>
        <v xml:space="preserve">         </v>
      </c>
      <c r="E275" s="26" t="str">
        <f t="array" ref="E275">IF(LEN(D275)&lt;10,CONCATENATE(IFERROR(INDEX(Накл!$C$9:$C$550,SMALL(IF(Накл!$A$9:$A$550=VALUE(LEFT(A275,8)),ROW(Накл!$A$9:$A$550)-ROW(Накл!$A$9)+1),ROW(E275)-ROW(B275)+1)),"")," ",IFERROR(INDEX(Накл!$C$9:$C$550,SMALL(IF(Накл!$A$9:$A$550=VALUE(LEFT(A275,8)),ROW(Накл!$A$9:$A$550)-ROW(Накл!$A$9)+1),ROW(E276)-ROW(B275)+1)),"")," ",IFERROR(INDEX(Накл!$C$9:$C$550,SMALL(IF(Накл!$A$9:$A$550=VALUE(LEFT(A275,8)),ROW(Накл!$A$9:$A$550)-ROW(Накл!$A$9)+1),ROW(E277)-ROW(B275)+1)),"")," ",IFERROR(INDEX(Накл!$C$9:$C$550,SMALL(IF(Накл!$A$9:$A$550=VALUE(LEFT(A275,8)),ROW(Накл!$A$9:$A$550)-ROW(Накл!$A$9)+1),ROW(E278)-ROW(B275)+1)),"")),"")</f>
        <v xml:space="preserve">   </v>
      </c>
    </row>
    <row r="276" spans="1:5">
      <c r="A276" s="26" t="str">
        <f>IFERROR(CONCATENATE(VALUE(SUBSTITUTE(SUBSTITUTE(LEFT(Накл!G283,11),".",""),"-",""))," ",Накл!J283),"-")</f>
        <v>-</v>
      </c>
      <c r="B276" s="26" t="str">
        <f>IFERROR(VLOOKUP(VALUE(LEFT(A276,8)),Накл!$A$9:$D$550,4,0),"-")</f>
        <v>-</v>
      </c>
      <c r="C276" s="26">
        <f>Накл!J283</f>
        <v>0</v>
      </c>
      <c r="D276" s="33" t="str">
        <f t="array" ref="D276">CONCATENATE(IFERROR(INDEX(Накл!$C$9:$C$550,SMALL(IF(Накл!$B$9:$B$550=A276,ROW(Накл!$B$9:$B$550)-ROW(Накл!$B$9)+1),ROW(D276)-ROW(A276)+1)),"")," ",IFERROR(INDEX(Накл!$C$9:$C$550,SMALL(IF(Накл!$B$9:$B$550=A276,ROW(Накл!$B$9:$B$550)-ROW(Накл!$B$9)+1),ROW(D277)-ROW(A276)+1)),"")," ",IFERROR(INDEX(Накл!$C$9:$C$550,SMALL(IF(Накл!$B$9:$B$550=A276,ROW(Накл!$B$9:$B$550)-ROW(Накл!$B$9)+1),ROW(D278)-ROW(A276)+1)),"")," ",IFERROR(INDEX(Накл!$C$9:$C$550,SMALL(IF(Накл!$B$9:$B$550=A276,ROW(Накл!$B$9:$B$550)-ROW(Накл!$B$9)+1),ROW(D279)-ROW(A276)+1)),"")," ",IFERROR(INDEX(Накл!$C$9:$C$550,SMALL(IF(Накл!$B$9:$B$550=A276,ROW(Накл!$B$9:$B$550)-ROW(Накл!$B$9)+1),ROW(D280)-ROW(A276)+1)),"")," ",IFERROR(INDEX(Накл!$C$9:$C$550,SMALL(IF(Накл!$B$9:$B$550=A276,ROW(Накл!$B$9:$B$550)-ROW(Накл!$B$9)+1),ROW(D281)-ROW(A276)+1)),"")," ",IFERROR(INDEX(Накл!$C$9:$C$550,SMALL(IF(Накл!$B$9:$B$550=A276,ROW(Накл!$B$9:$B$550)-ROW(Накл!$B$9)+1),ROW(D282)-ROW(A276)+1)),"")," ",IFERROR(INDEX(Накл!$C$9:$C$550,SMALL(IF(Накл!$B$9:$B$550=A276,ROW(Накл!$B$9:$B$550)-ROW(Накл!$B$9)+1),ROW(D283)-ROW(A276)+1)),"")," ",IFERROR(INDEX(Накл!$C$9:$C$550,SMALL(IF(Накл!$B$9:$B$550=A276,ROW(Накл!$B$9:$B$550)-ROW(Накл!$B$9)+1),ROW(D284)-ROW(A276)+1)),"")," ",IFERROR(INDEX(Накл!$C$9:$C$550,SMALL(IF(Накл!$B$9:$B$550=A276,ROW(Накл!$B$9:$B$550)-ROW(Накл!$B$9)+1),ROW(D285)-ROW(A276)+1)),""))</f>
        <v xml:space="preserve">         </v>
      </c>
      <c r="E276" s="26" t="str">
        <f t="array" ref="E276">IF(LEN(D276)&lt;10,CONCATENATE(IFERROR(INDEX(Накл!$C$9:$C$550,SMALL(IF(Накл!$A$9:$A$550=VALUE(LEFT(A276,8)),ROW(Накл!$A$9:$A$550)-ROW(Накл!$A$9)+1),ROW(E276)-ROW(B276)+1)),"")," ",IFERROR(INDEX(Накл!$C$9:$C$550,SMALL(IF(Накл!$A$9:$A$550=VALUE(LEFT(A276,8)),ROW(Накл!$A$9:$A$550)-ROW(Накл!$A$9)+1),ROW(E277)-ROW(B276)+1)),"")," ",IFERROR(INDEX(Накл!$C$9:$C$550,SMALL(IF(Накл!$A$9:$A$550=VALUE(LEFT(A276,8)),ROW(Накл!$A$9:$A$550)-ROW(Накл!$A$9)+1),ROW(E278)-ROW(B276)+1)),"")," ",IFERROR(INDEX(Накл!$C$9:$C$550,SMALL(IF(Накл!$A$9:$A$550=VALUE(LEFT(A276,8)),ROW(Накл!$A$9:$A$550)-ROW(Накл!$A$9)+1),ROW(E279)-ROW(B276)+1)),"")),"")</f>
        <v xml:space="preserve">   </v>
      </c>
    </row>
    <row r="277" spans="1:5">
      <c r="A277" s="26" t="str">
        <f>IFERROR(CONCATENATE(VALUE(SUBSTITUTE(SUBSTITUTE(LEFT(Накл!G284,11),".",""),"-",""))," ",Накл!J284),"-")</f>
        <v>-</v>
      </c>
      <c r="B277" s="26" t="str">
        <f>IFERROR(VLOOKUP(VALUE(LEFT(A277,8)),Накл!$A$9:$D$550,4,0),"-")</f>
        <v>-</v>
      </c>
      <c r="C277" s="26">
        <f>Накл!J284</f>
        <v>0</v>
      </c>
      <c r="D277" s="33" t="str">
        <f t="array" ref="D277">CONCATENATE(IFERROR(INDEX(Накл!$C$9:$C$550,SMALL(IF(Накл!$B$9:$B$550=A277,ROW(Накл!$B$9:$B$550)-ROW(Накл!$B$9)+1),ROW(D277)-ROW(A277)+1)),"")," ",IFERROR(INDEX(Накл!$C$9:$C$550,SMALL(IF(Накл!$B$9:$B$550=A277,ROW(Накл!$B$9:$B$550)-ROW(Накл!$B$9)+1),ROW(D278)-ROW(A277)+1)),"")," ",IFERROR(INDEX(Накл!$C$9:$C$550,SMALL(IF(Накл!$B$9:$B$550=A277,ROW(Накл!$B$9:$B$550)-ROW(Накл!$B$9)+1),ROW(D279)-ROW(A277)+1)),"")," ",IFERROR(INDEX(Накл!$C$9:$C$550,SMALL(IF(Накл!$B$9:$B$550=A277,ROW(Накл!$B$9:$B$550)-ROW(Накл!$B$9)+1),ROW(D280)-ROW(A277)+1)),"")," ",IFERROR(INDEX(Накл!$C$9:$C$550,SMALL(IF(Накл!$B$9:$B$550=A277,ROW(Накл!$B$9:$B$550)-ROW(Накл!$B$9)+1),ROW(D281)-ROW(A277)+1)),"")," ",IFERROR(INDEX(Накл!$C$9:$C$550,SMALL(IF(Накл!$B$9:$B$550=A277,ROW(Накл!$B$9:$B$550)-ROW(Накл!$B$9)+1),ROW(D282)-ROW(A277)+1)),"")," ",IFERROR(INDEX(Накл!$C$9:$C$550,SMALL(IF(Накл!$B$9:$B$550=A277,ROW(Накл!$B$9:$B$550)-ROW(Накл!$B$9)+1),ROW(D283)-ROW(A277)+1)),"")," ",IFERROR(INDEX(Накл!$C$9:$C$550,SMALL(IF(Накл!$B$9:$B$550=A277,ROW(Накл!$B$9:$B$550)-ROW(Накл!$B$9)+1),ROW(D284)-ROW(A277)+1)),"")," ",IFERROR(INDEX(Накл!$C$9:$C$550,SMALL(IF(Накл!$B$9:$B$550=A277,ROW(Накл!$B$9:$B$550)-ROW(Накл!$B$9)+1),ROW(D285)-ROW(A277)+1)),"")," ",IFERROR(INDEX(Накл!$C$9:$C$550,SMALL(IF(Накл!$B$9:$B$550=A277,ROW(Накл!$B$9:$B$550)-ROW(Накл!$B$9)+1),ROW(D286)-ROW(A277)+1)),""))</f>
        <v xml:space="preserve">         </v>
      </c>
      <c r="E277" s="26" t="str">
        <f t="array" ref="E277">IF(LEN(D277)&lt;10,CONCATENATE(IFERROR(INDEX(Накл!$C$9:$C$550,SMALL(IF(Накл!$A$9:$A$550=VALUE(LEFT(A277,8)),ROW(Накл!$A$9:$A$550)-ROW(Накл!$A$9)+1),ROW(E277)-ROW(B277)+1)),"")," ",IFERROR(INDEX(Накл!$C$9:$C$550,SMALL(IF(Накл!$A$9:$A$550=VALUE(LEFT(A277,8)),ROW(Накл!$A$9:$A$550)-ROW(Накл!$A$9)+1),ROW(E278)-ROW(B277)+1)),"")," ",IFERROR(INDEX(Накл!$C$9:$C$550,SMALL(IF(Накл!$A$9:$A$550=VALUE(LEFT(A277,8)),ROW(Накл!$A$9:$A$550)-ROW(Накл!$A$9)+1),ROW(E279)-ROW(B277)+1)),"")," ",IFERROR(INDEX(Накл!$C$9:$C$550,SMALL(IF(Накл!$A$9:$A$550=VALUE(LEFT(A277,8)),ROW(Накл!$A$9:$A$550)-ROW(Накл!$A$9)+1),ROW(E280)-ROW(B277)+1)),"")),"")</f>
        <v xml:space="preserve">   </v>
      </c>
    </row>
    <row r="278" spans="1:5">
      <c r="A278" s="26" t="str">
        <f>IFERROR(CONCATENATE(VALUE(SUBSTITUTE(SUBSTITUTE(LEFT(Накл!G285,11),".",""),"-",""))," ",Накл!J285),"-")</f>
        <v>-</v>
      </c>
      <c r="B278" s="26" t="str">
        <f>IFERROR(VLOOKUP(VALUE(LEFT(A278,8)),Накл!$A$9:$D$550,4,0),"-")</f>
        <v>-</v>
      </c>
      <c r="C278" s="26">
        <f>Накл!J285</f>
        <v>0</v>
      </c>
      <c r="D278" s="33" t="str">
        <f t="array" ref="D278">CONCATENATE(IFERROR(INDEX(Накл!$C$9:$C$550,SMALL(IF(Накл!$B$9:$B$550=A278,ROW(Накл!$B$9:$B$550)-ROW(Накл!$B$9)+1),ROW(D278)-ROW(A278)+1)),"")," ",IFERROR(INDEX(Накл!$C$9:$C$550,SMALL(IF(Накл!$B$9:$B$550=A278,ROW(Накл!$B$9:$B$550)-ROW(Накл!$B$9)+1),ROW(D279)-ROW(A278)+1)),"")," ",IFERROR(INDEX(Накл!$C$9:$C$550,SMALL(IF(Накл!$B$9:$B$550=A278,ROW(Накл!$B$9:$B$550)-ROW(Накл!$B$9)+1),ROW(D280)-ROW(A278)+1)),"")," ",IFERROR(INDEX(Накл!$C$9:$C$550,SMALL(IF(Накл!$B$9:$B$550=A278,ROW(Накл!$B$9:$B$550)-ROW(Накл!$B$9)+1),ROW(D281)-ROW(A278)+1)),"")," ",IFERROR(INDEX(Накл!$C$9:$C$550,SMALL(IF(Накл!$B$9:$B$550=A278,ROW(Накл!$B$9:$B$550)-ROW(Накл!$B$9)+1),ROW(D282)-ROW(A278)+1)),"")," ",IFERROR(INDEX(Накл!$C$9:$C$550,SMALL(IF(Накл!$B$9:$B$550=A278,ROW(Накл!$B$9:$B$550)-ROW(Накл!$B$9)+1),ROW(D283)-ROW(A278)+1)),"")," ",IFERROR(INDEX(Накл!$C$9:$C$550,SMALL(IF(Накл!$B$9:$B$550=A278,ROW(Накл!$B$9:$B$550)-ROW(Накл!$B$9)+1),ROW(D284)-ROW(A278)+1)),"")," ",IFERROR(INDEX(Накл!$C$9:$C$550,SMALL(IF(Накл!$B$9:$B$550=A278,ROW(Накл!$B$9:$B$550)-ROW(Накл!$B$9)+1),ROW(D285)-ROW(A278)+1)),"")," ",IFERROR(INDEX(Накл!$C$9:$C$550,SMALL(IF(Накл!$B$9:$B$550=A278,ROW(Накл!$B$9:$B$550)-ROW(Накл!$B$9)+1),ROW(D286)-ROW(A278)+1)),"")," ",IFERROR(INDEX(Накл!$C$9:$C$550,SMALL(IF(Накл!$B$9:$B$550=A278,ROW(Накл!$B$9:$B$550)-ROW(Накл!$B$9)+1),ROW(D287)-ROW(A278)+1)),""))</f>
        <v xml:space="preserve">         </v>
      </c>
      <c r="E278" s="26" t="str">
        <f t="array" ref="E278">IF(LEN(D278)&lt;10,CONCATENATE(IFERROR(INDEX(Накл!$C$9:$C$550,SMALL(IF(Накл!$A$9:$A$550=VALUE(LEFT(A278,8)),ROW(Накл!$A$9:$A$550)-ROW(Накл!$A$9)+1),ROW(E278)-ROW(B278)+1)),"")," ",IFERROR(INDEX(Накл!$C$9:$C$550,SMALL(IF(Накл!$A$9:$A$550=VALUE(LEFT(A278,8)),ROW(Накл!$A$9:$A$550)-ROW(Накл!$A$9)+1),ROW(E279)-ROW(B278)+1)),"")," ",IFERROR(INDEX(Накл!$C$9:$C$550,SMALL(IF(Накл!$A$9:$A$550=VALUE(LEFT(A278,8)),ROW(Накл!$A$9:$A$550)-ROW(Накл!$A$9)+1),ROW(E280)-ROW(B278)+1)),"")," ",IFERROR(INDEX(Накл!$C$9:$C$550,SMALL(IF(Накл!$A$9:$A$550=VALUE(LEFT(A278,8)),ROW(Накл!$A$9:$A$550)-ROW(Накл!$A$9)+1),ROW(E281)-ROW(B278)+1)),"")),"")</f>
        <v xml:space="preserve">   </v>
      </c>
    </row>
    <row r="279" spans="1:5">
      <c r="A279" s="26" t="str">
        <f>IFERROR(CONCATENATE(VALUE(SUBSTITUTE(SUBSTITUTE(LEFT(Накл!G286,11),".",""),"-",""))," ",Накл!J286),"-")</f>
        <v>-</v>
      </c>
      <c r="B279" s="26" t="str">
        <f>IFERROR(VLOOKUP(VALUE(LEFT(A279,8)),Накл!$A$9:$D$550,4,0),"-")</f>
        <v>-</v>
      </c>
      <c r="C279" s="26">
        <f>Накл!J286</f>
        <v>0</v>
      </c>
      <c r="D279" s="33" t="str">
        <f t="array" ref="D279">CONCATENATE(IFERROR(INDEX(Накл!$C$9:$C$550,SMALL(IF(Накл!$B$9:$B$550=A279,ROW(Накл!$B$9:$B$550)-ROW(Накл!$B$9)+1),ROW(D279)-ROW(A279)+1)),"")," ",IFERROR(INDEX(Накл!$C$9:$C$550,SMALL(IF(Накл!$B$9:$B$550=A279,ROW(Накл!$B$9:$B$550)-ROW(Накл!$B$9)+1),ROW(D280)-ROW(A279)+1)),"")," ",IFERROR(INDEX(Накл!$C$9:$C$550,SMALL(IF(Накл!$B$9:$B$550=A279,ROW(Накл!$B$9:$B$550)-ROW(Накл!$B$9)+1),ROW(D281)-ROW(A279)+1)),"")," ",IFERROR(INDEX(Накл!$C$9:$C$550,SMALL(IF(Накл!$B$9:$B$550=A279,ROW(Накл!$B$9:$B$550)-ROW(Накл!$B$9)+1),ROW(D282)-ROW(A279)+1)),"")," ",IFERROR(INDEX(Накл!$C$9:$C$550,SMALL(IF(Накл!$B$9:$B$550=A279,ROW(Накл!$B$9:$B$550)-ROW(Накл!$B$9)+1),ROW(D283)-ROW(A279)+1)),"")," ",IFERROR(INDEX(Накл!$C$9:$C$550,SMALL(IF(Накл!$B$9:$B$550=A279,ROW(Накл!$B$9:$B$550)-ROW(Накл!$B$9)+1),ROW(D284)-ROW(A279)+1)),"")," ",IFERROR(INDEX(Накл!$C$9:$C$550,SMALL(IF(Накл!$B$9:$B$550=A279,ROW(Накл!$B$9:$B$550)-ROW(Накл!$B$9)+1),ROW(D285)-ROW(A279)+1)),"")," ",IFERROR(INDEX(Накл!$C$9:$C$550,SMALL(IF(Накл!$B$9:$B$550=A279,ROW(Накл!$B$9:$B$550)-ROW(Накл!$B$9)+1),ROW(D286)-ROW(A279)+1)),"")," ",IFERROR(INDEX(Накл!$C$9:$C$550,SMALL(IF(Накл!$B$9:$B$550=A279,ROW(Накл!$B$9:$B$550)-ROW(Накл!$B$9)+1),ROW(D287)-ROW(A279)+1)),"")," ",IFERROR(INDEX(Накл!$C$9:$C$550,SMALL(IF(Накл!$B$9:$B$550=A279,ROW(Накл!$B$9:$B$550)-ROW(Накл!$B$9)+1),ROW(D288)-ROW(A279)+1)),""))</f>
        <v xml:space="preserve">         </v>
      </c>
      <c r="E279" s="26" t="str">
        <f t="array" ref="E279">IF(LEN(D279)&lt;10,CONCATENATE(IFERROR(INDEX(Накл!$C$9:$C$550,SMALL(IF(Накл!$A$9:$A$550=VALUE(LEFT(A279,8)),ROW(Накл!$A$9:$A$550)-ROW(Накл!$A$9)+1),ROW(E279)-ROW(B279)+1)),"")," ",IFERROR(INDEX(Накл!$C$9:$C$550,SMALL(IF(Накл!$A$9:$A$550=VALUE(LEFT(A279,8)),ROW(Накл!$A$9:$A$550)-ROW(Накл!$A$9)+1),ROW(E280)-ROW(B279)+1)),"")," ",IFERROR(INDEX(Накл!$C$9:$C$550,SMALL(IF(Накл!$A$9:$A$550=VALUE(LEFT(A279,8)),ROW(Накл!$A$9:$A$550)-ROW(Накл!$A$9)+1),ROW(E281)-ROW(B279)+1)),"")," ",IFERROR(INDEX(Накл!$C$9:$C$550,SMALL(IF(Накл!$A$9:$A$550=VALUE(LEFT(A279,8)),ROW(Накл!$A$9:$A$550)-ROW(Накл!$A$9)+1),ROW(E282)-ROW(B279)+1)),"")),"")</f>
        <v xml:space="preserve">   </v>
      </c>
    </row>
    <row r="280" spans="1:5">
      <c r="A280" s="26" t="str">
        <f>IFERROR(CONCATENATE(VALUE(SUBSTITUTE(SUBSTITUTE(LEFT(Накл!G287,11),".",""),"-",""))," ",Накл!J287),"-")</f>
        <v>-</v>
      </c>
      <c r="B280" s="26" t="str">
        <f>IFERROR(VLOOKUP(VALUE(LEFT(A280,8)),Накл!$A$9:$D$550,4,0),"-")</f>
        <v>-</v>
      </c>
      <c r="C280" s="26">
        <f>Накл!J287</f>
        <v>0</v>
      </c>
      <c r="D280" s="33" t="str">
        <f t="array" ref="D280">CONCATENATE(IFERROR(INDEX(Накл!$C$9:$C$550,SMALL(IF(Накл!$B$9:$B$550=A280,ROW(Накл!$B$9:$B$550)-ROW(Накл!$B$9)+1),ROW(D280)-ROW(A280)+1)),"")," ",IFERROR(INDEX(Накл!$C$9:$C$550,SMALL(IF(Накл!$B$9:$B$550=A280,ROW(Накл!$B$9:$B$550)-ROW(Накл!$B$9)+1),ROW(D281)-ROW(A280)+1)),"")," ",IFERROR(INDEX(Накл!$C$9:$C$550,SMALL(IF(Накл!$B$9:$B$550=A280,ROW(Накл!$B$9:$B$550)-ROW(Накл!$B$9)+1),ROW(D282)-ROW(A280)+1)),"")," ",IFERROR(INDEX(Накл!$C$9:$C$550,SMALL(IF(Накл!$B$9:$B$550=A280,ROW(Накл!$B$9:$B$550)-ROW(Накл!$B$9)+1),ROW(D283)-ROW(A280)+1)),"")," ",IFERROR(INDEX(Накл!$C$9:$C$550,SMALL(IF(Накл!$B$9:$B$550=A280,ROW(Накл!$B$9:$B$550)-ROW(Накл!$B$9)+1),ROW(D284)-ROW(A280)+1)),"")," ",IFERROR(INDEX(Накл!$C$9:$C$550,SMALL(IF(Накл!$B$9:$B$550=A280,ROW(Накл!$B$9:$B$550)-ROW(Накл!$B$9)+1),ROW(D285)-ROW(A280)+1)),"")," ",IFERROR(INDEX(Накл!$C$9:$C$550,SMALL(IF(Накл!$B$9:$B$550=A280,ROW(Накл!$B$9:$B$550)-ROW(Накл!$B$9)+1),ROW(D286)-ROW(A280)+1)),"")," ",IFERROR(INDEX(Накл!$C$9:$C$550,SMALL(IF(Накл!$B$9:$B$550=A280,ROW(Накл!$B$9:$B$550)-ROW(Накл!$B$9)+1),ROW(D287)-ROW(A280)+1)),"")," ",IFERROR(INDEX(Накл!$C$9:$C$550,SMALL(IF(Накл!$B$9:$B$550=A280,ROW(Накл!$B$9:$B$550)-ROW(Накл!$B$9)+1),ROW(D288)-ROW(A280)+1)),"")," ",IFERROR(INDEX(Накл!$C$9:$C$550,SMALL(IF(Накл!$B$9:$B$550=A280,ROW(Накл!$B$9:$B$550)-ROW(Накл!$B$9)+1),ROW(D289)-ROW(A280)+1)),""))</f>
        <v xml:space="preserve">         </v>
      </c>
      <c r="E280" s="26" t="str">
        <f t="array" ref="E280">IF(LEN(D280)&lt;10,CONCATENATE(IFERROR(INDEX(Накл!$C$9:$C$550,SMALL(IF(Накл!$A$9:$A$550=VALUE(LEFT(A280,8)),ROW(Накл!$A$9:$A$550)-ROW(Накл!$A$9)+1),ROW(E280)-ROW(B280)+1)),"")," ",IFERROR(INDEX(Накл!$C$9:$C$550,SMALL(IF(Накл!$A$9:$A$550=VALUE(LEFT(A280,8)),ROW(Накл!$A$9:$A$550)-ROW(Накл!$A$9)+1),ROW(E281)-ROW(B280)+1)),"")," ",IFERROR(INDEX(Накл!$C$9:$C$550,SMALL(IF(Накл!$A$9:$A$550=VALUE(LEFT(A280,8)),ROW(Накл!$A$9:$A$550)-ROW(Накл!$A$9)+1),ROW(E282)-ROW(B280)+1)),"")," ",IFERROR(INDEX(Накл!$C$9:$C$550,SMALL(IF(Накл!$A$9:$A$550=VALUE(LEFT(A280,8)),ROW(Накл!$A$9:$A$550)-ROW(Накл!$A$9)+1),ROW(E283)-ROW(B280)+1)),"")),"")</f>
        <v xml:space="preserve">   </v>
      </c>
    </row>
    <row r="281" spans="1:5">
      <c r="A281" s="26" t="str">
        <f>IFERROR(CONCATENATE(VALUE(SUBSTITUTE(SUBSTITUTE(LEFT(Накл!G288,11),".",""),"-",""))," ",Накл!J288),"-")</f>
        <v>-</v>
      </c>
      <c r="B281" s="26" t="str">
        <f>IFERROR(VLOOKUP(VALUE(LEFT(A281,8)),Накл!$A$9:$D$550,4,0),"-")</f>
        <v>-</v>
      </c>
      <c r="C281" s="26">
        <f>Накл!J288</f>
        <v>0</v>
      </c>
      <c r="D281" s="33" t="str">
        <f t="array" ref="D281">CONCATENATE(IFERROR(INDEX(Накл!$C$9:$C$550,SMALL(IF(Накл!$B$9:$B$550=A281,ROW(Накл!$B$9:$B$550)-ROW(Накл!$B$9)+1),ROW(D281)-ROW(A281)+1)),"")," ",IFERROR(INDEX(Накл!$C$9:$C$550,SMALL(IF(Накл!$B$9:$B$550=A281,ROW(Накл!$B$9:$B$550)-ROW(Накл!$B$9)+1),ROW(D282)-ROW(A281)+1)),"")," ",IFERROR(INDEX(Накл!$C$9:$C$550,SMALL(IF(Накл!$B$9:$B$550=A281,ROW(Накл!$B$9:$B$550)-ROW(Накл!$B$9)+1),ROW(D283)-ROW(A281)+1)),"")," ",IFERROR(INDEX(Накл!$C$9:$C$550,SMALL(IF(Накл!$B$9:$B$550=A281,ROW(Накл!$B$9:$B$550)-ROW(Накл!$B$9)+1),ROW(D284)-ROW(A281)+1)),"")," ",IFERROR(INDEX(Накл!$C$9:$C$550,SMALL(IF(Накл!$B$9:$B$550=A281,ROW(Накл!$B$9:$B$550)-ROW(Накл!$B$9)+1),ROW(D285)-ROW(A281)+1)),"")," ",IFERROR(INDEX(Накл!$C$9:$C$550,SMALL(IF(Накл!$B$9:$B$550=A281,ROW(Накл!$B$9:$B$550)-ROW(Накл!$B$9)+1),ROW(D286)-ROW(A281)+1)),"")," ",IFERROR(INDEX(Накл!$C$9:$C$550,SMALL(IF(Накл!$B$9:$B$550=A281,ROW(Накл!$B$9:$B$550)-ROW(Накл!$B$9)+1),ROW(D287)-ROW(A281)+1)),"")," ",IFERROR(INDEX(Накл!$C$9:$C$550,SMALL(IF(Накл!$B$9:$B$550=A281,ROW(Накл!$B$9:$B$550)-ROW(Накл!$B$9)+1),ROW(D288)-ROW(A281)+1)),"")," ",IFERROR(INDEX(Накл!$C$9:$C$550,SMALL(IF(Накл!$B$9:$B$550=A281,ROW(Накл!$B$9:$B$550)-ROW(Накл!$B$9)+1),ROW(D289)-ROW(A281)+1)),"")," ",IFERROR(INDEX(Накл!$C$9:$C$550,SMALL(IF(Накл!$B$9:$B$550=A281,ROW(Накл!$B$9:$B$550)-ROW(Накл!$B$9)+1),ROW(D290)-ROW(A281)+1)),""))</f>
        <v xml:space="preserve">         </v>
      </c>
      <c r="E281" s="26" t="str">
        <f t="array" ref="E281">IF(LEN(D281)&lt;10,CONCATENATE(IFERROR(INDEX(Накл!$C$9:$C$550,SMALL(IF(Накл!$A$9:$A$550=VALUE(LEFT(A281,8)),ROW(Накл!$A$9:$A$550)-ROW(Накл!$A$9)+1),ROW(E281)-ROW(B281)+1)),"")," ",IFERROR(INDEX(Накл!$C$9:$C$550,SMALL(IF(Накл!$A$9:$A$550=VALUE(LEFT(A281,8)),ROW(Накл!$A$9:$A$550)-ROW(Накл!$A$9)+1),ROW(E282)-ROW(B281)+1)),"")," ",IFERROR(INDEX(Накл!$C$9:$C$550,SMALL(IF(Накл!$A$9:$A$550=VALUE(LEFT(A281,8)),ROW(Накл!$A$9:$A$550)-ROW(Накл!$A$9)+1),ROW(E283)-ROW(B281)+1)),"")," ",IFERROR(INDEX(Накл!$C$9:$C$550,SMALL(IF(Накл!$A$9:$A$550=VALUE(LEFT(A281,8)),ROW(Накл!$A$9:$A$550)-ROW(Накл!$A$9)+1),ROW(E284)-ROW(B281)+1)),"")),"")</f>
        <v xml:space="preserve">   </v>
      </c>
    </row>
    <row r="282" spans="1:5">
      <c r="A282" s="26" t="str">
        <f>IFERROR(CONCATENATE(VALUE(SUBSTITUTE(SUBSTITUTE(LEFT(Накл!G289,11),".",""),"-",""))," ",Накл!J289),"-")</f>
        <v>-</v>
      </c>
      <c r="B282" s="26" t="str">
        <f>IFERROR(VLOOKUP(VALUE(LEFT(A282,8)),Накл!$A$9:$D$550,4,0),"-")</f>
        <v>-</v>
      </c>
      <c r="C282" s="26">
        <f>Накл!J289</f>
        <v>0</v>
      </c>
      <c r="D282" s="33" t="str">
        <f t="array" ref="D282">CONCATENATE(IFERROR(INDEX(Накл!$C$9:$C$550,SMALL(IF(Накл!$B$9:$B$550=A282,ROW(Накл!$B$9:$B$550)-ROW(Накл!$B$9)+1),ROW(D282)-ROW(A282)+1)),"")," ",IFERROR(INDEX(Накл!$C$9:$C$550,SMALL(IF(Накл!$B$9:$B$550=A282,ROW(Накл!$B$9:$B$550)-ROW(Накл!$B$9)+1),ROW(D283)-ROW(A282)+1)),"")," ",IFERROR(INDEX(Накл!$C$9:$C$550,SMALL(IF(Накл!$B$9:$B$550=A282,ROW(Накл!$B$9:$B$550)-ROW(Накл!$B$9)+1),ROW(D284)-ROW(A282)+1)),"")," ",IFERROR(INDEX(Накл!$C$9:$C$550,SMALL(IF(Накл!$B$9:$B$550=A282,ROW(Накл!$B$9:$B$550)-ROW(Накл!$B$9)+1),ROW(D285)-ROW(A282)+1)),"")," ",IFERROR(INDEX(Накл!$C$9:$C$550,SMALL(IF(Накл!$B$9:$B$550=A282,ROW(Накл!$B$9:$B$550)-ROW(Накл!$B$9)+1),ROW(D286)-ROW(A282)+1)),"")," ",IFERROR(INDEX(Накл!$C$9:$C$550,SMALL(IF(Накл!$B$9:$B$550=A282,ROW(Накл!$B$9:$B$550)-ROW(Накл!$B$9)+1),ROW(D287)-ROW(A282)+1)),"")," ",IFERROR(INDEX(Накл!$C$9:$C$550,SMALL(IF(Накл!$B$9:$B$550=A282,ROW(Накл!$B$9:$B$550)-ROW(Накл!$B$9)+1),ROW(D288)-ROW(A282)+1)),"")," ",IFERROR(INDEX(Накл!$C$9:$C$550,SMALL(IF(Накл!$B$9:$B$550=A282,ROW(Накл!$B$9:$B$550)-ROW(Накл!$B$9)+1),ROW(D289)-ROW(A282)+1)),"")," ",IFERROR(INDEX(Накл!$C$9:$C$550,SMALL(IF(Накл!$B$9:$B$550=A282,ROW(Накл!$B$9:$B$550)-ROW(Накл!$B$9)+1),ROW(D290)-ROW(A282)+1)),"")," ",IFERROR(INDEX(Накл!$C$9:$C$550,SMALL(IF(Накл!$B$9:$B$550=A282,ROW(Накл!$B$9:$B$550)-ROW(Накл!$B$9)+1),ROW(D291)-ROW(A282)+1)),""))</f>
        <v xml:space="preserve">         </v>
      </c>
      <c r="E282" s="26" t="str">
        <f t="array" ref="E282">IF(LEN(D282)&lt;10,CONCATENATE(IFERROR(INDEX(Накл!$C$9:$C$550,SMALL(IF(Накл!$A$9:$A$550=VALUE(LEFT(A282,8)),ROW(Накл!$A$9:$A$550)-ROW(Накл!$A$9)+1),ROW(E282)-ROW(B282)+1)),"")," ",IFERROR(INDEX(Накл!$C$9:$C$550,SMALL(IF(Накл!$A$9:$A$550=VALUE(LEFT(A282,8)),ROW(Накл!$A$9:$A$550)-ROW(Накл!$A$9)+1),ROW(E283)-ROW(B282)+1)),"")," ",IFERROR(INDEX(Накл!$C$9:$C$550,SMALL(IF(Накл!$A$9:$A$550=VALUE(LEFT(A282,8)),ROW(Накл!$A$9:$A$550)-ROW(Накл!$A$9)+1),ROW(E284)-ROW(B282)+1)),"")," ",IFERROR(INDEX(Накл!$C$9:$C$550,SMALL(IF(Накл!$A$9:$A$550=VALUE(LEFT(A282,8)),ROW(Накл!$A$9:$A$550)-ROW(Накл!$A$9)+1),ROW(E285)-ROW(B282)+1)),"")),"")</f>
        <v xml:space="preserve">   </v>
      </c>
    </row>
    <row r="283" spans="1:5">
      <c r="A283" s="26" t="str">
        <f>IFERROR(CONCATENATE(VALUE(SUBSTITUTE(SUBSTITUTE(LEFT(Накл!G290,11),".",""),"-",""))," ",Накл!J290),"-")</f>
        <v>-</v>
      </c>
      <c r="B283" s="26" t="str">
        <f>IFERROR(VLOOKUP(VALUE(LEFT(A283,8)),Накл!$A$9:$D$550,4,0),"-")</f>
        <v>-</v>
      </c>
      <c r="C283" s="26">
        <f>Накл!J290</f>
        <v>0</v>
      </c>
      <c r="D283" s="33" t="str">
        <f t="array" ref="D283">CONCATENATE(IFERROR(INDEX(Накл!$C$9:$C$550,SMALL(IF(Накл!$B$9:$B$550=A283,ROW(Накл!$B$9:$B$550)-ROW(Накл!$B$9)+1),ROW(D283)-ROW(A283)+1)),"")," ",IFERROR(INDEX(Накл!$C$9:$C$550,SMALL(IF(Накл!$B$9:$B$550=A283,ROW(Накл!$B$9:$B$550)-ROW(Накл!$B$9)+1),ROW(D284)-ROW(A283)+1)),"")," ",IFERROR(INDEX(Накл!$C$9:$C$550,SMALL(IF(Накл!$B$9:$B$550=A283,ROW(Накл!$B$9:$B$550)-ROW(Накл!$B$9)+1),ROW(D285)-ROW(A283)+1)),"")," ",IFERROR(INDEX(Накл!$C$9:$C$550,SMALL(IF(Накл!$B$9:$B$550=A283,ROW(Накл!$B$9:$B$550)-ROW(Накл!$B$9)+1),ROW(D286)-ROW(A283)+1)),"")," ",IFERROR(INDEX(Накл!$C$9:$C$550,SMALL(IF(Накл!$B$9:$B$550=A283,ROW(Накл!$B$9:$B$550)-ROW(Накл!$B$9)+1),ROW(D287)-ROW(A283)+1)),"")," ",IFERROR(INDEX(Накл!$C$9:$C$550,SMALL(IF(Накл!$B$9:$B$550=A283,ROW(Накл!$B$9:$B$550)-ROW(Накл!$B$9)+1),ROW(D288)-ROW(A283)+1)),"")," ",IFERROR(INDEX(Накл!$C$9:$C$550,SMALL(IF(Накл!$B$9:$B$550=A283,ROW(Накл!$B$9:$B$550)-ROW(Накл!$B$9)+1),ROW(D289)-ROW(A283)+1)),"")," ",IFERROR(INDEX(Накл!$C$9:$C$550,SMALL(IF(Накл!$B$9:$B$550=A283,ROW(Накл!$B$9:$B$550)-ROW(Накл!$B$9)+1),ROW(D290)-ROW(A283)+1)),"")," ",IFERROR(INDEX(Накл!$C$9:$C$550,SMALL(IF(Накл!$B$9:$B$550=A283,ROW(Накл!$B$9:$B$550)-ROW(Накл!$B$9)+1),ROW(D291)-ROW(A283)+1)),"")," ",IFERROR(INDEX(Накл!$C$9:$C$550,SMALL(IF(Накл!$B$9:$B$550=A283,ROW(Накл!$B$9:$B$550)-ROW(Накл!$B$9)+1),ROW(D292)-ROW(A283)+1)),""))</f>
        <v xml:space="preserve">         </v>
      </c>
      <c r="E283" s="26" t="str">
        <f t="array" ref="E283">IF(LEN(D283)&lt;10,CONCATENATE(IFERROR(INDEX(Накл!$C$9:$C$550,SMALL(IF(Накл!$A$9:$A$550=VALUE(LEFT(A283,8)),ROW(Накл!$A$9:$A$550)-ROW(Накл!$A$9)+1),ROW(E283)-ROW(B283)+1)),"")," ",IFERROR(INDEX(Накл!$C$9:$C$550,SMALL(IF(Накл!$A$9:$A$550=VALUE(LEFT(A283,8)),ROW(Накл!$A$9:$A$550)-ROW(Накл!$A$9)+1),ROW(E284)-ROW(B283)+1)),"")," ",IFERROR(INDEX(Накл!$C$9:$C$550,SMALL(IF(Накл!$A$9:$A$550=VALUE(LEFT(A283,8)),ROW(Накл!$A$9:$A$550)-ROW(Накл!$A$9)+1),ROW(E285)-ROW(B283)+1)),"")," ",IFERROR(INDEX(Накл!$C$9:$C$550,SMALL(IF(Накл!$A$9:$A$550=VALUE(LEFT(A283,8)),ROW(Накл!$A$9:$A$550)-ROW(Накл!$A$9)+1),ROW(E286)-ROW(B283)+1)),"")),"")</f>
        <v xml:space="preserve">   </v>
      </c>
    </row>
    <row r="284" spans="1:5">
      <c r="A284" s="26" t="str">
        <f>IFERROR(CONCATENATE(VALUE(SUBSTITUTE(SUBSTITUTE(LEFT(Накл!G291,11),".",""),"-",""))," ",Накл!J291),"-")</f>
        <v>-</v>
      </c>
      <c r="B284" s="26" t="str">
        <f>IFERROR(VLOOKUP(VALUE(LEFT(A284,8)),Накл!$A$9:$D$550,4,0),"-")</f>
        <v>-</v>
      </c>
      <c r="C284" s="26">
        <f>Накл!J291</f>
        <v>0</v>
      </c>
      <c r="D284" s="33" t="str">
        <f t="array" ref="D284">CONCATENATE(IFERROR(INDEX(Накл!$C$9:$C$550,SMALL(IF(Накл!$B$9:$B$550=A284,ROW(Накл!$B$9:$B$550)-ROW(Накл!$B$9)+1),ROW(D284)-ROW(A284)+1)),"")," ",IFERROR(INDEX(Накл!$C$9:$C$550,SMALL(IF(Накл!$B$9:$B$550=A284,ROW(Накл!$B$9:$B$550)-ROW(Накл!$B$9)+1),ROW(D285)-ROW(A284)+1)),"")," ",IFERROR(INDEX(Накл!$C$9:$C$550,SMALL(IF(Накл!$B$9:$B$550=A284,ROW(Накл!$B$9:$B$550)-ROW(Накл!$B$9)+1),ROW(D286)-ROW(A284)+1)),"")," ",IFERROR(INDEX(Накл!$C$9:$C$550,SMALL(IF(Накл!$B$9:$B$550=A284,ROW(Накл!$B$9:$B$550)-ROW(Накл!$B$9)+1),ROW(D287)-ROW(A284)+1)),"")," ",IFERROR(INDEX(Накл!$C$9:$C$550,SMALL(IF(Накл!$B$9:$B$550=A284,ROW(Накл!$B$9:$B$550)-ROW(Накл!$B$9)+1),ROW(D288)-ROW(A284)+1)),"")," ",IFERROR(INDEX(Накл!$C$9:$C$550,SMALL(IF(Накл!$B$9:$B$550=A284,ROW(Накл!$B$9:$B$550)-ROW(Накл!$B$9)+1),ROW(D289)-ROW(A284)+1)),"")," ",IFERROR(INDEX(Накл!$C$9:$C$550,SMALL(IF(Накл!$B$9:$B$550=A284,ROW(Накл!$B$9:$B$550)-ROW(Накл!$B$9)+1),ROW(D290)-ROW(A284)+1)),"")," ",IFERROR(INDEX(Накл!$C$9:$C$550,SMALL(IF(Накл!$B$9:$B$550=A284,ROW(Накл!$B$9:$B$550)-ROW(Накл!$B$9)+1),ROW(D291)-ROW(A284)+1)),"")," ",IFERROR(INDEX(Накл!$C$9:$C$550,SMALL(IF(Накл!$B$9:$B$550=A284,ROW(Накл!$B$9:$B$550)-ROW(Накл!$B$9)+1),ROW(D292)-ROW(A284)+1)),"")," ",IFERROR(INDEX(Накл!$C$9:$C$550,SMALL(IF(Накл!$B$9:$B$550=A284,ROW(Накл!$B$9:$B$550)-ROW(Накл!$B$9)+1),ROW(D293)-ROW(A284)+1)),""))</f>
        <v xml:space="preserve">         </v>
      </c>
      <c r="E284" s="26" t="str">
        <f t="array" ref="E284">IF(LEN(D284)&lt;10,CONCATENATE(IFERROR(INDEX(Накл!$C$9:$C$550,SMALL(IF(Накл!$A$9:$A$550=VALUE(LEFT(A284,8)),ROW(Накл!$A$9:$A$550)-ROW(Накл!$A$9)+1),ROW(E284)-ROW(B284)+1)),"")," ",IFERROR(INDEX(Накл!$C$9:$C$550,SMALL(IF(Накл!$A$9:$A$550=VALUE(LEFT(A284,8)),ROW(Накл!$A$9:$A$550)-ROW(Накл!$A$9)+1),ROW(E285)-ROW(B284)+1)),"")," ",IFERROR(INDEX(Накл!$C$9:$C$550,SMALL(IF(Накл!$A$9:$A$550=VALUE(LEFT(A284,8)),ROW(Накл!$A$9:$A$550)-ROW(Накл!$A$9)+1),ROW(E286)-ROW(B284)+1)),"")," ",IFERROR(INDEX(Накл!$C$9:$C$550,SMALL(IF(Накл!$A$9:$A$550=VALUE(LEFT(A284,8)),ROW(Накл!$A$9:$A$550)-ROW(Накл!$A$9)+1),ROW(E287)-ROW(B284)+1)),"")),"")</f>
        <v xml:space="preserve">   </v>
      </c>
    </row>
    <row r="285" spans="1:5">
      <c r="A285" s="26" t="str">
        <f>IFERROR(CONCATENATE(VALUE(SUBSTITUTE(SUBSTITUTE(LEFT(Накл!G292,11),".",""),"-",""))," ",Накл!J292),"-")</f>
        <v>-</v>
      </c>
      <c r="B285" s="26" t="str">
        <f>IFERROR(VLOOKUP(VALUE(LEFT(A285,8)),Накл!$A$9:$D$550,4,0),"-")</f>
        <v>-</v>
      </c>
      <c r="C285" s="26">
        <f>Накл!J292</f>
        <v>0</v>
      </c>
      <c r="D285" s="33" t="str">
        <f t="array" ref="D285">CONCATENATE(IFERROR(INDEX(Накл!$C$9:$C$550,SMALL(IF(Накл!$B$9:$B$550=A285,ROW(Накл!$B$9:$B$550)-ROW(Накл!$B$9)+1),ROW(D285)-ROW(A285)+1)),"")," ",IFERROR(INDEX(Накл!$C$9:$C$550,SMALL(IF(Накл!$B$9:$B$550=A285,ROW(Накл!$B$9:$B$550)-ROW(Накл!$B$9)+1),ROW(D286)-ROW(A285)+1)),"")," ",IFERROR(INDEX(Накл!$C$9:$C$550,SMALL(IF(Накл!$B$9:$B$550=A285,ROW(Накл!$B$9:$B$550)-ROW(Накл!$B$9)+1),ROW(D287)-ROW(A285)+1)),"")," ",IFERROR(INDEX(Накл!$C$9:$C$550,SMALL(IF(Накл!$B$9:$B$550=A285,ROW(Накл!$B$9:$B$550)-ROW(Накл!$B$9)+1),ROW(D288)-ROW(A285)+1)),"")," ",IFERROR(INDEX(Накл!$C$9:$C$550,SMALL(IF(Накл!$B$9:$B$550=A285,ROW(Накл!$B$9:$B$550)-ROW(Накл!$B$9)+1),ROW(D289)-ROW(A285)+1)),"")," ",IFERROR(INDEX(Накл!$C$9:$C$550,SMALL(IF(Накл!$B$9:$B$550=A285,ROW(Накл!$B$9:$B$550)-ROW(Накл!$B$9)+1),ROW(D290)-ROW(A285)+1)),"")," ",IFERROR(INDEX(Накл!$C$9:$C$550,SMALL(IF(Накл!$B$9:$B$550=A285,ROW(Накл!$B$9:$B$550)-ROW(Накл!$B$9)+1),ROW(D291)-ROW(A285)+1)),"")," ",IFERROR(INDEX(Накл!$C$9:$C$550,SMALL(IF(Накл!$B$9:$B$550=A285,ROW(Накл!$B$9:$B$550)-ROW(Накл!$B$9)+1),ROW(D292)-ROW(A285)+1)),"")," ",IFERROR(INDEX(Накл!$C$9:$C$550,SMALL(IF(Накл!$B$9:$B$550=A285,ROW(Накл!$B$9:$B$550)-ROW(Накл!$B$9)+1),ROW(D293)-ROW(A285)+1)),"")," ",IFERROR(INDEX(Накл!$C$9:$C$550,SMALL(IF(Накл!$B$9:$B$550=A285,ROW(Накл!$B$9:$B$550)-ROW(Накл!$B$9)+1),ROW(D294)-ROW(A285)+1)),""))</f>
        <v xml:space="preserve">         </v>
      </c>
      <c r="E285" s="26" t="str">
        <f t="array" ref="E285">IF(LEN(D285)&lt;10,CONCATENATE(IFERROR(INDEX(Накл!$C$9:$C$550,SMALL(IF(Накл!$A$9:$A$550=VALUE(LEFT(A285,8)),ROW(Накл!$A$9:$A$550)-ROW(Накл!$A$9)+1),ROW(E285)-ROW(B285)+1)),"")," ",IFERROR(INDEX(Накл!$C$9:$C$550,SMALL(IF(Накл!$A$9:$A$550=VALUE(LEFT(A285,8)),ROW(Накл!$A$9:$A$550)-ROW(Накл!$A$9)+1),ROW(E286)-ROW(B285)+1)),"")," ",IFERROR(INDEX(Накл!$C$9:$C$550,SMALL(IF(Накл!$A$9:$A$550=VALUE(LEFT(A285,8)),ROW(Накл!$A$9:$A$550)-ROW(Накл!$A$9)+1),ROW(E287)-ROW(B285)+1)),"")," ",IFERROR(INDEX(Накл!$C$9:$C$550,SMALL(IF(Накл!$A$9:$A$550=VALUE(LEFT(A285,8)),ROW(Накл!$A$9:$A$550)-ROW(Накл!$A$9)+1),ROW(E288)-ROW(B285)+1)),"")),"")</f>
        <v xml:space="preserve">   </v>
      </c>
    </row>
    <row r="286" spans="1:5">
      <c r="A286" s="26" t="str">
        <f>IFERROR(CONCATENATE(VALUE(SUBSTITUTE(SUBSTITUTE(LEFT(Накл!G293,11),".",""),"-",""))," ",Накл!J293),"-")</f>
        <v>-</v>
      </c>
      <c r="B286" s="26" t="str">
        <f>IFERROR(VLOOKUP(VALUE(LEFT(A286,8)),Накл!$A$9:$D$550,4,0),"-")</f>
        <v>-</v>
      </c>
      <c r="C286" s="26">
        <f>Накл!J293</f>
        <v>0</v>
      </c>
      <c r="D286" s="33" t="str">
        <f t="array" ref="D286">CONCATENATE(IFERROR(INDEX(Накл!$C$9:$C$550,SMALL(IF(Накл!$B$9:$B$550=A286,ROW(Накл!$B$9:$B$550)-ROW(Накл!$B$9)+1),ROW(D286)-ROW(A286)+1)),"")," ",IFERROR(INDEX(Накл!$C$9:$C$550,SMALL(IF(Накл!$B$9:$B$550=A286,ROW(Накл!$B$9:$B$550)-ROW(Накл!$B$9)+1),ROW(D287)-ROW(A286)+1)),"")," ",IFERROR(INDEX(Накл!$C$9:$C$550,SMALL(IF(Накл!$B$9:$B$550=A286,ROW(Накл!$B$9:$B$550)-ROW(Накл!$B$9)+1),ROW(D288)-ROW(A286)+1)),"")," ",IFERROR(INDEX(Накл!$C$9:$C$550,SMALL(IF(Накл!$B$9:$B$550=A286,ROW(Накл!$B$9:$B$550)-ROW(Накл!$B$9)+1),ROW(D289)-ROW(A286)+1)),"")," ",IFERROR(INDEX(Накл!$C$9:$C$550,SMALL(IF(Накл!$B$9:$B$550=A286,ROW(Накл!$B$9:$B$550)-ROW(Накл!$B$9)+1),ROW(D290)-ROW(A286)+1)),"")," ",IFERROR(INDEX(Накл!$C$9:$C$550,SMALL(IF(Накл!$B$9:$B$550=A286,ROW(Накл!$B$9:$B$550)-ROW(Накл!$B$9)+1),ROW(D291)-ROW(A286)+1)),"")," ",IFERROR(INDEX(Накл!$C$9:$C$550,SMALL(IF(Накл!$B$9:$B$550=A286,ROW(Накл!$B$9:$B$550)-ROW(Накл!$B$9)+1),ROW(D292)-ROW(A286)+1)),"")," ",IFERROR(INDEX(Накл!$C$9:$C$550,SMALL(IF(Накл!$B$9:$B$550=A286,ROW(Накл!$B$9:$B$550)-ROW(Накл!$B$9)+1),ROW(D293)-ROW(A286)+1)),"")," ",IFERROR(INDEX(Накл!$C$9:$C$550,SMALL(IF(Накл!$B$9:$B$550=A286,ROW(Накл!$B$9:$B$550)-ROW(Накл!$B$9)+1),ROW(D294)-ROW(A286)+1)),"")," ",IFERROR(INDEX(Накл!$C$9:$C$550,SMALL(IF(Накл!$B$9:$B$550=A286,ROW(Накл!$B$9:$B$550)-ROW(Накл!$B$9)+1),ROW(D295)-ROW(A286)+1)),""))</f>
        <v xml:space="preserve">         </v>
      </c>
      <c r="E286" s="26" t="str">
        <f t="array" ref="E286">IF(LEN(D286)&lt;10,CONCATENATE(IFERROR(INDEX(Накл!$C$9:$C$550,SMALL(IF(Накл!$A$9:$A$550=VALUE(LEFT(A286,8)),ROW(Накл!$A$9:$A$550)-ROW(Накл!$A$9)+1),ROW(E286)-ROW(B286)+1)),"")," ",IFERROR(INDEX(Накл!$C$9:$C$550,SMALL(IF(Накл!$A$9:$A$550=VALUE(LEFT(A286,8)),ROW(Накл!$A$9:$A$550)-ROW(Накл!$A$9)+1),ROW(E287)-ROW(B286)+1)),"")," ",IFERROR(INDEX(Накл!$C$9:$C$550,SMALL(IF(Накл!$A$9:$A$550=VALUE(LEFT(A286,8)),ROW(Накл!$A$9:$A$550)-ROW(Накл!$A$9)+1),ROW(E288)-ROW(B286)+1)),"")," ",IFERROR(INDEX(Накл!$C$9:$C$550,SMALL(IF(Накл!$A$9:$A$550=VALUE(LEFT(A286,8)),ROW(Накл!$A$9:$A$550)-ROW(Накл!$A$9)+1),ROW(E289)-ROW(B286)+1)),"")),"")</f>
        <v xml:space="preserve">   </v>
      </c>
    </row>
    <row r="287" spans="1:5">
      <c r="A287" s="26" t="str">
        <f>IFERROR(CONCATENATE(VALUE(SUBSTITUTE(SUBSTITUTE(LEFT(Накл!G294,11),".",""),"-",""))," ",Накл!J294),"-")</f>
        <v>-</v>
      </c>
      <c r="B287" s="26" t="str">
        <f>IFERROR(VLOOKUP(VALUE(LEFT(A287,8)),Накл!$A$9:$D$550,4,0),"-")</f>
        <v>-</v>
      </c>
      <c r="C287" s="26">
        <f>Накл!J294</f>
        <v>0</v>
      </c>
      <c r="D287" s="33" t="str">
        <f t="array" ref="D287">CONCATENATE(IFERROR(INDEX(Накл!$C$9:$C$550,SMALL(IF(Накл!$B$9:$B$550=A287,ROW(Накл!$B$9:$B$550)-ROW(Накл!$B$9)+1),ROW(D287)-ROW(A287)+1)),"")," ",IFERROR(INDEX(Накл!$C$9:$C$550,SMALL(IF(Накл!$B$9:$B$550=A287,ROW(Накл!$B$9:$B$550)-ROW(Накл!$B$9)+1),ROW(D288)-ROW(A287)+1)),"")," ",IFERROR(INDEX(Накл!$C$9:$C$550,SMALL(IF(Накл!$B$9:$B$550=A287,ROW(Накл!$B$9:$B$550)-ROW(Накл!$B$9)+1),ROW(D289)-ROW(A287)+1)),"")," ",IFERROR(INDEX(Накл!$C$9:$C$550,SMALL(IF(Накл!$B$9:$B$550=A287,ROW(Накл!$B$9:$B$550)-ROW(Накл!$B$9)+1),ROW(D290)-ROW(A287)+1)),"")," ",IFERROR(INDEX(Накл!$C$9:$C$550,SMALL(IF(Накл!$B$9:$B$550=A287,ROW(Накл!$B$9:$B$550)-ROW(Накл!$B$9)+1),ROW(D291)-ROW(A287)+1)),"")," ",IFERROR(INDEX(Накл!$C$9:$C$550,SMALL(IF(Накл!$B$9:$B$550=A287,ROW(Накл!$B$9:$B$550)-ROW(Накл!$B$9)+1),ROW(D292)-ROW(A287)+1)),"")," ",IFERROR(INDEX(Накл!$C$9:$C$550,SMALL(IF(Накл!$B$9:$B$550=A287,ROW(Накл!$B$9:$B$550)-ROW(Накл!$B$9)+1),ROW(D293)-ROW(A287)+1)),"")," ",IFERROR(INDEX(Накл!$C$9:$C$550,SMALL(IF(Накл!$B$9:$B$550=A287,ROW(Накл!$B$9:$B$550)-ROW(Накл!$B$9)+1),ROW(D294)-ROW(A287)+1)),"")," ",IFERROR(INDEX(Накл!$C$9:$C$550,SMALL(IF(Накл!$B$9:$B$550=A287,ROW(Накл!$B$9:$B$550)-ROW(Накл!$B$9)+1),ROW(D295)-ROW(A287)+1)),"")," ",IFERROR(INDEX(Накл!$C$9:$C$550,SMALL(IF(Накл!$B$9:$B$550=A287,ROW(Накл!$B$9:$B$550)-ROW(Накл!$B$9)+1),ROW(D296)-ROW(A287)+1)),""))</f>
        <v xml:space="preserve">         </v>
      </c>
      <c r="E287" s="26" t="str">
        <f t="array" ref="E287">IF(LEN(D287)&lt;10,CONCATENATE(IFERROR(INDEX(Накл!$C$9:$C$550,SMALL(IF(Накл!$A$9:$A$550=VALUE(LEFT(A287,8)),ROW(Накл!$A$9:$A$550)-ROW(Накл!$A$9)+1),ROW(E287)-ROW(B287)+1)),"")," ",IFERROR(INDEX(Накл!$C$9:$C$550,SMALL(IF(Накл!$A$9:$A$550=VALUE(LEFT(A287,8)),ROW(Накл!$A$9:$A$550)-ROW(Накл!$A$9)+1),ROW(E288)-ROW(B287)+1)),"")," ",IFERROR(INDEX(Накл!$C$9:$C$550,SMALL(IF(Накл!$A$9:$A$550=VALUE(LEFT(A287,8)),ROW(Накл!$A$9:$A$550)-ROW(Накл!$A$9)+1),ROW(E289)-ROW(B287)+1)),"")," ",IFERROR(INDEX(Накл!$C$9:$C$550,SMALL(IF(Накл!$A$9:$A$550=VALUE(LEFT(A287,8)),ROW(Накл!$A$9:$A$550)-ROW(Накл!$A$9)+1),ROW(E290)-ROW(B287)+1)),"")),"")</f>
        <v xml:space="preserve">   </v>
      </c>
    </row>
    <row r="288" spans="1:5">
      <c r="A288" s="26" t="str">
        <f>IFERROR(CONCATENATE(VALUE(SUBSTITUTE(SUBSTITUTE(LEFT(Накл!G295,11),".",""),"-",""))," ",Накл!J295),"-")</f>
        <v>-</v>
      </c>
      <c r="B288" s="26" t="str">
        <f>IFERROR(VLOOKUP(VALUE(LEFT(A288,8)),Накл!$A$9:$D$550,4,0),"-")</f>
        <v>-</v>
      </c>
      <c r="C288" s="26">
        <f>Накл!J295</f>
        <v>0</v>
      </c>
      <c r="D288" s="33" t="str">
        <f t="array" ref="D288">CONCATENATE(IFERROR(INDEX(Накл!$C$9:$C$550,SMALL(IF(Накл!$B$9:$B$550=A288,ROW(Накл!$B$9:$B$550)-ROW(Накл!$B$9)+1),ROW(D288)-ROW(A288)+1)),"")," ",IFERROR(INDEX(Накл!$C$9:$C$550,SMALL(IF(Накл!$B$9:$B$550=A288,ROW(Накл!$B$9:$B$550)-ROW(Накл!$B$9)+1),ROW(D289)-ROW(A288)+1)),"")," ",IFERROR(INDEX(Накл!$C$9:$C$550,SMALL(IF(Накл!$B$9:$B$550=A288,ROW(Накл!$B$9:$B$550)-ROW(Накл!$B$9)+1),ROW(D290)-ROW(A288)+1)),"")," ",IFERROR(INDEX(Накл!$C$9:$C$550,SMALL(IF(Накл!$B$9:$B$550=A288,ROW(Накл!$B$9:$B$550)-ROW(Накл!$B$9)+1),ROW(D291)-ROW(A288)+1)),"")," ",IFERROR(INDEX(Накл!$C$9:$C$550,SMALL(IF(Накл!$B$9:$B$550=A288,ROW(Накл!$B$9:$B$550)-ROW(Накл!$B$9)+1),ROW(D292)-ROW(A288)+1)),"")," ",IFERROR(INDEX(Накл!$C$9:$C$550,SMALL(IF(Накл!$B$9:$B$550=A288,ROW(Накл!$B$9:$B$550)-ROW(Накл!$B$9)+1),ROW(D293)-ROW(A288)+1)),"")," ",IFERROR(INDEX(Накл!$C$9:$C$550,SMALL(IF(Накл!$B$9:$B$550=A288,ROW(Накл!$B$9:$B$550)-ROW(Накл!$B$9)+1),ROW(D294)-ROW(A288)+1)),"")," ",IFERROR(INDEX(Накл!$C$9:$C$550,SMALL(IF(Накл!$B$9:$B$550=A288,ROW(Накл!$B$9:$B$550)-ROW(Накл!$B$9)+1),ROW(D295)-ROW(A288)+1)),"")," ",IFERROR(INDEX(Накл!$C$9:$C$550,SMALL(IF(Накл!$B$9:$B$550=A288,ROW(Накл!$B$9:$B$550)-ROW(Накл!$B$9)+1),ROW(D296)-ROW(A288)+1)),"")," ",IFERROR(INDEX(Накл!$C$9:$C$550,SMALL(IF(Накл!$B$9:$B$550=A288,ROW(Накл!$B$9:$B$550)-ROW(Накл!$B$9)+1),ROW(D297)-ROW(A288)+1)),""))</f>
        <v xml:space="preserve">         </v>
      </c>
      <c r="E288" s="26" t="str">
        <f t="array" ref="E288">IF(LEN(D288)&lt;10,CONCATENATE(IFERROR(INDEX(Накл!$C$9:$C$550,SMALL(IF(Накл!$A$9:$A$550=VALUE(LEFT(A288,8)),ROW(Накл!$A$9:$A$550)-ROW(Накл!$A$9)+1),ROW(E288)-ROW(B288)+1)),"")," ",IFERROR(INDEX(Накл!$C$9:$C$550,SMALL(IF(Накл!$A$9:$A$550=VALUE(LEFT(A288,8)),ROW(Накл!$A$9:$A$550)-ROW(Накл!$A$9)+1),ROW(E289)-ROW(B288)+1)),"")," ",IFERROR(INDEX(Накл!$C$9:$C$550,SMALL(IF(Накл!$A$9:$A$550=VALUE(LEFT(A288,8)),ROW(Накл!$A$9:$A$550)-ROW(Накл!$A$9)+1),ROW(E290)-ROW(B288)+1)),"")," ",IFERROR(INDEX(Накл!$C$9:$C$550,SMALL(IF(Накл!$A$9:$A$550=VALUE(LEFT(A288,8)),ROW(Накл!$A$9:$A$550)-ROW(Накл!$A$9)+1),ROW(E291)-ROW(B288)+1)),"")),"")</f>
        <v xml:space="preserve">   </v>
      </c>
    </row>
    <row r="289" spans="1:5">
      <c r="A289" s="26" t="str">
        <f>IFERROR(CONCATENATE(VALUE(SUBSTITUTE(SUBSTITUTE(LEFT(Накл!G296,11),".",""),"-",""))," ",Накл!J296),"-")</f>
        <v>-</v>
      </c>
      <c r="B289" s="26" t="str">
        <f>IFERROR(VLOOKUP(VALUE(LEFT(A289,8)),Накл!$A$9:$D$550,4,0),"-")</f>
        <v>-</v>
      </c>
      <c r="C289" s="26">
        <f>Накл!J296</f>
        <v>0</v>
      </c>
      <c r="D289" s="33" t="str">
        <f t="array" ref="D289">CONCATENATE(IFERROR(INDEX(Накл!$C$9:$C$550,SMALL(IF(Накл!$B$9:$B$550=A289,ROW(Накл!$B$9:$B$550)-ROW(Накл!$B$9)+1),ROW(D289)-ROW(A289)+1)),"")," ",IFERROR(INDEX(Накл!$C$9:$C$550,SMALL(IF(Накл!$B$9:$B$550=A289,ROW(Накл!$B$9:$B$550)-ROW(Накл!$B$9)+1),ROW(D290)-ROW(A289)+1)),"")," ",IFERROR(INDEX(Накл!$C$9:$C$550,SMALL(IF(Накл!$B$9:$B$550=A289,ROW(Накл!$B$9:$B$550)-ROW(Накл!$B$9)+1),ROW(D291)-ROW(A289)+1)),"")," ",IFERROR(INDEX(Накл!$C$9:$C$550,SMALL(IF(Накл!$B$9:$B$550=A289,ROW(Накл!$B$9:$B$550)-ROW(Накл!$B$9)+1),ROW(D292)-ROW(A289)+1)),"")," ",IFERROR(INDEX(Накл!$C$9:$C$550,SMALL(IF(Накл!$B$9:$B$550=A289,ROW(Накл!$B$9:$B$550)-ROW(Накл!$B$9)+1),ROW(D293)-ROW(A289)+1)),"")," ",IFERROR(INDEX(Накл!$C$9:$C$550,SMALL(IF(Накл!$B$9:$B$550=A289,ROW(Накл!$B$9:$B$550)-ROW(Накл!$B$9)+1),ROW(D294)-ROW(A289)+1)),"")," ",IFERROR(INDEX(Накл!$C$9:$C$550,SMALL(IF(Накл!$B$9:$B$550=A289,ROW(Накл!$B$9:$B$550)-ROW(Накл!$B$9)+1),ROW(D295)-ROW(A289)+1)),"")," ",IFERROR(INDEX(Накл!$C$9:$C$550,SMALL(IF(Накл!$B$9:$B$550=A289,ROW(Накл!$B$9:$B$550)-ROW(Накл!$B$9)+1),ROW(D296)-ROW(A289)+1)),"")," ",IFERROR(INDEX(Накл!$C$9:$C$550,SMALL(IF(Накл!$B$9:$B$550=A289,ROW(Накл!$B$9:$B$550)-ROW(Накл!$B$9)+1),ROW(D297)-ROW(A289)+1)),"")," ",IFERROR(INDEX(Накл!$C$9:$C$550,SMALL(IF(Накл!$B$9:$B$550=A289,ROW(Накл!$B$9:$B$550)-ROW(Накл!$B$9)+1),ROW(D298)-ROW(A289)+1)),""))</f>
        <v xml:space="preserve">         </v>
      </c>
      <c r="E289" s="26" t="str">
        <f t="array" ref="E289">IF(LEN(D289)&lt;10,CONCATENATE(IFERROR(INDEX(Накл!$C$9:$C$550,SMALL(IF(Накл!$A$9:$A$550=VALUE(LEFT(A289,8)),ROW(Накл!$A$9:$A$550)-ROW(Накл!$A$9)+1),ROW(E289)-ROW(B289)+1)),"")," ",IFERROR(INDEX(Накл!$C$9:$C$550,SMALL(IF(Накл!$A$9:$A$550=VALUE(LEFT(A289,8)),ROW(Накл!$A$9:$A$550)-ROW(Накл!$A$9)+1),ROW(E290)-ROW(B289)+1)),"")," ",IFERROR(INDEX(Накл!$C$9:$C$550,SMALL(IF(Накл!$A$9:$A$550=VALUE(LEFT(A289,8)),ROW(Накл!$A$9:$A$550)-ROW(Накл!$A$9)+1),ROW(E291)-ROW(B289)+1)),"")," ",IFERROR(INDEX(Накл!$C$9:$C$550,SMALL(IF(Накл!$A$9:$A$550=VALUE(LEFT(A289,8)),ROW(Накл!$A$9:$A$550)-ROW(Накл!$A$9)+1),ROW(E292)-ROW(B289)+1)),"")),"")</f>
        <v xml:space="preserve">   </v>
      </c>
    </row>
    <row r="290" spans="1:5">
      <c r="A290" s="26" t="str">
        <f>IFERROR(CONCATENATE(VALUE(SUBSTITUTE(SUBSTITUTE(LEFT(Накл!G297,11),".",""),"-",""))," ",Накл!J297),"-")</f>
        <v>-</v>
      </c>
      <c r="B290" s="26" t="str">
        <f>IFERROR(VLOOKUP(VALUE(LEFT(A290,8)),Накл!$A$9:$D$550,4,0),"-")</f>
        <v>-</v>
      </c>
      <c r="C290" s="26">
        <f>Накл!J297</f>
        <v>0</v>
      </c>
      <c r="D290" s="33" t="str">
        <f t="array" ref="D290">CONCATENATE(IFERROR(INDEX(Накл!$C$9:$C$550,SMALL(IF(Накл!$B$9:$B$550=A290,ROW(Накл!$B$9:$B$550)-ROW(Накл!$B$9)+1),ROW(D290)-ROW(A290)+1)),"")," ",IFERROR(INDEX(Накл!$C$9:$C$550,SMALL(IF(Накл!$B$9:$B$550=A290,ROW(Накл!$B$9:$B$550)-ROW(Накл!$B$9)+1),ROW(D291)-ROW(A290)+1)),"")," ",IFERROR(INDEX(Накл!$C$9:$C$550,SMALL(IF(Накл!$B$9:$B$550=A290,ROW(Накл!$B$9:$B$550)-ROW(Накл!$B$9)+1),ROW(D292)-ROW(A290)+1)),"")," ",IFERROR(INDEX(Накл!$C$9:$C$550,SMALL(IF(Накл!$B$9:$B$550=A290,ROW(Накл!$B$9:$B$550)-ROW(Накл!$B$9)+1),ROW(D293)-ROW(A290)+1)),"")," ",IFERROR(INDEX(Накл!$C$9:$C$550,SMALL(IF(Накл!$B$9:$B$550=A290,ROW(Накл!$B$9:$B$550)-ROW(Накл!$B$9)+1),ROW(D294)-ROW(A290)+1)),"")," ",IFERROR(INDEX(Накл!$C$9:$C$550,SMALL(IF(Накл!$B$9:$B$550=A290,ROW(Накл!$B$9:$B$550)-ROW(Накл!$B$9)+1),ROW(D295)-ROW(A290)+1)),"")," ",IFERROR(INDEX(Накл!$C$9:$C$550,SMALL(IF(Накл!$B$9:$B$550=A290,ROW(Накл!$B$9:$B$550)-ROW(Накл!$B$9)+1),ROW(D296)-ROW(A290)+1)),"")," ",IFERROR(INDEX(Накл!$C$9:$C$550,SMALL(IF(Накл!$B$9:$B$550=A290,ROW(Накл!$B$9:$B$550)-ROW(Накл!$B$9)+1),ROW(D297)-ROW(A290)+1)),"")," ",IFERROR(INDEX(Накл!$C$9:$C$550,SMALL(IF(Накл!$B$9:$B$550=A290,ROW(Накл!$B$9:$B$550)-ROW(Накл!$B$9)+1),ROW(D298)-ROW(A290)+1)),"")," ",IFERROR(INDEX(Накл!$C$9:$C$550,SMALL(IF(Накл!$B$9:$B$550=A290,ROW(Накл!$B$9:$B$550)-ROW(Накл!$B$9)+1),ROW(D299)-ROW(A290)+1)),""))</f>
        <v xml:space="preserve">         </v>
      </c>
      <c r="E290" s="26" t="str">
        <f t="array" ref="E290">IF(LEN(D290)&lt;10,CONCATENATE(IFERROR(INDEX(Накл!$C$9:$C$550,SMALL(IF(Накл!$A$9:$A$550=VALUE(LEFT(A290,8)),ROW(Накл!$A$9:$A$550)-ROW(Накл!$A$9)+1),ROW(E290)-ROW(B290)+1)),"")," ",IFERROR(INDEX(Накл!$C$9:$C$550,SMALL(IF(Накл!$A$9:$A$550=VALUE(LEFT(A290,8)),ROW(Накл!$A$9:$A$550)-ROW(Накл!$A$9)+1),ROW(E291)-ROW(B290)+1)),"")," ",IFERROR(INDEX(Накл!$C$9:$C$550,SMALL(IF(Накл!$A$9:$A$550=VALUE(LEFT(A290,8)),ROW(Накл!$A$9:$A$550)-ROW(Накл!$A$9)+1),ROW(E292)-ROW(B290)+1)),"")," ",IFERROR(INDEX(Накл!$C$9:$C$550,SMALL(IF(Накл!$A$9:$A$550=VALUE(LEFT(A290,8)),ROW(Накл!$A$9:$A$550)-ROW(Накл!$A$9)+1),ROW(E293)-ROW(B290)+1)),"")),"")</f>
        <v xml:space="preserve">   </v>
      </c>
    </row>
    <row r="291" spans="1:5">
      <c r="A291" s="26" t="str">
        <f>IFERROR(CONCATENATE(VALUE(SUBSTITUTE(SUBSTITUTE(LEFT(Накл!G298,11),".",""),"-",""))," ",Накл!J298),"-")</f>
        <v>-</v>
      </c>
      <c r="B291" s="26" t="str">
        <f>IFERROR(VLOOKUP(VALUE(LEFT(A291,8)),Накл!$A$9:$D$550,4,0),"-")</f>
        <v>-</v>
      </c>
      <c r="C291" s="26">
        <f>Накл!J298</f>
        <v>0</v>
      </c>
      <c r="D291" s="33" t="str">
        <f t="array" ref="D291">CONCATENATE(IFERROR(INDEX(Накл!$C$9:$C$550,SMALL(IF(Накл!$B$9:$B$550=A291,ROW(Накл!$B$9:$B$550)-ROW(Накл!$B$9)+1),ROW(D291)-ROW(A291)+1)),"")," ",IFERROR(INDEX(Накл!$C$9:$C$550,SMALL(IF(Накл!$B$9:$B$550=A291,ROW(Накл!$B$9:$B$550)-ROW(Накл!$B$9)+1),ROW(D292)-ROW(A291)+1)),"")," ",IFERROR(INDEX(Накл!$C$9:$C$550,SMALL(IF(Накл!$B$9:$B$550=A291,ROW(Накл!$B$9:$B$550)-ROW(Накл!$B$9)+1),ROW(D293)-ROW(A291)+1)),"")," ",IFERROR(INDEX(Накл!$C$9:$C$550,SMALL(IF(Накл!$B$9:$B$550=A291,ROW(Накл!$B$9:$B$550)-ROW(Накл!$B$9)+1),ROW(D294)-ROW(A291)+1)),"")," ",IFERROR(INDEX(Накл!$C$9:$C$550,SMALL(IF(Накл!$B$9:$B$550=A291,ROW(Накл!$B$9:$B$550)-ROW(Накл!$B$9)+1),ROW(D295)-ROW(A291)+1)),"")," ",IFERROR(INDEX(Накл!$C$9:$C$550,SMALL(IF(Накл!$B$9:$B$550=A291,ROW(Накл!$B$9:$B$550)-ROW(Накл!$B$9)+1),ROW(D296)-ROW(A291)+1)),"")," ",IFERROR(INDEX(Накл!$C$9:$C$550,SMALL(IF(Накл!$B$9:$B$550=A291,ROW(Накл!$B$9:$B$550)-ROW(Накл!$B$9)+1),ROW(D297)-ROW(A291)+1)),"")," ",IFERROR(INDEX(Накл!$C$9:$C$550,SMALL(IF(Накл!$B$9:$B$550=A291,ROW(Накл!$B$9:$B$550)-ROW(Накл!$B$9)+1),ROW(D298)-ROW(A291)+1)),"")," ",IFERROR(INDEX(Накл!$C$9:$C$550,SMALL(IF(Накл!$B$9:$B$550=A291,ROW(Накл!$B$9:$B$550)-ROW(Накл!$B$9)+1),ROW(D299)-ROW(A291)+1)),"")," ",IFERROR(INDEX(Накл!$C$9:$C$550,SMALL(IF(Накл!$B$9:$B$550=A291,ROW(Накл!$B$9:$B$550)-ROW(Накл!$B$9)+1),ROW(D300)-ROW(A291)+1)),""))</f>
        <v xml:space="preserve">         </v>
      </c>
      <c r="E291" s="26" t="str">
        <f t="array" ref="E291">IF(LEN(D291)&lt;10,CONCATENATE(IFERROR(INDEX(Накл!$C$9:$C$550,SMALL(IF(Накл!$A$9:$A$550=VALUE(LEFT(A291,8)),ROW(Накл!$A$9:$A$550)-ROW(Накл!$A$9)+1),ROW(E291)-ROW(B291)+1)),"")," ",IFERROR(INDEX(Накл!$C$9:$C$550,SMALL(IF(Накл!$A$9:$A$550=VALUE(LEFT(A291,8)),ROW(Накл!$A$9:$A$550)-ROW(Накл!$A$9)+1),ROW(E292)-ROW(B291)+1)),"")," ",IFERROR(INDEX(Накл!$C$9:$C$550,SMALL(IF(Накл!$A$9:$A$550=VALUE(LEFT(A291,8)),ROW(Накл!$A$9:$A$550)-ROW(Накл!$A$9)+1),ROW(E293)-ROW(B291)+1)),"")," ",IFERROR(INDEX(Накл!$C$9:$C$550,SMALL(IF(Накл!$A$9:$A$550=VALUE(LEFT(A291,8)),ROW(Накл!$A$9:$A$550)-ROW(Накл!$A$9)+1),ROW(E294)-ROW(B291)+1)),"")),"")</f>
        <v xml:space="preserve">   </v>
      </c>
    </row>
    <row r="292" spans="1:5">
      <c r="A292" s="26" t="str">
        <f>IFERROR(CONCATENATE(VALUE(SUBSTITUTE(SUBSTITUTE(LEFT(Накл!G299,11),".",""),"-",""))," ",Накл!J299),"-")</f>
        <v>-</v>
      </c>
      <c r="B292" s="26" t="str">
        <f>IFERROR(VLOOKUP(VALUE(LEFT(A292,8)),Накл!$A$9:$D$550,4,0),"-")</f>
        <v>-</v>
      </c>
      <c r="C292" s="26">
        <f>Накл!J299</f>
        <v>0</v>
      </c>
      <c r="D292" s="33" t="str">
        <f t="array" ref="D292">CONCATENATE(IFERROR(INDEX(Накл!$C$9:$C$550,SMALL(IF(Накл!$B$9:$B$550=A292,ROW(Накл!$B$9:$B$550)-ROW(Накл!$B$9)+1),ROW(D292)-ROW(A292)+1)),"")," ",IFERROR(INDEX(Накл!$C$9:$C$550,SMALL(IF(Накл!$B$9:$B$550=A292,ROW(Накл!$B$9:$B$550)-ROW(Накл!$B$9)+1),ROW(D293)-ROW(A292)+1)),"")," ",IFERROR(INDEX(Накл!$C$9:$C$550,SMALL(IF(Накл!$B$9:$B$550=A292,ROW(Накл!$B$9:$B$550)-ROW(Накл!$B$9)+1),ROW(D294)-ROW(A292)+1)),"")," ",IFERROR(INDEX(Накл!$C$9:$C$550,SMALL(IF(Накл!$B$9:$B$550=A292,ROW(Накл!$B$9:$B$550)-ROW(Накл!$B$9)+1),ROW(D295)-ROW(A292)+1)),"")," ",IFERROR(INDEX(Накл!$C$9:$C$550,SMALL(IF(Накл!$B$9:$B$550=A292,ROW(Накл!$B$9:$B$550)-ROW(Накл!$B$9)+1),ROW(D296)-ROW(A292)+1)),"")," ",IFERROR(INDEX(Накл!$C$9:$C$550,SMALL(IF(Накл!$B$9:$B$550=A292,ROW(Накл!$B$9:$B$550)-ROW(Накл!$B$9)+1),ROW(D297)-ROW(A292)+1)),"")," ",IFERROR(INDEX(Накл!$C$9:$C$550,SMALL(IF(Накл!$B$9:$B$550=A292,ROW(Накл!$B$9:$B$550)-ROW(Накл!$B$9)+1),ROW(D298)-ROW(A292)+1)),"")," ",IFERROR(INDEX(Накл!$C$9:$C$550,SMALL(IF(Накл!$B$9:$B$550=A292,ROW(Накл!$B$9:$B$550)-ROW(Накл!$B$9)+1),ROW(D299)-ROW(A292)+1)),"")," ",IFERROR(INDEX(Накл!$C$9:$C$550,SMALL(IF(Накл!$B$9:$B$550=A292,ROW(Накл!$B$9:$B$550)-ROW(Накл!$B$9)+1),ROW(D300)-ROW(A292)+1)),"")," ",IFERROR(INDEX(Накл!$C$9:$C$550,SMALL(IF(Накл!$B$9:$B$550=A292,ROW(Накл!$B$9:$B$550)-ROW(Накл!$B$9)+1),ROW(D301)-ROW(A292)+1)),""))</f>
        <v xml:space="preserve">         </v>
      </c>
      <c r="E292" s="26" t="str">
        <f t="array" ref="E292">IF(LEN(D292)&lt;10,CONCATENATE(IFERROR(INDEX(Накл!$C$9:$C$550,SMALL(IF(Накл!$A$9:$A$550=VALUE(LEFT(A292,8)),ROW(Накл!$A$9:$A$550)-ROW(Накл!$A$9)+1),ROW(E292)-ROW(B292)+1)),"")," ",IFERROR(INDEX(Накл!$C$9:$C$550,SMALL(IF(Накл!$A$9:$A$550=VALUE(LEFT(A292,8)),ROW(Накл!$A$9:$A$550)-ROW(Накл!$A$9)+1),ROW(E293)-ROW(B292)+1)),"")," ",IFERROR(INDEX(Накл!$C$9:$C$550,SMALL(IF(Накл!$A$9:$A$550=VALUE(LEFT(A292,8)),ROW(Накл!$A$9:$A$550)-ROW(Накл!$A$9)+1),ROW(E294)-ROW(B292)+1)),"")," ",IFERROR(INDEX(Накл!$C$9:$C$550,SMALL(IF(Накл!$A$9:$A$550=VALUE(LEFT(A292,8)),ROW(Накл!$A$9:$A$550)-ROW(Накл!$A$9)+1),ROW(E295)-ROW(B292)+1)),"")),"")</f>
        <v xml:space="preserve">   </v>
      </c>
    </row>
    <row r="293" spans="1:5">
      <c r="A293" s="26" t="str">
        <f>IFERROR(CONCATENATE(VALUE(SUBSTITUTE(SUBSTITUTE(LEFT(Накл!G300,11),".",""),"-",""))," ",Накл!J300),"-")</f>
        <v>-</v>
      </c>
      <c r="B293" s="26" t="str">
        <f>IFERROR(VLOOKUP(VALUE(LEFT(A293,8)),Накл!$A$9:$D$550,4,0),"-")</f>
        <v>-</v>
      </c>
      <c r="C293" s="26">
        <f>Накл!J300</f>
        <v>0</v>
      </c>
      <c r="D293" s="33" t="str">
        <f t="array" ref="D293">CONCATENATE(IFERROR(INDEX(Накл!$C$9:$C$550,SMALL(IF(Накл!$B$9:$B$550=A293,ROW(Накл!$B$9:$B$550)-ROW(Накл!$B$9)+1),ROW(D293)-ROW(A293)+1)),"")," ",IFERROR(INDEX(Накл!$C$9:$C$550,SMALL(IF(Накл!$B$9:$B$550=A293,ROW(Накл!$B$9:$B$550)-ROW(Накл!$B$9)+1),ROW(D294)-ROW(A293)+1)),"")," ",IFERROR(INDEX(Накл!$C$9:$C$550,SMALL(IF(Накл!$B$9:$B$550=A293,ROW(Накл!$B$9:$B$550)-ROW(Накл!$B$9)+1),ROW(D295)-ROW(A293)+1)),"")," ",IFERROR(INDEX(Накл!$C$9:$C$550,SMALL(IF(Накл!$B$9:$B$550=A293,ROW(Накл!$B$9:$B$550)-ROW(Накл!$B$9)+1),ROW(D296)-ROW(A293)+1)),"")," ",IFERROR(INDEX(Накл!$C$9:$C$550,SMALL(IF(Накл!$B$9:$B$550=A293,ROW(Накл!$B$9:$B$550)-ROW(Накл!$B$9)+1),ROW(D297)-ROW(A293)+1)),"")," ",IFERROR(INDEX(Накл!$C$9:$C$550,SMALL(IF(Накл!$B$9:$B$550=A293,ROW(Накл!$B$9:$B$550)-ROW(Накл!$B$9)+1),ROW(D298)-ROW(A293)+1)),"")," ",IFERROR(INDEX(Накл!$C$9:$C$550,SMALL(IF(Накл!$B$9:$B$550=A293,ROW(Накл!$B$9:$B$550)-ROW(Накл!$B$9)+1),ROW(D299)-ROW(A293)+1)),"")," ",IFERROR(INDEX(Накл!$C$9:$C$550,SMALL(IF(Накл!$B$9:$B$550=A293,ROW(Накл!$B$9:$B$550)-ROW(Накл!$B$9)+1),ROW(D300)-ROW(A293)+1)),"")," ",IFERROR(INDEX(Накл!$C$9:$C$550,SMALL(IF(Накл!$B$9:$B$550=A293,ROW(Накл!$B$9:$B$550)-ROW(Накл!$B$9)+1),ROW(D301)-ROW(A293)+1)),"")," ",IFERROR(INDEX(Накл!$C$9:$C$550,SMALL(IF(Накл!$B$9:$B$550=A293,ROW(Накл!$B$9:$B$550)-ROW(Накл!$B$9)+1),ROW(D302)-ROW(A293)+1)),""))</f>
        <v xml:space="preserve">         </v>
      </c>
      <c r="E293" s="26" t="str">
        <f t="array" ref="E293">IF(LEN(D293)&lt;10,CONCATENATE(IFERROR(INDEX(Накл!$C$9:$C$550,SMALL(IF(Накл!$A$9:$A$550=VALUE(LEFT(A293,8)),ROW(Накл!$A$9:$A$550)-ROW(Накл!$A$9)+1),ROW(E293)-ROW(B293)+1)),"")," ",IFERROR(INDEX(Накл!$C$9:$C$550,SMALL(IF(Накл!$A$9:$A$550=VALUE(LEFT(A293,8)),ROW(Накл!$A$9:$A$550)-ROW(Накл!$A$9)+1),ROW(E294)-ROW(B293)+1)),"")," ",IFERROR(INDEX(Накл!$C$9:$C$550,SMALL(IF(Накл!$A$9:$A$550=VALUE(LEFT(A293,8)),ROW(Накл!$A$9:$A$550)-ROW(Накл!$A$9)+1),ROW(E295)-ROW(B293)+1)),"")," ",IFERROR(INDEX(Накл!$C$9:$C$550,SMALL(IF(Накл!$A$9:$A$550=VALUE(LEFT(A293,8)),ROW(Накл!$A$9:$A$550)-ROW(Накл!$A$9)+1),ROW(E296)-ROW(B293)+1)),"")),"")</f>
        <v xml:space="preserve">   </v>
      </c>
    </row>
    <row r="294" spans="1:5">
      <c r="A294" s="26" t="str">
        <f>IFERROR(CONCATENATE(VALUE(SUBSTITUTE(SUBSTITUTE(LEFT(Накл!G301,11),".",""),"-",""))," ",Накл!J301),"-")</f>
        <v>-</v>
      </c>
      <c r="B294" s="26" t="str">
        <f>IFERROR(VLOOKUP(VALUE(LEFT(A294,8)),Накл!$A$9:$D$550,4,0),"-")</f>
        <v>-</v>
      </c>
      <c r="C294" s="26">
        <f>Накл!J301</f>
        <v>0</v>
      </c>
      <c r="D294" s="33" t="str">
        <f t="array" ref="D294">CONCATENATE(IFERROR(INDEX(Накл!$C$9:$C$550,SMALL(IF(Накл!$B$9:$B$550=A294,ROW(Накл!$B$9:$B$550)-ROW(Накл!$B$9)+1),ROW(D294)-ROW(A294)+1)),"")," ",IFERROR(INDEX(Накл!$C$9:$C$550,SMALL(IF(Накл!$B$9:$B$550=A294,ROW(Накл!$B$9:$B$550)-ROW(Накл!$B$9)+1),ROW(D295)-ROW(A294)+1)),"")," ",IFERROR(INDEX(Накл!$C$9:$C$550,SMALL(IF(Накл!$B$9:$B$550=A294,ROW(Накл!$B$9:$B$550)-ROW(Накл!$B$9)+1),ROW(D296)-ROW(A294)+1)),"")," ",IFERROR(INDEX(Накл!$C$9:$C$550,SMALL(IF(Накл!$B$9:$B$550=A294,ROW(Накл!$B$9:$B$550)-ROW(Накл!$B$9)+1),ROW(D297)-ROW(A294)+1)),"")," ",IFERROR(INDEX(Накл!$C$9:$C$550,SMALL(IF(Накл!$B$9:$B$550=A294,ROW(Накл!$B$9:$B$550)-ROW(Накл!$B$9)+1),ROW(D298)-ROW(A294)+1)),"")," ",IFERROR(INDEX(Накл!$C$9:$C$550,SMALL(IF(Накл!$B$9:$B$550=A294,ROW(Накл!$B$9:$B$550)-ROW(Накл!$B$9)+1),ROW(D299)-ROW(A294)+1)),"")," ",IFERROR(INDEX(Накл!$C$9:$C$550,SMALL(IF(Накл!$B$9:$B$550=A294,ROW(Накл!$B$9:$B$550)-ROW(Накл!$B$9)+1),ROW(D300)-ROW(A294)+1)),"")," ",IFERROR(INDEX(Накл!$C$9:$C$550,SMALL(IF(Накл!$B$9:$B$550=A294,ROW(Накл!$B$9:$B$550)-ROW(Накл!$B$9)+1),ROW(D301)-ROW(A294)+1)),"")," ",IFERROR(INDEX(Накл!$C$9:$C$550,SMALL(IF(Накл!$B$9:$B$550=A294,ROW(Накл!$B$9:$B$550)-ROW(Накл!$B$9)+1),ROW(D302)-ROW(A294)+1)),"")," ",IFERROR(INDEX(Накл!$C$9:$C$550,SMALL(IF(Накл!$B$9:$B$550=A294,ROW(Накл!$B$9:$B$550)-ROW(Накл!$B$9)+1),ROW(D303)-ROW(A294)+1)),""))</f>
        <v xml:space="preserve">         </v>
      </c>
      <c r="E294" s="26" t="str">
        <f t="array" ref="E294">IF(LEN(D294)&lt;10,CONCATENATE(IFERROR(INDEX(Накл!$C$9:$C$550,SMALL(IF(Накл!$A$9:$A$550=VALUE(LEFT(A294,8)),ROW(Накл!$A$9:$A$550)-ROW(Накл!$A$9)+1),ROW(E294)-ROW(B294)+1)),"")," ",IFERROR(INDEX(Накл!$C$9:$C$550,SMALL(IF(Накл!$A$9:$A$550=VALUE(LEFT(A294,8)),ROW(Накл!$A$9:$A$550)-ROW(Накл!$A$9)+1),ROW(E295)-ROW(B294)+1)),"")," ",IFERROR(INDEX(Накл!$C$9:$C$550,SMALL(IF(Накл!$A$9:$A$550=VALUE(LEFT(A294,8)),ROW(Накл!$A$9:$A$550)-ROW(Накл!$A$9)+1),ROW(E296)-ROW(B294)+1)),"")," ",IFERROR(INDEX(Накл!$C$9:$C$550,SMALL(IF(Накл!$A$9:$A$550=VALUE(LEFT(A294,8)),ROW(Накл!$A$9:$A$550)-ROW(Накл!$A$9)+1),ROW(E297)-ROW(B294)+1)),"")),"")</f>
        <v xml:space="preserve">   </v>
      </c>
    </row>
    <row r="295" spans="1:5">
      <c r="A295" s="26" t="str">
        <f>IFERROR(CONCATENATE(VALUE(SUBSTITUTE(SUBSTITUTE(LEFT(Накл!G302,11),".",""),"-",""))," ",Накл!J302),"-")</f>
        <v>-</v>
      </c>
      <c r="B295" s="26" t="str">
        <f>IFERROR(VLOOKUP(VALUE(LEFT(A295,8)),Накл!$A$9:$D$550,4,0),"-")</f>
        <v>-</v>
      </c>
      <c r="C295" s="26">
        <f>Накл!J302</f>
        <v>0</v>
      </c>
      <c r="D295" s="33" t="str">
        <f t="array" ref="D295">CONCATENATE(IFERROR(INDEX(Накл!$C$9:$C$550,SMALL(IF(Накл!$B$9:$B$550=A295,ROW(Накл!$B$9:$B$550)-ROW(Накл!$B$9)+1),ROW(D295)-ROW(A295)+1)),"")," ",IFERROR(INDEX(Накл!$C$9:$C$550,SMALL(IF(Накл!$B$9:$B$550=A295,ROW(Накл!$B$9:$B$550)-ROW(Накл!$B$9)+1),ROW(D296)-ROW(A295)+1)),"")," ",IFERROR(INDEX(Накл!$C$9:$C$550,SMALL(IF(Накл!$B$9:$B$550=A295,ROW(Накл!$B$9:$B$550)-ROW(Накл!$B$9)+1),ROW(D297)-ROW(A295)+1)),"")," ",IFERROR(INDEX(Накл!$C$9:$C$550,SMALL(IF(Накл!$B$9:$B$550=A295,ROW(Накл!$B$9:$B$550)-ROW(Накл!$B$9)+1),ROW(D298)-ROW(A295)+1)),"")," ",IFERROR(INDEX(Накл!$C$9:$C$550,SMALL(IF(Накл!$B$9:$B$550=A295,ROW(Накл!$B$9:$B$550)-ROW(Накл!$B$9)+1),ROW(D299)-ROW(A295)+1)),"")," ",IFERROR(INDEX(Накл!$C$9:$C$550,SMALL(IF(Накл!$B$9:$B$550=A295,ROW(Накл!$B$9:$B$550)-ROW(Накл!$B$9)+1),ROW(D300)-ROW(A295)+1)),"")," ",IFERROR(INDEX(Накл!$C$9:$C$550,SMALL(IF(Накл!$B$9:$B$550=A295,ROW(Накл!$B$9:$B$550)-ROW(Накл!$B$9)+1),ROW(D301)-ROW(A295)+1)),"")," ",IFERROR(INDEX(Накл!$C$9:$C$550,SMALL(IF(Накл!$B$9:$B$550=A295,ROW(Накл!$B$9:$B$550)-ROW(Накл!$B$9)+1),ROW(D302)-ROW(A295)+1)),"")," ",IFERROR(INDEX(Накл!$C$9:$C$550,SMALL(IF(Накл!$B$9:$B$550=A295,ROW(Накл!$B$9:$B$550)-ROW(Накл!$B$9)+1),ROW(D303)-ROW(A295)+1)),"")," ",IFERROR(INDEX(Накл!$C$9:$C$550,SMALL(IF(Накл!$B$9:$B$550=A295,ROW(Накл!$B$9:$B$550)-ROW(Накл!$B$9)+1),ROW(D304)-ROW(A295)+1)),""))</f>
        <v xml:space="preserve">         </v>
      </c>
      <c r="E295" s="26" t="str">
        <f t="array" ref="E295">IF(LEN(D295)&lt;10,CONCATENATE(IFERROR(INDEX(Накл!$C$9:$C$550,SMALL(IF(Накл!$A$9:$A$550=VALUE(LEFT(A295,8)),ROW(Накл!$A$9:$A$550)-ROW(Накл!$A$9)+1),ROW(E295)-ROW(B295)+1)),"")," ",IFERROR(INDEX(Накл!$C$9:$C$550,SMALL(IF(Накл!$A$9:$A$550=VALUE(LEFT(A295,8)),ROW(Накл!$A$9:$A$550)-ROW(Накл!$A$9)+1),ROW(E296)-ROW(B295)+1)),"")," ",IFERROR(INDEX(Накл!$C$9:$C$550,SMALL(IF(Накл!$A$9:$A$550=VALUE(LEFT(A295,8)),ROW(Накл!$A$9:$A$550)-ROW(Накл!$A$9)+1),ROW(E297)-ROW(B295)+1)),"")," ",IFERROR(INDEX(Накл!$C$9:$C$550,SMALL(IF(Накл!$A$9:$A$550=VALUE(LEFT(A295,8)),ROW(Накл!$A$9:$A$550)-ROW(Накл!$A$9)+1),ROW(E298)-ROW(B295)+1)),"")),"")</f>
        <v xml:space="preserve">   </v>
      </c>
    </row>
    <row r="296" spans="1:5">
      <c r="A296" s="26" t="str">
        <f>IFERROR(CONCATENATE(VALUE(SUBSTITUTE(SUBSTITUTE(LEFT(Накл!G303,11),".",""),"-",""))," ",Накл!J303),"-")</f>
        <v>-</v>
      </c>
      <c r="B296" s="26" t="str">
        <f>IFERROR(VLOOKUP(VALUE(LEFT(A296,8)),Накл!$A$9:$D$550,4,0),"-")</f>
        <v>-</v>
      </c>
      <c r="C296" s="26">
        <f>Накл!J303</f>
        <v>0</v>
      </c>
      <c r="D296" s="33" t="str">
        <f t="array" ref="D296">CONCATENATE(IFERROR(INDEX(Накл!$C$9:$C$550,SMALL(IF(Накл!$B$9:$B$550=A296,ROW(Накл!$B$9:$B$550)-ROW(Накл!$B$9)+1),ROW(D296)-ROW(A296)+1)),"")," ",IFERROR(INDEX(Накл!$C$9:$C$550,SMALL(IF(Накл!$B$9:$B$550=A296,ROW(Накл!$B$9:$B$550)-ROW(Накл!$B$9)+1),ROW(D297)-ROW(A296)+1)),"")," ",IFERROR(INDEX(Накл!$C$9:$C$550,SMALL(IF(Накл!$B$9:$B$550=A296,ROW(Накл!$B$9:$B$550)-ROW(Накл!$B$9)+1),ROW(D298)-ROW(A296)+1)),"")," ",IFERROR(INDEX(Накл!$C$9:$C$550,SMALL(IF(Накл!$B$9:$B$550=A296,ROW(Накл!$B$9:$B$550)-ROW(Накл!$B$9)+1),ROW(D299)-ROW(A296)+1)),"")," ",IFERROR(INDEX(Накл!$C$9:$C$550,SMALL(IF(Накл!$B$9:$B$550=A296,ROW(Накл!$B$9:$B$550)-ROW(Накл!$B$9)+1),ROW(D300)-ROW(A296)+1)),"")," ",IFERROR(INDEX(Накл!$C$9:$C$550,SMALL(IF(Накл!$B$9:$B$550=A296,ROW(Накл!$B$9:$B$550)-ROW(Накл!$B$9)+1),ROW(D301)-ROW(A296)+1)),"")," ",IFERROR(INDEX(Накл!$C$9:$C$550,SMALL(IF(Накл!$B$9:$B$550=A296,ROW(Накл!$B$9:$B$550)-ROW(Накл!$B$9)+1),ROW(D302)-ROW(A296)+1)),"")," ",IFERROR(INDEX(Накл!$C$9:$C$550,SMALL(IF(Накл!$B$9:$B$550=A296,ROW(Накл!$B$9:$B$550)-ROW(Накл!$B$9)+1),ROW(D303)-ROW(A296)+1)),"")," ",IFERROR(INDEX(Накл!$C$9:$C$550,SMALL(IF(Накл!$B$9:$B$550=A296,ROW(Накл!$B$9:$B$550)-ROW(Накл!$B$9)+1),ROW(D304)-ROW(A296)+1)),"")," ",IFERROR(INDEX(Накл!$C$9:$C$550,SMALL(IF(Накл!$B$9:$B$550=A296,ROW(Накл!$B$9:$B$550)-ROW(Накл!$B$9)+1),ROW(D305)-ROW(A296)+1)),""))</f>
        <v xml:space="preserve">         </v>
      </c>
      <c r="E296" s="26" t="str">
        <f t="array" ref="E296">IF(LEN(D296)&lt;10,CONCATENATE(IFERROR(INDEX(Накл!$C$9:$C$550,SMALL(IF(Накл!$A$9:$A$550=VALUE(LEFT(A296,8)),ROW(Накл!$A$9:$A$550)-ROW(Накл!$A$9)+1),ROW(E296)-ROW(B296)+1)),"")," ",IFERROR(INDEX(Накл!$C$9:$C$550,SMALL(IF(Накл!$A$9:$A$550=VALUE(LEFT(A296,8)),ROW(Накл!$A$9:$A$550)-ROW(Накл!$A$9)+1),ROW(E297)-ROW(B296)+1)),"")," ",IFERROR(INDEX(Накл!$C$9:$C$550,SMALL(IF(Накл!$A$9:$A$550=VALUE(LEFT(A296,8)),ROW(Накл!$A$9:$A$550)-ROW(Накл!$A$9)+1),ROW(E298)-ROW(B296)+1)),"")," ",IFERROR(INDEX(Накл!$C$9:$C$550,SMALL(IF(Накл!$A$9:$A$550=VALUE(LEFT(A296,8)),ROW(Накл!$A$9:$A$550)-ROW(Накл!$A$9)+1),ROW(E299)-ROW(B296)+1)),"")),"")</f>
        <v xml:space="preserve">   </v>
      </c>
    </row>
    <row r="297" spans="1:5">
      <c r="A297" s="26" t="str">
        <f>IFERROR(CONCATENATE(VALUE(SUBSTITUTE(SUBSTITUTE(LEFT(Накл!G304,11),".",""),"-",""))," ",Накл!J304),"-")</f>
        <v>-</v>
      </c>
      <c r="B297" s="26" t="str">
        <f>IFERROR(VLOOKUP(VALUE(LEFT(A297,8)),Накл!$A$9:$D$550,4,0),"-")</f>
        <v>-</v>
      </c>
      <c r="C297" s="26">
        <f>Накл!J304</f>
        <v>0</v>
      </c>
      <c r="D297" s="33" t="str">
        <f t="array" ref="D297">CONCATENATE(IFERROR(INDEX(Накл!$C$9:$C$550,SMALL(IF(Накл!$B$9:$B$550=A297,ROW(Накл!$B$9:$B$550)-ROW(Накл!$B$9)+1),ROW(D297)-ROW(A297)+1)),"")," ",IFERROR(INDEX(Накл!$C$9:$C$550,SMALL(IF(Накл!$B$9:$B$550=A297,ROW(Накл!$B$9:$B$550)-ROW(Накл!$B$9)+1),ROW(D298)-ROW(A297)+1)),"")," ",IFERROR(INDEX(Накл!$C$9:$C$550,SMALL(IF(Накл!$B$9:$B$550=A297,ROW(Накл!$B$9:$B$550)-ROW(Накл!$B$9)+1),ROW(D299)-ROW(A297)+1)),"")," ",IFERROR(INDEX(Накл!$C$9:$C$550,SMALL(IF(Накл!$B$9:$B$550=A297,ROW(Накл!$B$9:$B$550)-ROW(Накл!$B$9)+1),ROW(D300)-ROW(A297)+1)),"")," ",IFERROR(INDEX(Накл!$C$9:$C$550,SMALL(IF(Накл!$B$9:$B$550=A297,ROW(Накл!$B$9:$B$550)-ROW(Накл!$B$9)+1),ROW(D301)-ROW(A297)+1)),"")," ",IFERROR(INDEX(Накл!$C$9:$C$550,SMALL(IF(Накл!$B$9:$B$550=A297,ROW(Накл!$B$9:$B$550)-ROW(Накл!$B$9)+1),ROW(D302)-ROW(A297)+1)),"")," ",IFERROR(INDEX(Накл!$C$9:$C$550,SMALL(IF(Накл!$B$9:$B$550=A297,ROW(Накл!$B$9:$B$550)-ROW(Накл!$B$9)+1),ROW(D303)-ROW(A297)+1)),"")," ",IFERROR(INDEX(Накл!$C$9:$C$550,SMALL(IF(Накл!$B$9:$B$550=A297,ROW(Накл!$B$9:$B$550)-ROW(Накл!$B$9)+1),ROW(D304)-ROW(A297)+1)),"")," ",IFERROR(INDEX(Накл!$C$9:$C$550,SMALL(IF(Накл!$B$9:$B$550=A297,ROW(Накл!$B$9:$B$550)-ROW(Накл!$B$9)+1),ROW(D305)-ROW(A297)+1)),"")," ",IFERROR(INDEX(Накл!$C$9:$C$550,SMALL(IF(Накл!$B$9:$B$550=A297,ROW(Накл!$B$9:$B$550)-ROW(Накл!$B$9)+1),ROW(D306)-ROW(A297)+1)),""))</f>
        <v xml:space="preserve">         </v>
      </c>
      <c r="E297" s="26" t="str">
        <f t="array" ref="E297">IF(LEN(D297)&lt;10,CONCATENATE(IFERROR(INDEX(Накл!$C$9:$C$550,SMALL(IF(Накл!$A$9:$A$550=VALUE(LEFT(A297,8)),ROW(Накл!$A$9:$A$550)-ROW(Накл!$A$9)+1),ROW(E297)-ROW(B297)+1)),"")," ",IFERROR(INDEX(Накл!$C$9:$C$550,SMALL(IF(Накл!$A$9:$A$550=VALUE(LEFT(A297,8)),ROW(Накл!$A$9:$A$550)-ROW(Накл!$A$9)+1),ROW(E298)-ROW(B297)+1)),"")," ",IFERROR(INDEX(Накл!$C$9:$C$550,SMALL(IF(Накл!$A$9:$A$550=VALUE(LEFT(A297,8)),ROW(Накл!$A$9:$A$550)-ROW(Накл!$A$9)+1),ROW(E299)-ROW(B297)+1)),"")," ",IFERROR(INDEX(Накл!$C$9:$C$550,SMALL(IF(Накл!$A$9:$A$550=VALUE(LEFT(A297,8)),ROW(Накл!$A$9:$A$550)-ROW(Накл!$A$9)+1),ROW(E300)-ROW(B297)+1)),"")),"")</f>
        <v xml:space="preserve">   </v>
      </c>
    </row>
    <row r="298" spans="1:5">
      <c r="A298" s="26" t="str">
        <f>IFERROR(CONCATENATE(VALUE(SUBSTITUTE(SUBSTITUTE(LEFT(Накл!G305,11),".",""),"-",""))," ",Накл!J305),"-")</f>
        <v>-</v>
      </c>
      <c r="B298" s="26" t="str">
        <f>IFERROR(VLOOKUP(VALUE(LEFT(A298,8)),Накл!$A$9:$D$550,4,0),"-")</f>
        <v>-</v>
      </c>
      <c r="C298" s="26">
        <f>Накл!J305</f>
        <v>0</v>
      </c>
      <c r="D298" s="33" t="str">
        <f t="array" ref="D298">CONCATENATE(IFERROR(INDEX(Накл!$C$9:$C$550,SMALL(IF(Накл!$B$9:$B$550=A298,ROW(Накл!$B$9:$B$550)-ROW(Накл!$B$9)+1),ROW(D298)-ROW(A298)+1)),"")," ",IFERROR(INDEX(Накл!$C$9:$C$550,SMALL(IF(Накл!$B$9:$B$550=A298,ROW(Накл!$B$9:$B$550)-ROW(Накл!$B$9)+1),ROW(D299)-ROW(A298)+1)),"")," ",IFERROR(INDEX(Накл!$C$9:$C$550,SMALL(IF(Накл!$B$9:$B$550=A298,ROW(Накл!$B$9:$B$550)-ROW(Накл!$B$9)+1),ROW(D300)-ROW(A298)+1)),"")," ",IFERROR(INDEX(Накл!$C$9:$C$550,SMALL(IF(Накл!$B$9:$B$550=A298,ROW(Накл!$B$9:$B$550)-ROW(Накл!$B$9)+1),ROW(D301)-ROW(A298)+1)),"")," ",IFERROR(INDEX(Накл!$C$9:$C$550,SMALL(IF(Накл!$B$9:$B$550=A298,ROW(Накл!$B$9:$B$550)-ROW(Накл!$B$9)+1),ROW(D302)-ROW(A298)+1)),"")," ",IFERROR(INDEX(Накл!$C$9:$C$550,SMALL(IF(Накл!$B$9:$B$550=A298,ROW(Накл!$B$9:$B$550)-ROW(Накл!$B$9)+1),ROW(D303)-ROW(A298)+1)),"")," ",IFERROR(INDEX(Накл!$C$9:$C$550,SMALL(IF(Накл!$B$9:$B$550=A298,ROW(Накл!$B$9:$B$550)-ROW(Накл!$B$9)+1),ROW(D304)-ROW(A298)+1)),"")," ",IFERROR(INDEX(Накл!$C$9:$C$550,SMALL(IF(Накл!$B$9:$B$550=A298,ROW(Накл!$B$9:$B$550)-ROW(Накл!$B$9)+1),ROW(D305)-ROW(A298)+1)),"")," ",IFERROR(INDEX(Накл!$C$9:$C$550,SMALL(IF(Накл!$B$9:$B$550=A298,ROW(Накл!$B$9:$B$550)-ROW(Накл!$B$9)+1),ROW(D306)-ROW(A298)+1)),"")," ",IFERROR(INDEX(Накл!$C$9:$C$550,SMALL(IF(Накл!$B$9:$B$550=A298,ROW(Накл!$B$9:$B$550)-ROW(Накл!$B$9)+1),ROW(D307)-ROW(A298)+1)),""))</f>
        <v xml:space="preserve">         </v>
      </c>
      <c r="E298" s="26" t="str">
        <f t="array" ref="E298">IF(LEN(D298)&lt;10,CONCATENATE(IFERROR(INDEX(Накл!$C$9:$C$550,SMALL(IF(Накл!$A$9:$A$550=VALUE(LEFT(A298,8)),ROW(Накл!$A$9:$A$550)-ROW(Накл!$A$9)+1),ROW(E298)-ROW(B298)+1)),"")," ",IFERROR(INDEX(Накл!$C$9:$C$550,SMALL(IF(Накл!$A$9:$A$550=VALUE(LEFT(A298,8)),ROW(Накл!$A$9:$A$550)-ROW(Накл!$A$9)+1),ROW(E299)-ROW(B298)+1)),"")," ",IFERROR(INDEX(Накл!$C$9:$C$550,SMALL(IF(Накл!$A$9:$A$550=VALUE(LEFT(A298,8)),ROW(Накл!$A$9:$A$550)-ROW(Накл!$A$9)+1),ROW(E300)-ROW(B298)+1)),"")," ",IFERROR(INDEX(Накл!$C$9:$C$550,SMALL(IF(Накл!$A$9:$A$550=VALUE(LEFT(A298,8)),ROW(Накл!$A$9:$A$550)-ROW(Накл!$A$9)+1),ROW(E301)-ROW(B298)+1)),"")),"")</f>
        <v xml:space="preserve">   </v>
      </c>
    </row>
    <row r="299" spans="1:5">
      <c r="A299" s="26" t="str">
        <f>IFERROR(CONCATENATE(VALUE(SUBSTITUTE(SUBSTITUTE(LEFT(Накл!G306,11),".",""),"-",""))," ",Накл!J306),"-")</f>
        <v>-</v>
      </c>
      <c r="B299" s="26" t="str">
        <f>IFERROR(VLOOKUP(VALUE(LEFT(A299,8)),Накл!$A$9:$D$550,4,0),"-")</f>
        <v>-</v>
      </c>
      <c r="C299" s="26">
        <f>Накл!J306</f>
        <v>0</v>
      </c>
      <c r="D299" s="33" t="str">
        <f t="array" ref="D299">CONCATENATE(IFERROR(INDEX(Накл!$C$9:$C$550,SMALL(IF(Накл!$B$9:$B$550=A299,ROW(Накл!$B$9:$B$550)-ROW(Накл!$B$9)+1),ROW(D299)-ROW(A299)+1)),"")," ",IFERROR(INDEX(Накл!$C$9:$C$550,SMALL(IF(Накл!$B$9:$B$550=A299,ROW(Накл!$B$9:$B$550)-ROW(Накл!$B$9)+1),ROW(D300)-ROW(A299)+1)),"")," ",IFERROR(INDEX(Накл!$C$9:$C$550,SMALL(IF(Накл!$B$9:$B$550=A299,ROW(Накл!$B$9:$B$550)-ROW(Накл!$B$9)+1),ROW(D301)-ROW(A299)+1)),"")," ",IFERROR(INDEX(Накл!$C$9:$C$550,SMALL(IF(Накл!$B$9:$B$550=A299,ROW(Накл!$B$9:$B$550)-ROW(Накл!$B$9)+1),ROW(D302)-ROW(A299)+1)),"")," ",IFERROR(INDEX(Накл!$C$9:$C$550,SMALL(IF(Накл!$B$9:$B$550=A299,ROW(Накл!$B$9:$B$550)-ROW(Накл!$B$9)+1),ROW(D303)-ROW(A299)+1)),"")," ",IFERROR(INDEX(Накл!$C$9:$C$550,SMALL(IF(Накл!$B$9:$B$550=A299,ROW(Накл!$B$9:$B$550)-ROW(Накл!$B$9)+1),ROW(D304)-ROW(A299)+1)),"")," ",IFERROR(INDEX(Накл!$C$9:$C$550,SMALL(IF(Накл!$B$9:$B$550=A299,ROW(Накл!$B$9:$B$550)-ROW(Накл!$B$9)+1),ROW(D305)-ROW(A299)+1)),"")," ",IFERROR(INDEX(Накл!$C$9:$C$550,SMALL(IF(Накл!$B$9:$B$550=A299,ROW(Накл!$B$9:$B$550)-ROW(Накл!$B$9)+1),ROW(D306)-ROW(A299)+1)),"")," ",IFERROR(INDEX(Накл!$C$9:$C$550,SMALL(IF(Накл!$B$9:$B$550=A299,ROW(Накл!$B$9:$B$550)-ROW(Накл!$B$9)+1),ROW(D307)-ROW(A299)+1)),"")," ",IFERROR(INDEX(Накл!$C$9:$C$550,SMALL(IF(Накл!$B$9:$B$550=A299,ROW(Накл!$B$9:$B$550)-ROW(Накл!$B$9)+1),ROW(D308)-ROW(A299)+1)),""))</f>
        <v xml:space="preserve">         </v>
      </c>
      <c r="E299" s="26" t="str">
        <f t="array" ref="E299">IF(LEN(D299)&lt;10,CONCATENATE(IFERROR(INDEX(Накл!$C$9:$C$550,SMALL(IF(Накл!$A$9:$A$550=VALUE(LEFT(A299,8)),ROW(Накл!$A$9:$A$550)-ROW(Накл!$A$9)+1),ROW(E299)-ROW(B299)+1)),"")," ",IFERROR(INDEX(Накл!$C$9:$C$550,SMALL(IF(Накл!$A$9:$A$550=VALUE(LEFT(A299,8)),ROW(Накл!$A$9:$A$550)-ROW(Накл!$A$9)+1),ROW(E300)-ROW(B299)+1)),"")," ",IFERROR(INDEX(Накл!$C$9:$C$550,SMALL(IF(Накл!$A$9:$A$550=VALUE(LEFT(A299,8)),ROW(Накл!$A$9:$A$550)-ROW(Накл!$A$9)+1),ROW(E301)-ROW(B299)+1)),"")," ",IFERROR(INDEX(Накл!$C$9:$C$550,SMALL(IF(Накл!$A$9:$A$550=VALUE(LEFT(A299,8)),ROW(Накл!$A$9:$A$550)-ROW(Накл!$A$9)+1),ROW(E302)-ROW(B299)+1)),"")),"")</f>
        <v xml:space="preserve">   </v>
      </c>
    </row>
    <row r="300" spans="1:5">
      <c r="A300" s="26" t="str">
        <f>IFERROR(CONCATENATE(VALUE(SUBSTITUTE(SUBSTITUTE(LEFT(Накл!G307,11),".",""),"-",""))," ",Накл!J307),"-")</f>
        <v>-</v>
      </c>
      <c r="B300" s="26" t="str">
        <f>IFERROR(VLOOKUP(VALUE(LEFT(A300,8)),Накл!$A$9:$D$550,4,0),"-")</f>
        <v>-</v>
      </c>
      <c r="C300" s="26">
        <f>Накл!J307</f>
        <v>0</v>
      </c>
      <c r="D300" s="33" t="str">
        <f t="array" ref="D300">CONCATENATE(IFERROR(INDEX(Накл!$C$9:$C$550,SMALL(IF(Накл!$B$9:$B$550=A300,ROW(Накл!$B$9:$B$550)-ROW(Накл!$B$9)+1),ROW(D300)-ROW(A300)+1)),"")," ",IFERROR(INDEX(Накл!$C$9:$C$550,SMALL(IF(Накл!$B$9:$B$550=A300,ROW(Накл!$B$9:$B$550)-ROW(Накл!$B$9)+1),ROW(D301)-ROW(A300)+1)),"")," ",IFERROR(INDEX(Накл!$C$9:$C$550,SMALL(IF(Накл!$B$9:$B$550=A300,ROW(Накл!$B$9:$B$550)-ROW(Накл!$B$9)+1),ROW(D302)-ROW(A300)+1)),"")," ",IFERROR(INDEX(Накл!$C$9:$C$550,SMALL(IF(Накл!$B$9:$B$550=A300,ROW(Накл!$B$9:$B$550)-ROW(Накл!$B$9)+1),ROW(D303)-ROW(A300)+1)),"")," ",IFERROR(INDEX(Накл!$C$9:$C$550,SMALL(IF(Накл!$B$9:$B$550=A300,ROW(Накл!$B$9:$B$550)-ROW(Накл!$B$9)+1),ROW(D304)-ROW(A300)+1)),"")," ",IFERROR(INDEX(Накл!$C$9:$C$550,SMALL(IF(Накл!$B$9:$B$550=A300,ROW(Накл!$B$9:$B$550)-ROW(Накл!$B$9)+1),ROW(D305)-ROW(A300)+1)),"")," ",IFERROR(INDEX(Накл!$C$9:$C$550,SMALL(IF(Накл!$B$9:$B$550=A300,ROW(Накл!$B$9:$B$550)-ROW(Накл!$B$9)+1),ROW(D306)-ROW(A300)+1)),"")," ",IFERROR(INDEX(Накл!$C$9:$C$550,SMALL(IF(Накл!$B$9:$B$550=A300,ROW(Накл!$B$9:$B$550)-ROW(Накл!$B$9)+1),ROW(D307)-ROW(A300)+1)),"")," ",IFERROR(INDEX(Накл!$C$9:$C$550,SMALL(IF(Накл!$B$9:$B$550=A300,ROW(Накл!$B$9:$B$550)-ROW(Накл!$B$9)+1),ROW(D308)-ROW(A300)+1)),"")," ",IFERROR(INDEX(Накл!$C$9:$C$550,SMALL(IF(Накл!$B$9:$B$550=A300,ROW(Накл!$B$9:$B$550)-ROW(Накл!$B$9)+1),ROW(D309)-ROW(A300)+1)),""))</f>
        <v xml:space="preserve">         </v>
      </c>
      <c r="E300" s="26" t="str">
        <f t="array" ref="E300">IF(LEN(D300)&lt;10,CONCATENATE(IFERROR(INDEX(Накл!$C$9:$C$550,SMALL(IF(Накл!$A$9:$A$550=VALUE(LEFT(A300,8)),ROW(Накл!$A$9:$A$550)-ROW(Накл!$A$9)+1),ROW(E300)-ROW(B300)+1)),"")," ",IFERROR(INDEX(Накл!$C$9:$C$550,SMALL(IF(Накл!$A$9:$A$550=VALUE(LEFT(A300,8)),ROW(Накл!$A$9:$A$550)-ROW(Накл!$A$9)+1),ROW(E301)-ROW(B300)+1)),"")," ",IFERROR(INDEX(Накл!$C$9:$C$550,SMALL(IF(Накл!$A$9:$A$550=VALUE(LEFT(A300,8)),ROW(Накл!$A$9:$A$550)-ROW(Накл!$A$9)+1),ROW(E302)-ROW(B300)+1)),"")," ",IFERROR(INDEX(Накл!$C$9:$C$550,SMALL(IF(Накл!$A$9:$A$550=VALUE(LEFT(A300,8)),ROW(Накл!$A$9:$A$550)-ROW(Накл!$A$9)+1),ROW(E303)-ROW(B300)+1)),"")),"")</f>
        <v xml:space="preserve">   </v>
      </c>
    </row>
    <row r="301" spans="1:5">
      <c r="A301" s="26" t="str">
        <f>IFERROR(CONCATENATE(VALUE(SUBSTITUTE(SUBSTITUTE(LEFT(Накл!G308,11),".",""),"-",""))," ",Накл!J308),"-")</f>
        <v>-</v>
      </c>
      <c r="B301" s="26" t="str">
        <f>IFERROR(VLOOKUP(VALUE(LEFT(A301,8)),Накл!$A$9:$D$550,4,0),"-")</f>
        <v>-</v>
      </c>
      <c r="C301" s="26">
        <f>Накл!J308</f>
        <v>0</v>
      </c>
      <c r="D301" s="33" t="str">
        <f t="array" ref="D301">CONCATENATE(IFERROR(INDEX(Накл!$C$9:$C$550,SMALL(IF(Накл!$B$9:$B$550=A301,ROW(Накл!$B$9:$B$550)-ROW(Накл!$B$9)+1),ROW(D301)-ROW(A301)+1)),"")," ",IFERROR(INDEX(Накл!$C$9:$C$550,SMALL(IF(Накл!$B$9:$B$550=A301,ROW(Накл!$B$9:$B$550)-ROW(Накл!$B$9)+1),ROW(D302)-ROW(A301)+1)),"")," ",IFERROR(INDEX(Накл!$C$9:$C$550,SMALL(IF(Накл!$B$9:$B$550=A301,ROW(Накл!$B$9:$B$550)-ROW(Накл!$B$9)+1),ROW(D303)-ROW(A301)+1)),"")," ",IFERROR(INDEX(Накл!$C$9:$C$550,SMALL(IF(Накл!$B$9:$B$550=A301,ROW(Накл!$B$9:$B$550)-ROW(Накл!$B$9)+1),ROW(D304)-ROW(A301)+1)),"")," ",IFERROR(INDEX(Накл!$C$9:$C$550,SMALL(IF(Накл!$B$9:$B$550=A301,ROW(Накл!$B$9:$B$550)-ROW(Накл!$B$9)+1),ROW(D305)-ROW(A301)+1)),"")," ",IFERROR(INDEX(Накл!$C$9:$C$550,SMALL(IF(Накл!$B$9:$B$550=A301,ROW(Накл!$B$9:$B$550)-ROW(Накл!$B$9)+1),ROW(D306)-ROW(A301)+1)),"")," ",IFERROR(INDEX(Накл!$C$9:$C$550,SMALL(IF(Накл!$B$9:$B$550=A301,ROW(Накл!$B$9:$B$550)-ROW(Накл!$B$9)+1),ROW(D307)-ROW(A301)+1)),"")," ",IFERROR(INDEX(Накл!$C$9:$C$550,SMALL(IF(Накл!$B$9:$B$550=A301,ROW(Накл!$B$9:$B$550)-ROW(Накл!$B$9)+1),ROW(D308)-ROW(A301)+1)),"")," ",IFERROR(INDEX(Накл!$C$9:$C$550,SMALL(IF(Накл!$B$9:$B$550=A301,ROW(Накл!$B$9:$B$550)-ROW(Накл!$B$9)+1),ROW(D309)-ROW(A301)+1)),"")," ",IFERROR(INDEX(Накл!$C$9:$C$550,SMALL(IF(Накл!$B$9:$B$550=A301,ROW(Накл!$B$9:$B$550)-ROW(Накл!$B$9)+1),ROW(D310)-ROW(A301)+1)),""))</f>
        <v xml:space="preserve">         </v>
      </c>
      <c r="E301" s="26" t="str">
        <f t="array" ref="E301">IF(LEN(D301)&lt;10,CONCATENATE(IFERROR(INDEX(Накл!$C$9:$C$550,SMALL(IF(Накл!$A$9:$A$550=VALUE(LEFT(A301,8)),ROW(Накл!$A$9:$A$550)-ROW(Накл!$A$9)+1),ROW(E301)-ROW(B301)+1)),"")," ",IFERROR(INDEX(Накл!$C$9:$C$550,SMALL(IF(Накл!$A$9:$A$550=VALUE(LEFT(A301,8)),ROW(Накл!$A$9:$A$550)-ROW(Накл!$A$9)+1),ROW(E302)-ROW(B301)+1)),"")," ",IFERROR(INDEX(Накл!$C$9:$C$550,SMALL(IF(Накл!$A$9:$A$550=VALUE(LEFT(A301,8)),ROW(Накл!$A$9:$A$550)-ROW(Накл!$A$9)+1),ROW(E303)-ROW(B301)+1)),"")," ",IFERROR(INDEX(Накл!$C$9:$C$550,SMALL(IF(Накл!$A$9:$A$550=VALUE(LEFT(A301,8)),ROW(Накл!$A$9:$A$550)-ROW(Накл!$A$9)+1),ROW(E304)-ROW(B301)+1)),"")),"")</f>
        <v xml:space="preserve">   </v>
      </c>
    </row>
    <row r="302" spans="1:5">
      <c r="A302" s="26" t="str">
        <f>IFERROR(CONCATENATE(VALUE(SUBSTITUTE(SUBSTITUTE(LEFT(Накл!G309,11),".",""),"-",""))," ",Накл!J309),"-")</f>
        <v>-</v>
      </c>
      <c r="B302" s="26" t="str">
        <f>IFERROR(VLOOKUP(VALUE(LEFT(A302,8)),Накл!$A$9:$D$550,4,0),"-")</f>
        <v>-</v>
      </c>
      <c r="C302" s="26">
        <f>Накл!J309</f>
        <v>0</v>
      </c>
      <c r="D302" s="33" t="str">
        <f t="array" ref="D302">CONCATENATE(IFERROR(INDEX(Накл!$C$9:$C$550,SMALL(IF(Накл!$B$9:$B$550=A302,ROW(Накл!$B$9:$B$550)-ROW(Накл!$B$9)+1),ROW(D302)-ROW(A302)+1)),"")," ",IFERROR(INDEX(Накл!$C$9:$C$550,SMALL(IF(Накл!$B$9:$B$550=A302,ROW(Накл!$B$9:$B$550)-ROW(Накл!$B$9)+1),ROW(D303)-ROW(A302)+1)),"")," ",IFERROR(INDEX(Накл!$C$9:$C$550,SMALL(IF(Накл!$B$9:$B$550=A302,ROW(Накл!$B$9:$B$550)-ROW(Накл!$B$9)+1),ROW(D304)-ROW(A302)+1)),"")," ",IFERROR(INDEX(Накл!$C$9:$C$550,SMALL(IF(Накл!$B$9:$B$550=A302,ROW(Накл!$B$9:$B$550)-ROW(Накл!$B$9)+1),ROW(D305)-ROW(A302)+1)),"")," ",IFERROR(INDEX(Накл!$C$9:$C$550,SMALL(IF(Накл!$B$9:$B$550=A302,ROW(Накл!$B$9:$B$550)-ROW(Накл!$B$9)+1),ROW(D306)-ROW(A302)+1)),"")," ",IFERROR(INDEX(Накл!$C$9:$C$550,SMALL(IF(Накл!$B$9:$B$550=A302,ROW(Накл!$B$9:$B$550)-ROW(Накл!$B$9)+1),ROW(D307)-ROW(A302)+1)),"")," ",IFERROR(INDEX(Накл!$C$9:$C$550,SMALL(IF(Накл!$B$9:$B$550=A302,ROW(Накл!$B$9:$B$550)-ROW(Накл!$B$9)+1),ROW(D308)-ROW(A302)+1)),"")," ",IFERROR(INDEX(Накл!$C$9:$C$550,SMALL(IF(Накл!$B$9:$B$550=A302,ROW(Накл!$B$9:$B$550)-ROW(Накл!$B$9)+1),ROW(D309)-ROW(A302)+1)),"")," ",IFERROR(INDEX(Накл!$C$9:$C$550,SMALL(IF(Накл!$B$9:$B$550=A302,ROW(Накл!$B$9:$B$550)-ROW(Накл!$B$9)+1),ROW(D310)-ROW(A302)+1)),"")," ",IFERROR(INDEX(Накл!$C$9:$C$550,SMALL(IF(Накл!$B$9:$B$550=A302,ROW(Накл!$B$9:$B$550)-ROW(Накл!$B$9)+1),ROW(D311)-ROW(A302)+1)),""))</f>
        <v xml:space="preserve">         </v>
      </c>
      <c r="E302" s="26" t="str">
        <f t="array" ref="E302">IF(LEN(D302)&lt;10,CONCATENATE(IFERROR(INDEX(Накл!$C$9:$C$550,SMALL(IF(Накл!$A$9:$A$550=VALUE(LEFT(A302,8)),ROW(Накл!$A$9:$A$550)-ROW(Накл!$A$9)+1),ROW(E302)-ROW(B302)+1)),"")," ",IFERROR(INDEX(Накл!$C$9:$C$550,SMALL(IF(Накл!$A$9:$A$550=VALUE(LEFT(A302,8)),ROW(Накл!$A$9:$A$550)-ROW(Накл!$A$9)+1),ROW(E303)-ROW(B302)+1)),"")," ",IFERROR(INDEX(Накл!$C$9:$C$550,SMALL(IF(Накл!$A$9:$A$550=VALUE(LEFT(A302,8)),ROW(Накл!$A$9:$A$550)-ROW(Накл!$A$9)+1),ROW(E304)-ROW(B302)+1)),"")," ",IFERROR(INDEX(Накл!$C$9:$C$550,SMALL(IF(Накл!$A$9:$A$550=VALUE(LEFT(A302,8)),ROW(Накл!$A$9:$A$550)-ROW(Накл!$A$9)+1),ROW(E305)-ROW(B302)+1)),"")),"")</f>
        <v xml:space="preserve">   </v>
      </c>
    </row>
    <row r="303" spans="1:5">
      <c r="A303" s="26" t="str">
        <f>IFERROR(CONCATENATE(VALUE(SUBSTITUTE(SUBSTITUTE(LEFT(Накл!G310,11),".",""),"-",""))," ",Накл!J310),"-")</f>
        <v>-</v>
      </c>
      <c r="B303" s="26" t="str">
        <f>IFERROR(VLOOKUP(VALUE(LEFT(A303,8)),Накл!$A$9:$D$550,4,0),"-")</f>
        <v>-</v>
      </c>
      <c r="C303" s="26">
        <f>Накл!J310</f>
        <v>0</v>
      </c>
      <c r="D303" s="33" t="str">
        <f t="array" ref="D303">CONCATENATE(IFERROR(INDEX(Накл!$C$9:$C$550,SMALL(IF(Накл!$B$9:$B$550=A303,ROW(Накл!$B$9:$B$550)-ROW(Накл!$B$9)+1),ROW(D303)-ROW(A303)+1)),"")," ",IFERROR(INDEX(Накл!$C$9:$C$550,SMALL(IF(Накл!$B$9:$B$550=A303,ROW(Накл!$B$9:$B$550)-ROW(Накл!$B$9)+1),ROW(D304)-ROW(A303)+1)),"")," ",IFERROR(INDEX(Накл!$C$9:$C$550,SMALL(IF(Накл!$B$9:$B$550=A303,ROW(Накл!$B$9:$B$550)-ROW(Накл!$B$9)+1),ROW(D305)-ROW(A303)+1)),"")," ",IFERROR(INDEX(Накл!$C$9:$C$550,SMALL(IF(Накл!$B$9:$B$550=A303,ROW(Накл!$B$9:$B$550)-ROW(Накл!$B$9)+1),ROW(D306)-ROW(A303)+1)),"")," ",IFERROR(INDEX(Накл!$C$9:$C$550,SMALL(IF(Накл!$B$9:$B$550=A303,ROW(Накл!$B$9:$B$550)-ROW(Накл!$B$9)+1),ROW(D307)-ROW(A303)+1)),"")," ",IFERROR(INDEX(Накл!$C$9:$C$550,SMALL(IF(Накл!$B$9:$B$550=A303,ROW(Накл!$B$9:$B$550)-ROW(Накл!$B$9)+1),ROW(D308)-ROW(A303)+1)),"")," ",IFERROR(INDEX(Накл!$C$9:$C$550,SMALL(IF(Накл!$B$9:$B$550=A303,ROW(Накл!$B$9:$B$550)-ROW(Накл!$B$9)+1),ROW(D309)-ROW(A303)+1)),"")," ",IFERROR(INDEX(Накл!$C$9:$C$550,SMALL(IF(Накл!$B$9:$B$550=A303,ROW(Накл!$B$9:$B$550)-ROW(Накл!$B$9)+1),ROW(D310)-ROW(A303)+1)),"")," ",IFERROR(INDEX(Накл!$C$9:$C$550,SMALL(IF(Накл!$B$9:$B$550=A303,ROW(Накл!$B$9:$B$550)-ROW(Накл!$B$9)+1),ROW(D311)-ROW(A303)+1)),"")," ",IFERROR(INDEX(Накл!$C$9:$C$550,SMALL(IF(Накл!$B$9:$B$550=A303,ROW(Накл!$B$9:$B$550)-ROW(Накл!$B$9)+1),ROW(D312)-ROW(A303)+1)),""))</f>
        <v xml:space="preserve">         </v>
      </c>
      <c r="E303" s="26" t="str">
        <f t="array" ref="E303">IF(LEN(D303)&lt;10,CONCATENATE(IFERROR(INDEX(Накл!$C$9:$C$550,SMALL(IF(Накл!$A$9:$A$550=VALUE(LEFT(A303,8)),ROW(Накл!$A$9:$A$550)-ROW(Накл!$A$9)+1),ROW(E303)-ROW(B303)+1)),"")," ",IFERROR(INDEX(Накл!$C$9:$C$550,SMALL(IF(Накл!$A$9:$A$550=VALUE(LEFT(A303,8)),ROW(Накл!$A$9:$A$550)-ROW(Накл!$A$9)+1),ROW(E304)-ROW(B303)+1)),"")," ",IFERROR(INDEX(Накл!$C$9:$C$550,SMALL(IF(Накл!$A$9:$A$550=VALUE(LEFT(A303,8)),ROW(Накл!$A$9:$A$550)-ROW(Накл!$A$9)+1),ROW(E305)-ROW(B303)+1)),"")," ",IFERROR(INDEX(Накл!$C$9:$C$550,SMALL(IF(Накл!$A$9:$A$550=VALUE(LEFT(A303,8)),ROW(Накл!$A$9:$A$550)-ROW(Накл!$A$9)+1),ROW(E306)-ROW(B303)+1)),"")),"")</f>
        <v xml:space="preserve">   </v>
      </c>
    </row>
    <row r="304" spans="1:5">
      <c r="A304" s="26" t="str">
        <f>IFERROR(CONCATENATE(VALUE(SUBSTITUTE(SUBSTITUTE(LEFT(Накл!G311,11),".",""),"-",""))," ",Накл!J311),"-")</f>
        <v>-</v>
      </c>
      <c r="B304" s="26" t="str">
        <f>IFERROR(VLOOKUP(VALUE(LEFT(A304,8)),Накл!$A$9:$D$550,4,0),"-")</f>
        <v>-</v>
      </c>
      <c r="C304" s="26">
        <f>Накл!J311</f>
        <v>0</v>
      </c>
      <c r="D304" s="33" t="str">
        <f t="array" ref="D304">CONCATENATE(IFERROR(INDEX(Накл!$C$9:$C$550,SMALL(IF(Накл!$B$9:$B$550=A304,ROW(Накл!$B$9:$B$550)-ROW(Накл!$B$9)+1),ROW(D304)-ROW(A304)+1)),"")," ",IFERROR(INDEX(Накл!$C$9:$C$550,SMALL(IF(Накл!$B$9:$B$550=A304,ROW(Накл!$B$9:$B$550)-ROW(Накл!$B$9)+1),ROW(D305)-ROW(A304)+1)),"")," ",IFERROR(INDEX(Накл!$C$9:$C$550,SMALL(IF(Накл!$B$9:$B$550=A304,ROW(Накл!$B$9:$B$550)-ROW(Накл!$B$9)+1),ROW(D306)-ROW(A304)+1)),"")," ",IFERROR(INDEX(Накл!$C$9:$C$550,SMALL(IF(Накл!$B$9:$B$550=A304,ROW(Накл!$B$9:$B$550)-ROW(Накл!$B$9)+1),ROW(D307)-ROW(A304)+1)),"")," ",IFERROR(INDEX(Накл!$C$9:$C$550,SMALL(IF(Накл!$B$9:$B$550=A304,ROW(Накл!$B$9:$B$550)-ROW(Накл!$B$9)+1),ROW(D308)-ROW(A304)+1)),"")," ",IFERROR(INDEX(Накл!$C$9:$C$550,SMALL(IF(Накл!$B$9:$B$550=A304,ROW(Накл!$B$9:$B$550)-ROW(Накл!$B$9)+1),ROW(D309)-ROW(A304)+1)),"")," ",IFERROR(INDEX(Накл!$C$9:$C$550,SMALL(IF(Накл!$B$9:$B$550=A304,ROW(Накл!$B$9:$B$550)-ROW(Накл!$B$9)+1),ROW(D310)-ROW(A304)+1)),"")," ",IFERROR(INDEX(Накл!$C$9:$C$550,SMALL(IF(Накл!$B$9:$B$550=A304,ROW(Накл!$B$9:$B$550)-ROW(Накл!$B$9)+1),ROW(D311)-ROW(A304)+1)),"")," ",IFERROR(INDEX(Накл!$C$9:$C$550,SMALL(IF(Накл!$B$9:$B$550=A304,ROW(Накл!$B$9:$B$550)-ROW(Накл!$B$9)+1),ROW(D312)-ROW(A304)+1)),"")," ",IFERROR(INDEX(Накл!$C$9:$C$550,SMALL(IF(Накл!$B$9:$B$550=A304,ROW(Накл!$B$9:$B$550)-ROW(Накл!$B$9)+1),ROW(D313)-ROW(A304)+1)),""))</f>
        <v xml:space="preserve">         </v>
      </c>
      <c r="E304" s="26" t="str">
        <f t="array" ref="E304">IF(LEN(D304)&lt;10,CONCATENATE(IFERROR(INDEX(Накл!$C$9:$C$550,SMALL(IF(Накл!$A$9:$A$550=VALUE(LEFT(A304,8)),ROW(Накл!$A$9:$A$550)-ROW(Накл!$A$9)+1),ROW(E304)-ROW(B304)+1)),"")," ",IFERROR(INDEX(Накл!$C$9:$C$550,SMALL(IF(Накл!$A$9:$A$550=VALUE(LEFT(A304,8)),ROW(Накл!$A$9:$A$550)-ROW(Накл!$A$9)+1),ROW(E305)-ROW(B304)+1)),"")," ",IFERROR(INDEX(Накл!$C$9:$C$550,SMALL(IF(Накл!$A$9:$A$550=VALUE(LEFT(A304,8)),ROW(Накл!$A$9:$A$550)-ROW(Накл!$A$9)+1),ROW(E306)-ROW(B304)+1)),"")," ",IFERROR(INDEX(Накл!$C$9:$C$550,SMALL(IF(Накл!$A$9:$A$550=VALUE(LEFT(A304,8)),ROW(Накл!$A$9:$A$550)-ROW(Накл!$A$9)+1),ROW(E307)-ROW(B304)+1)),"")),"")</f>
        <v xml:space="preserve">   </v>
      </c>
    </row>
    <row r="305" spans="1:5">
      <c r="A305" s="26" t="str">
        <f>IFERROR(CONCATENATE(VALUE(SUBSTITUTE(SUBSTITUTE(LEFT(Накл!G312,11),".",""),"-",""))," ",Накл!J312),"-")</f>
        <v>-</v>
      </c>
      <c r="B305" s="26" t="str">
        <f>IFERROR(VLOOKUP(VALUE(LEFT(A305,8)),Накл!$A$9:$D$550,4,0),"-")</f>
        <v>-</v>
      </c>
      <c r="C305" s="26">
        <f>Накл!J312</f>
        <v>0</v>
      </c>
      <c r="D305" s="33" t="str">
        <f t="array" ref="D305">CONCATENATE(IFERROR(INDEX(Накл!$C$9:$C$550,SMALL(IF(Накл!$B$9:$B$550=A305,ROW(Накл!$B$9:$B$550)-ROW(Накл!$B$9)+1),ROW(D305)-ROW(A305)+1)),"")," ",IFERROR(INDEX(Накл!$C$9:$C$550,SMALL(IF(Накл!$B$9:$B$550=A305,ROW(Накл!$B$9:$B$550)-ROW(Накл!$B$9)+1),ROW(D306)-ROW(A305)+1)),"")," ",IFERROR(INDEX(Накл!$C$9:$C$550,SMALL(IF(Накл!$B$9:$B$550=A305,ROW(Накл!$B$9:$B$550)-ROW(Накл!$B$9)+1),ROW(D307)-ROW(A305)+1)),"")," ",IFERROR(INDEX(Накл!$C$9:$C$550,SMALL(IF(Накл!$B$9:$B$550=A305,ROW(Накл!$B$9:$B$550)-ROW(Накл!$B$9)+1),ROW(D308)-ROW(A305)+1)),"")," ",IFERROR(INDEX(Накл!$C$9:$C$550,SMALL(IF(Накл!$B$9:$B$550=A305,ROW(Накл!$B$9:$B$550)-ROW(Накл!$B$9)+1),ROW(D309)-ROW(A305)+1)),"")," ",IFERROR(INDEX(Накл!$C$9:$C$550,SMALL(IF(Накл!$B$9:$B$550=A305,ROW(Накл!$B$9:$B$550)-ROW(Накл!$B$9)+1),ROW(D310)-ROW(A305)+1)),"")," ",IFERROR(INDEX(Накл!$C$9:$C$550,SMALL(IF(Накл!$B$9:$B$550=A305,ROW(Накл!$B$9:$B$550)-ROW(Накл!$B$9)+1),ROW(D311)-ROW(A305)+1)),"")," ",IFERROR(INDEX(Накл!$C$9:$C$550,SMALL(IF(Накл!$B$9:$B$550=A305,ROW(Накл!$B$9:$B$550)-ROW(Накл!$B$9)+1),ROW(D312)-ROW(A305)+1)),"")," ",IFERROR(INDEX(Накл!$C$9:$C$550,SMALL(IF(Накл!$B$9:$B$550=A305,ROW(Накл!$B$9:$B$550)-ROW(Накл!$B$9)+1),ROW(D313)-ROW(A305)+1)),"")," ",IFERROR(INDEX(Накл!$C$9:$C$550,SMALL(IF(Накл!$B$9:$B$550=A305,ROW(Накл!$B$9:$B$550)-ROW(Накл!$B$9)+1),ROW(D314)-ROW(A305)+1)),""))</f>
        <v xml:space="preserve">         </v>
      </c>
      <c r="E305" s="26" t="str">
        <f t="array" ref="E305">IF(LEN(D305)&lt;10,CONCATENATE(IFERROR(INDEX(Накл!$C$9:$C$550,SMALL(IF(Накл!$A$9:$A$550=VALUE(LEFT(A305,8)),ROW(Накл!$A$9:$A$550)-ROW(Накл!$A$9)+1),ROW(E305)-ROW(B305)+1)),"")," ",IFERROR(INDEX(Накл!$C$9:$C$550,SMALL(IF(Накл!$A$9:$A$550=VALUE(LEFT(A305,8)),ROW(Накл!$A$9:$A$550)-ROW(Накл!$A$9)+1),ROW(E306)-ROW(B305)+1)),"")," ",IFERROR(INDEX(Накл!$C$9:$C$550,SMALL(IF(Накл!$A$9:$A$550=VALUE(LEFT(A305,8)),ROW(Накл!$A$9:$A$550)-ROW(Накл!$A$9)+1),ROW(E307)-ROW(B305)+1)),"")," ",IFERROR(INDEX(Накл!$C$9:$C$550,SMALL(IF(Накл!$A$9:$A$550=VALUE(LEFT(A305,8)),ROW(Накл!$A$9:$A$550)-ROW(Накл!$A$9)+1),ROW(E308)-ROW(B305)+1)),"")),"")</f>
        <v xml:space="preserve">   </v>
      </c>
    </row>
    <row r="306" spans="1:5">
      <c r="A306" s="26" t="str">
        <f>IFERROR(CONCATENATE(VALUE(SUBSTITUTE(SUBSTITUTE(LEFT(Накл!G313,11),".",""),"-",""))," ",Накл!J313),"-")</f>
        <v>-</v>
      </c>
      <c r="B306" s="26" t="str">
        <f>IFERROR(VLOOKUP(VALUE(LEFT(A306,8)),Накл!$A$9:$D$550,4,0),"-")</f>
        <v>-</v>
      </c>
      <c r="C306" s="26">
        <f>Накл!J313</f>
        <v>0</v>
      </c>
      <c r="D306" s="33" t="str">
        <f t="array" ref="D306">CONCATENATE(IFERROR(INDEX(Накл!$C$9:$C$550,SMALL(IF(Накл!$B$9:$B$550=A306,ROW(Накл!$B$9:$B$550)-ROW(Накл!$B$9)+1),ROW(D306)-ROW(A306)+1)),"")," ",IFERROR(INDEX(Накл!$C$9:$C$550,SMALL(IF(Накл!$B$9:$B$550=A306,ROW(Накл!$B$9:$B$550)-ROW(Накл!$B$9)+1),ROW(D307)-ROW(A306)+1)),"")," ",IFERROR(INDEX(Накл!$C$9:$C$550,SMALL(IF(Накл!$B$9:$B$550=A306,ROW(Накл!$B$9:$B$550)-ROW(Накл!$B$9)+1),ROW(D308)-ROW(A306)+1)),"")," ",IFERROR(INDEX(Накл!$C$9:$C$550,SMALL(IF(Накл!$B$9:$B$550=A306,ROW(Накл!$B$9:$B$550)-ROW(Накл!$B$9)+1),ROW(D309)-ROW(A306)+1)),"")," ",IFERROR(INDEX(Накл!$C$9:$C$550,SMALL(IF(Накл!$B$9:$B$550=A306,ROW(Накл!$B$9:$B$550)-ROW(Накл!$B$9)+1),ROW(D310)-ROW(A306)+1)),"")," ",IFERROR(INDEX(Накл!$C$9:$C$550,SMALL(IF(Накл!$B$9:$B$550=A306,ROW(Накл!$B$9:$B$550)-ROW(Накл!$B$9)+1),ROW(D311)-ROW(A306)+1)),"")," ",IFERROR(INDEX(Накл!$C$9:$C$550,SMALL(IF(Накл!$B$9:$B$550=A306,ROW(Накл!$B$9:$B$550)-ROW(Накл!$B$9)+1),ROW(D312)-ROW(A306)+1)),"")," ",IFERROR(INDEX(Накл!$C$9:$C$550,SMALL(IF(Накл!$B$9:$B$550=A306,ROW(Накл!$B$9:$B$550)-ROW(Накл!$B$9)+1),ROW(D313)-ROW(A306)+1)),"")," ",IFERROR(INDEX(Накл!$C$9:$C$550,SMALL(IF(Накл!$B$9:$B$550=A306,ROW(Накл!$B$9:$B$550)-ROW(Накл!$B$9)+1),ROW(D314)-ROW(A306)+1)),"")," ",IFERROR(INDEX(Накл!$C$9:$C$550,SMALL(IF(Накл!$B$9:$B$550=A306,ROW(Накл!$B$9:$B$550)-ROW(Накл!$B$9)+1),ROW(D315)-ROW(A306)+1)),""))</f>
        <v xml:space="preserve">         </v>
      </c>
      <c r="E306" s="26" t="str">
        <f t="array" ref="E306">IF(LEN(D306)&lt;10,CONCATENATE(IFERROR(INDEX(Накл!$C$9:$C$550,SMALL(IF(Накл!$A$9:$A$550=VALUE(LEFT(A306,8)),ROW(Накл!$A$9:$A$550)-ROW(Накл!$A$9)+1),ROW(E306)-ROW(B306)+1)),"")," ",IFERROR(INDEX(Накл!$C$9:$C$550,SMALL(IF(Накл!$A$9:$A$550=VALUE(LEFT(A306,8)),ROW(Накл!$A$9:$A$550)-ROW(Накл!$A$9)+1),ROW(E307)-ROW(B306)+1)),"")," ",IFERROR(INDEX(Накл!$C$9:$C$550,SMALL(IF(Накл!$A$9:$A$550=VALUE(LEFT(A306,8)),ROW(Накл!$A$9:$A$550)-ROW(Накл!$A$9)+1),ROW(E308)-ROW(B306)+1)),"")," ",IFERROR(INDEX(Накл!$C$9:$C$550,SMALL(IF(Накл!$A$9:$A$550=VALUE(LEFT(A306,8)),ROW(Накл!$A$9:$A$550)-ROW(Накл!$A$9)+1),ROW(E309)-ROW(B306)+1)),"")),"")</f>
        <v xml:space="preserve">   </v>
      </c>
    </row>
    <row r="307" spans="1:5">
      <c r="A307" s="26" t="str">
        <f>IFERROR(CONCATENATE(VALUE(SUBSTITUTE(SUBSTITUTE(LEFT(Накл!G314,11),".",""),"-",""))," ",Накл!J314),"-")</f>
        <v>-</v>
      </c>
      <c r="B307" s="26" t="str">
        <f>IFERROR(VLOOKUP(VALUE(LEFT(A307,8)),Накл!$A$9:$D$550,4,0),"-")</f>
        <v>-</v>
      </c>
      <c r="C307" s="26">
        <f>Накл!J314</f>
        <v>0</v>
      </c>
      <c r="D307" s="33" t="str">
        <f t="array" ref="D307">CONCATENATE(IFERROR(INDEX(Накл!$C$9:$C$550,SMALL(IF(Накл!$B$9:$B$550=A307,ROW(Накл!$B$9:$B$550)-ROW(Накл!$B$9)+1),ROW(D307)-ROW(A307)+1)),"")," ",IFERROR(INDEX(Накл!$C$9:$C$550,SMALL(IF(Накл!$B$9:$B$550=A307,ROW(Накл!$B$9:$B$550)-ROW(Накл!$B$9)+1),ROW(D308)-ROW(A307)+1)),"")," ",IFERROR(INDEX(Накл!$C$9:$C$550,SMALL(IF(Накл!$B$9:$B$550=A307,ROW(Накл!$B$9:$B$550)-ROW(Накл!$B$9)+1),ROW(D309)-ROW(A307)+1)),"")," ",IFERROR(INDEX(Накл!$C$9:$C$550,SMALL(IF(Накл!$B$9:$B$550=A307,ROW(Накл!$B$9:$B$550)-ROW(Накл!$B$9)+1),ROW(D310)-ROW(A307)+1)),"")," ",IFERROR(INDEX(Накл!$C$9:$C$550,SMALL(IF(Накл!$B$9:$B$550=A307,ROW(Накл!$B$9:$B$550)-ROW(Накл!$B$9)+1),ROW(D311)-ROW(A307)+1)),"")," ",IFERROR(INDEX(Накл!$C$9:$C$550,SMALL(IF(Накл!$B$9:$B$550=A307,ROW(Накл!$B$9:$B$550)-ROW(Накл!$B$9)+1),ROW(D312)-ROW(A307)+1)),"")," ",IFERROR(INDEX(Накл!$C$9:$C$550,SMALL(IF(Накл!$B$9:$B$550=A307,ROW(Накл!$B$9:$B$550)-ROW(Накл!$B$9)+1),ROW(D313)-ROW(A307)+1)),"")," ",IFERROR(INDEX(Накл!$C$9:$C$550,SMALL(IF(Накл!$B$9:$B$550=A307,ROW(Накл!$B$9:$B$550)-ROW(Накл!$B$9)+1),ROW(D314)-ROW(A307)+1)),"")," ",IFERROR(INDEX(Накл!$C$9:$C$550,SMALL(IF(Накл!$B$9:$B$550=A307,ROW(Накл!$B$9:$B$550)-ROW(Накл!$B$9)+1),ROW(D315)-ROW(A307)+1)),"")," ",IFERROR(INDEX(Накл!$C$9:$C$550,SMALL(IF(Накл!$B$9:$B$550=A307,ROW(Накл!$B$9:$B$550)-ROW(Накл!$B$9)+1),ROW(D316)-ROW(A307)+1)),""))</f>
        <v xml:space="preserve">         </v>
      </c>
      <c r="E307" s="26" t="str">
        <f t="array" ref="E307">IF(LEN(D307)&lt;10,CONCATENATE(IFERROR(INDEX(Накл!$C$9:$C$550,SMALL(IF(Накл!$A$9:$A$550=VALUE(LEFT(A307,8)),ROW(Накл!$A$9:$A$550)-ROW(Накл!$A$9)+1),ROW(E307)-ROW(B307)+1)),"")," ",IFERROR(INDEX(Накл!$C$9:$C$550,SMALL(IF(Накл!$A$9:$A$550=VALUE(LEFT(A307,8)),ROW(Накл!$A$9:$A$550)-ROW(Накл!$A$9)+1),ROW(E308)-ROW(B307)+1)),"")," ",IFERROR(INDEX(Накл!$C$9:$C$550,SMALL(IF(Накл!$A$9:$A$550=VALUE(LEFT(A307,8)),ROW(Накл!$A$9:$A$550)-ROW(Накл!$A$9)+1),ROW(E309)-ROW(B307)+1)),"")," ",IFERROR(INDEX(Накл!$C$9:$C$550,SMALL(IF(Накл!$A$9:$A$550=VALUE(LEFT(A307,8)),ROW(Накл!$A$9:$A$550)-ROW(Накл!$A$9)+1),ROW(E310)-ROW(B307)+1)),"")),"")</f>
        <v xml:space="preserve">   </v>
      </c>
    </row>
    <row r="308" spans="1:5">
      <c r="A308" s="26" t="str">
        <f>IFERROR(CONCATENATE(VALUE(SUBSTITUTE(SUBSTITUTE(LEFT(Накл!G315,11),".",""),"-",""))," ",Накл!J315),"-")</f>
        <v>-</v>
      </c>
      <c r="B308" s="26" t="str">
        <f>IFERROR(VLOOKUP(VALUE(LEFT(A308,8)),Накл!$A$9:$D$550,4,0),"-")</f>
        <v>-</v>
      </c>
      <c r="C308" s="26">
        <f>Накл!J315</f>
        <v>0</v>
      </c>
      <c r="D308" s="33" t="str">
        <f t="array" ref="D308">CONCATENATE(IFERROR(INDEX(Накл!$C$9:$C$550,SMALL(IF(Накл!$B$9:$B$550=A308,ROW(Накл!$B$9:$B$550)-ROW(Накл!$B$9)+1),ROW(D308)-ROW(A308)+1)),"")," ",IFERROR(INDEX(Накл!$C$9:$C$550,SMALL(IF(Накл!$B$9:$B$550=A308,ROW(Накл!$B$9:$B$550)-ROW(Накл!$B$9)+1),ROW(D309)-ROW(A308)+1)),"")," ",IFERROR(INDEX(Накл!$C$9:$C$550,SMALL(IF(Накл!$B$9:$B$550=A308,ROW(Накл!$B$9:$B$550)-ROW(Накл!$B$9)+1),ROW(D310)-ROW(A308)+1)),"")," ",IFERROR(INDEX(Накл!$C$9:$C$550,SMALL(IF(Накл!$B$9:$B$550=A308,ROW(Накл!$B$9:$B$550)-ROW(Накл!$B$9)+1),ROW(D311)-ROW(A308)+1)),"")," ",IFERROR(INDEX(Накл!$C$9:$C$550,SMALL(IF(Накл!$B$9:$B$550=A308,ROW(Накл!$B$9:$B$550)-ROW(Накл!$B$9)+1),ROW(D312)-ROW(A308)+1)),"")," ",IFERROR(INDEX(Накл!$C$9:$C$550,SMALL(IF(Накл!$B$9:$B$550=A308,ROW(Накл!$B$9:$B$550)-ROW(Накл!$B$9)+1),ROW(D313)-ROW(A308)+1)),"")," ",IFERROR(INDEX(Накл!$C$9:$C$550,SMALL(IF(Накл!$B$9:$B$550=A308,ROW(Накл!$B$9:$B$550)-ROW(Накл!$B$9)+1),ROW(D314)-ROW(A308)+1)),"")," ",IFERROR(INDEX(Накл!$C$9:$C$550,SMALL(IF(Накл!$B$9:$B$550=A308,ROW(Накл!$B$9:$B$550)-ROW(Накл!$B$9)+1),ROW(D315)-ROW(A308)+1)),"")," ",IFERROR(INDEX(Накл!$C$9:$C$550,SMALL(IF(Накл!$B$9:$B$550=A308,ROW(Накл!$B$9:$B$550)-ROW(Накл!$B$9)+1),ROW(D316)-ROW(A308)+1)),"")," ",IFERROR(INDEX(Накл!$C$9:$C$550,SMALL(IF(Накл!$B$9:$B$550=A308,ROW(Накл!$B$9:$B$550)-ROW(Накл!$B$9)+1),ROW(D317)-ROW(A308)+1)),""))</f>
        <v xml:space="preserve">         </v>
      </c>
      <c r="E308" s="26" t="str">
        <f t="array" ref="E308">IF(LEN(D308)&lt;10,CONCATENATE(IFERROR(INDEX(Накл!$C$9:$C$550,SMALL(IF(Накл!$A$9:$A$550=VALUE(LEFT(A308,8)),ROW(Накл!$A$9:$A$550)-ROW(Накл!$A$9)+1),ROW(E308)-ROW(B308)+1)),"")," ",IFERROR(INDEX(Накл!$C$9:$C$550,SMALL(IF(Накл!$A$9:$A$550=VALUE(LEFT(A308,8)),ROW(Накл!$A$9:$A$550)-ROW(Накл!$A$9)+1),ROW(E309)-ROW(B308)+1)),"")," ",IFERROR(INDEX(Накл!$C$9:$C$550,SMALL(IF(Накл!$A$9:$A$550=VALUE(LEFT(A308,8)),ROW(Накл!$A$9:$A$550)-ROW(Накл!$A$9)+1),ROW(E310)-ROW(B308)+1)),"")," ",IFERROR(INDEX(Накл!$C$9:$C$550,SMALL(IF(Накл!$A$9:$A$550=VALUE(LEFT(A308,8)),ROW(Накл!$A$9:$A$550)-ROW(Накл!$A$9)+1),ROW(E311)-ROW(B308)+1)),"")),"")</f>
        <v xml:space="preserve">   </v>
      </c>
    </row>
    <row r="309" spans="1:5">
      <c r="A309" s="26" t="str">
        <f>IFERROR(CONCATENATE(VALUE(SUBSTITUTE(SUBSTITUTE(LEFT(Накл!G316,11),".",""),"-",""))," ",Накл!J316),"-")</f>
        <v>-</v>
      </c>
      <c r="B309" s="26" t="str">
        <f>IFERROR(VLOOKUP(VALUE(LEFT(A309,8)),Накл!$A$9:$D$550,4,0),"-")</f>
        <v>-</v>
      </c>
      <c r="C309" s="26">
        <f>Накл!J316</f>
        <v>0</v>
      </c>
      <c r="D309" s="33" t="str">
        <f t="array" ref="D309">CONCATENATE(IFERROR(INDEX(Накл!$C$9:$C$550,SMALL(IF(Накл!$B$9:$B$550=A309,ROW(Накл!$B$9:$B$550)-ROW(Накл!$B$9)+1),ROW(D309)-ROW(A309)+1)),"")," ",IFERROR(INDEX(Накл!$C$9:$C$550,SMALL(IF(Накл!$B$9:$B$550=A309,ROW(Накл!$B$9:$B$550)-ROW(Накл!$B$9)+1),ROW(D310)-ROW(A309)+1)),"")," ",IFERROR(INDEX(Накл!$C$9:$C$550,SMALL(IF(Накл!$B$9:$B$550=A309,ROW(Накл!$B$9:$B$550)-ROW(Накл!$B$9)+1),ROW(D311)-ROW(A309)+1)),"")," ",IFERROR(INDEX(Накл!$C$9:$C$550,SMALL(IF(Накл!$B$9:$B$550=A309,ROW(Накл!$B$9:$B$550)-ROW(Накл!$B$9)+1),ROW(D312)-ROW(A309)+1)),"")," ",IFERROR(INDEX(Накл!$C$9:$C$550,SMALL(IF(Накл!$B$9:$B$550=A309,ROW(Накл!$B$9:$B$550)-ROW(Накл!$B$9)+1),ROW(D313)-ROW(A309)+1)),"")," ",IFERROR(INDEX(Накл!$C$9:$C$550,SMALL(IF(Накл!$B$9:$B$550=A309,ROW(Накл!$B$9:$B$550)-ROW(Накл!$B$9)+1),ROW(D314)-ROW(A309)+1)),"")," ",IFERROR(INDEX(Накл!$C$9:$C$550,SMALL(IF(Накл!$B$9:$B$550=A309,ROW(Накл!$B$9:$B$550)-ROW(Накл!$B$9)+1),ROW(D315)-ROW(A309)+1)),"")," ",IFERROR(INDEX(Накл!$C$9:$C$550,SMALL(IF(Накл!$B$9:$B$550=A309,ROW(Накл!$B$9:$B$550)-ROW(Накл!$B$9)+1),ROW(D316)-ROW(A309)+1)),"")," ",IFERROR(INDEX(Накл!$C$9:$C$550,SMALL(IF(Накл!$B$9:$B$550=A309,ROW(Накл!$B$9:$B$550)-ROW(Накл!$B$9)+1),ROW(D317)-ROW(A309)+1)),"")," ",IFERROR(INDEX(Накл!$C$9:$C$550,SMALL(IF(Накл!$B$9:$B$550=A309,ROW(Накл!$B$9:$B$550)-ROW(Накл!$B$9)+1),ROW(D318)-ROW(A309)+1)),""))</f>
        <v xml:space="preserve">         </v>
      </c>
      <c r="E309" s="26" t="str">
        <f t="array" ref="E309">IF(LEN(D309)&lt;10,CONCATENATE(IFERROR(INDEX(Накл!$C$9:$C$550,SMALL(IF(Накл!$A$9:$A$550=VALUE(LEFT(A309,8)),ROW(Накл!$A$9:$A$550)-ROW(Накл!$A$9)+1),ROW(E309)-ROW(B309)+1)),"")," ",IFERROR(INDEX(Накл!$C$9:$C$550,SMALL(IF(Накл!$A$9:$A$550=VALUE(LEFT(A309,8)),ROW(Накл!$A$9:$A$550)-ROW(Накл!$A$9)+1),ROW(E310)-ROW(B309)+1)),"")," ",IFERROR(INDEX(Накл!$C$9:$C$550,SMALL(IF(Накл!$A$9:$A$550=VALUE(LEFT(A309,8)),ROW(Накл!$A$9:$A$550)-ROW(Накл!$A$9)+1),ROW(E311)-ROW(B309)+1)),"")," ",IFERROR(INDEX(Накл!$C$9:$C$550,SMALL(IF(Накл!$A$9:$A$550=VALUE(LEFT(A309,8)),ROW(Накл!$A$9:$A$550)-ROW(Накл!$A$9)+1),ROW(E312)-ROW(B309)+1)),"")),"")</f>
        <v xml:space="preserve">   </v>
      </c>
    </row>
    <row r="310" spans="1:5">
      <c r="A310" s="26" t="str">
        <f>IFERROR(CONCATENATE(VALUE(SUBSTITUTE(SUBSTITUTE(LEFT(Накл!G317,11),".",""),"-",""))," ",Накл!J317),"-")</f>
        <v>-</v>
      </c>
      <c r="B310" s="26" t="str">
        <f>IFERROR(VLOOKUP(VALUE(LEFT(A310,8)),Накл!$A$9:$D$550,4,0),"-")</f>
        <v>-</v>
      </c>
      <c r="C310" s="26">
        <f>Накл!J317</f>
        <v>0</v>
      </c>
      <c r="D310" s="33" t="str">
        <f t="array" ref="D310">CONCATENATE(IFERROR(INDEX(Накл!$C$9:$C$550,SMALL(IF(Накл!$B$9:$B$550=A310,ROW(Накл!$B$9:$B$550)-ROW(Накл!$B$9)+1),ROW(D310)-ROW(A310)+1)),"")," ",IFERROR(INDEX(Накл!$C$9:$C$550,SMALL(IF(Накл!$B$9:$B$550=A310,ROW(Накл!$B$9:$B$550)-ROW(Накл!$B$9)+1),ROW(D311)-ROW(A310)+1)),"")," ",IFERROR(INDEX(Накл!$C$9:$C$550,SMALL(IF(Накл!$B$9:$B$550=A310,ROW(Накл!$B$9:$B$550)-ROW(Накл!$B$9)+1),ROW(D312)-ROW(A310)+1)),"")," ",IFERROR(INDEX(Накл!$C$9:$C$550,SMALL(IF(Накл!$B$9:$B$550=A310,ROW(Накл!$B$9:$B$550)-ROW(Накл!$B$9)+1),ROW(D313)-ROW(A310)+1)),"")," ",IFERROR(INDEX(Накл!$C$9:$C$550,SMALL(IF(Накл!$B$9:$B$550=A310,ROW(Накл!$B$9:$B$550)-ROW(Накл!$B$9)+1),ROW(D314)-ROW(A310)+1)),"")," ",IFERROR(INDEX(Накл!$C$9:$C$550,SMALL(IF(Накл!$B$9:$B$550=A310,ROW(Накл!$B$9:$B$550)-ROW(Накл!$B$9)+1),ROW(D315)-ROW(A310)+1)),"")," ",IFERROR(INDEX(Накл!$C$9:$C$550,SMALL(IF(Накл!$B$9:$B$550=A310,ROW(Накл!$B$9:$B$550)-ROW(Накл!$B$9)+1),ROW(D316)-ROW(A310)+1)),"")," ",IFERROR(INDEX(Накл!$C$9:$C$550,SMALL(IF(Накл!$B$9:$B$550=A310,ROW(Накл!$B$9:$B$550)-ROW(Накл!$B$9)+1),ROW(D317)-ROW(A310)+1)),"")," ",IFERROR(INDEX(Накл!$C$9:$C$550,SMALL(IF(Накл!$B$9:$B$550=A310,ROW(Накл!$B$9:$B$550)-ROW(Накл!$B$9)+1),ROW(D318)-ROW(A310)+1)),"")," ",IFERROR(INDEX(Накл!$C$9:$C$550,SMALL(IF(Накл!$B$9:$B$550=A310,ROW(Накл!$B$9:$B$550)-ROW(Накл!$B$9)+1),ROW(D319)-ROW(A310)+1)),""))</f>
        <v xml:space="preserve">         </v>
      </c>
      <c r="E310" s="26" t="str">
        <f t="array" ref="E310">IF(LEN(D310)&lt;10,CONCATENATE(IFERROR(INDEX(Накл!$C$9:$C$550,SMALL(IF(Накл!$A$9:$A$550=VALUE(LEFT(A310,8)),ROW(Накл!$A$9:$A$550)-ROW(Накл!$A$9)+1),ROW(E310)-ROW(B310)+1)),"")," ",IFERROR(INDEX(Накл!$C$9:$C$550,SMALL(IF(Накл!$A$9:$A$550=VALUE(LEFT(A310,8)),ROW(Накл!$A$9:$A$550)-ROW(Накл!$A$9)+1),ROW(E311)-ROW(B310)+1)),"")," ",IFERROR(INDEX(Накл!$C$9:$C$550,SMALL(IF(Накл!$A$9:$A$550=VALUE(LEFT(A310,8)),ROW(Накл!$A$9:$A$550)-ROW(Накл!$A$9)+1),ROW(E312)-ROW(B310)+1)),"")," ",IFERROR(INDEX(Накл!$C$9:$C$550,SMALL(IF(Накл!$A$9:$A$550=VALUE(LEFT(A310,8)),ROW(Накл!$A$9:$A$550)-ROW(Накл!$A$9)+1),ROW(E313)-ROW(B310)+1)),"")),"")</f>
        <v xml:space="preserve">   </v>
      </c>
    </row>
    <row r="311" spans="1:5">
      <c r="A311" s="26" t="str">
        <f>IFERROR(CONCATENATE(VALUE(SUBSTITUTE(SUBSTITUTE(LEFT(Накл!G318,11),".",""),"-",""))," ",Накл!J318),"-")</f>
        <v>-</v>
      </c>
      <c r="B311" s="26" t="str">
        <f>IFERROR(VLOOKUP(VALUE(LEFT(A311,8)),Накл!$A$9:$D$550,4,0),"-")</f>
        <v>-</v>
      </c>
      <c r="C311" s="26">
        <f>Накл!J318</f>
        <v>0</v>
      </c>
      <c r="D311" s="33" t="str">
        <f t="array" ref="D311">CONCATENATE(IFERROR(INDEX(Накл!$C$9:$C$550,SMALL(IF(Накл!$B$9:$B$550=A311,ROW(Накл!$B$9:$B$550)-ROW(Накл!$B$9)+1),ROW(D311)-ROW(A311)+1)),"")," ",IFERROR(INDEX(Накл!$C$9:$C$550,SMALL(IF(Накл!$B$9:$B$550=A311,ROW(Накл!$B$9:$B$550)-ROW(Накл!$B$9)+1),ROW(D312)-ROW(A311)+1)),"")," ",IFERROR(INDEX(Накл!$C$9:$C$550,SMALL(IF(Накл!$B$9:$B$550=A311,ROW(Накл!$B$9:$B$550)-ROW(Накл!$B$9)+1),ROW(D313)-ROW(A311)+1)),"")," ",IFERROR(INDEX(Накл!$C$9:$C$550,SMALL(IF(Накл!$B$9:$B$550=A311,ROW(Накл!$B$9:$B$550)-ROW(Накл!$B$9)+1),ROW(D314)-ROW(A311)+1)),"")," ",IFERROR(INDEX(Накл!$C$9:$C$550,SMALL(IF(Накл!$B$9:$B$550=A311,ROW(Накл!$B$9:$B$550)-ROW(Накл!$B$9)+1),ROW(D315)-ROW(A311)+1)),"")," ",IFERROR(INDEX(Накл!$C$9:$C$550,SMALL(IF(Накл!$B$9:$B$550=A311,ROW(Накл!$B$9:$B$550)-ROW(Накл!$B$9)+1),ROW(D316)-ROW(A311)+1)),"")," ",IFERROR(INDEX(Накл!$C$9:$C$550,SMALL(IF(Накл!$B$9:$B$550=A311,ROW(Накл!$B$9:$B$550)-ROW(Накл!$B$9)+1),ROW(D317)-ROW(A311)+1)),"")," ",IFERROR(INDEX(Накл!$C$9:$C$550,SMALL(IF(Накл!$B$9:$B$550=A311,ROW(Накл!$B$9:$B$550)-ROW(Накл!$B$9)+1),ROW(D318)-ROW(A311)+1)),"")," ",IFERROR(INDEX(Накл!$C$9:$C$550,SMALL(IF(Накл!$B$9:$B$550=A311,ROW(Накл!$B$9:$B$550)-ROW(Накл!$B$9)+1),ROW(D319)-ROW(A311)+1)),"")," ",IFERROR(INDEX(Накл!$C$9:$C$550,SMALL(IF(Накл!$B$9:$B$550=A311,ROW(Накл!$B$9:$B$550)-ROW(Накл!$B$9)+1),ROW(D320)-ROW(A311)+1)),""))</f>
        <v xml:space="preserve">         </v>
      </c>
      <c r="E311" s="26" t="str">
        <f t="array" ref="E311">IF(LEN(D311)&lt;10,CONCATENATE(IFERROR(INDEX(Накл!$C$9:$C$550,SMALL(IF(Накл!$A$9:$A$550=VALUE(LEFT(A311,8)),ROW(Накл!$A$9:$A$550)-ROW(Накл!$A$9)+1),ROW(E311)-ROW(B311)+1)),"")," ",IFERROR(INDEX(Накл!$C$9:$C$550,SMALL(IF(Накл!$A$9:$A$550=VALUE(LEFT(A311,8)),ROW(Накл!$A$9:$A$550)-ROW(Накл!$A$9)+1),ROW(E312)-ROW(B311)+1)),"")," ",IFERROR(INDEX(Накл!$C$9:$C$550,SMALL(IF(Накл!$A$9:$A$550=VALUE(LEFT(A311,8)),ROW(Накл!$A$9:$A$550)-ROW(Накл!$A$9)+1),ROW(E313)-ROW(B311)+1)),"")," ",IFERROR(INDEX(Накл!$C$9:$C$550,SMALL(IF(Накл!$A$9:$A$550=VALUE(LEFT(A311,8)),ROW(Накл!$A$9:$A$550)-ROW(Накл!$A$9)+1),ROW(E314)-ROW(B311)+1)),"")),"")</f>
        <v xml:space="preserve">   </v>
      </c>
    </row>
    <row r="312" spans="1:5">
      <c r="A312" s="26" t="str">
        <f>IFERROR(CONCATENATE(VALUE(SUBSTITUTE(SUBSTITUTE(LEFT(Накл!G319,11),".",""),"-",""))," ",Накл!J319),"-")</f>
        <v>-</v>
      </c>
      <c r="B312" s="26" t="str">
        <f>IFERROR(VLOOKUP(VALUE(LEFT(A312,8)),Накл!$A$9:$D$550,4,0),"-")</f>
        <v>-</v>
      </c>
      <c r="C312" s="26">
        <f>Накл!J319</f>
        <v>0</v>
      </c>
      <c r="D312" s="33" t="str">
        <f t="array" ref="D312">CONCATENATE(IFERROR(INDEX(Накл!$C$9:$C$550,SMALL(IF(Накл!$B$9:$B$550=A312,ROW(Накл!$B$9:$B$550)-ROW(Накл!$B$9)+1),ROW(D312)-ROW(A312)+1)),"")," ",IFERROR(INDEX(Накл!$C$9:$C$550,SMALL(IF(Накл!$B$9:$B$550=A312,ROW(Накл!$B$9:$B$550)-ROW(Накл!$B$9)+1),ROW(D313)-ROW(A312)+1)),"")," ",IFERROR(INDEX(Накл!$C$9:$C$550,SMALL(IF(Накл!$B$9:$B$550=A312,ROW(Накл!$B$9:$B$550)-ROW(Накл!$B$9)+1),ROW(D314)-ROW(A312)+1)),"")," ",IFERROR(INDEX(Накл!$C$9:$C$550,SMALL(IF(Накл!$B$9:$B$550=A312,ROW(Накл!$B$9:$B$550)-ROW(Накл!$B$9)+1),ROW(D315)-ROW(A312)+1)),"")," ",IFERROR(INDEX(Накл!$C$9:$C$550,SMALL(IF(Накл!$B$9:$B$550=A312,ROW(Накл!$B$9:$B$550)-ROW(Накл!$B$9)+1),ROW(D316)-ROW(A312)+1)),"")," ",IFERROR(INDEX(Накл!$C$9:$C$550,SMALL(IF(Накл!$B$9:$B$550=A312,ROW(Накл!$B$9:$B$550)-ROW(Накл!$B$9)+1),ROW(D317)-ROW(A312)+1)),"")," ",IFERROR(INDEX(Накл!$C$9:$C$550,SMALL(IF(Накл!$B$9:$B$550=A312,ROW(Накл!$B$9:$B$550)-ROW(Накл!$B$9)+1),ROW(D318)-ROW(A312)+1)),"")," ",IFERROR(INDEX(Накл!$C$9:$C$550,SMALL(IF(Накл!$B$9:$B$550=A312,ROW(Накл!$B$9:$B$550)-ROW(Накл!$B$9)+1),ROW(D319)-ROW(A312)+1)),"")," ",IFERROR(INDEX(Накл!$C$9:$C$550,SMALL(IF(Накл!$B$9:$B$550=A312,ROW(Накл!$B$9:$B$550)-ROW(Накл!$B$9)+1),ROW(D320)-ROW(A312)+1)),"")," ",IFERROR(INDEX(Накл!$C$9:$C$550,SMALL(IF(Накл!$B$9:$B$550=A312,ROW(Накл!$B$9:$B$550)-ROW(Накл!$B$9)+1),ROW(D321)-ROW(A312)+1)),""))</f>
        <v xml:space="preserve">         </v>
      </c>
      <c r="E312" s="26" t="str">
        <f t="array" ref="E312">IF(LEN(D312)&lt;10,CONCATENATE(IFERROR(INDEX(Накл!$C$9:$C$550,SMALL(IF(Накл!$A$9:$A$550=VALUE(LEFT(A312,8)),ROW(Накл!$A$9:$A$550)-ROW(Накл!$A$9)+1),ROW(E312)-ROW(B312)+1)),"")," ",IFERROR(INDEX(Накл!$C$9:$C$550,SMALL(IF(Накл!$A$9:$A$550=VALUE(LEFT(A312,8)),ROW(Накл!$A$9:$A$550)-ROW(Накл!$A$9)+1),ROW(E313)-ROW(B312)+1)),"")," ",IFERROR(INDEX(Накл!$C$9:$C$550,SMALL(IF(Накл!$A$9:$A$550=VALUE(LEFT(A312,8)),ROW(Накл!$A$9:$A$550)-ROW(Накл!$A$9)+1),ROW(E314)-ROW(B312)+1)),"")," ",IFERROR(INDEX(Накл!$C$9:$C$550,SMALL(IF(Накл!$A$9:$A$550=VALUE(LEFT(A312,8)),ROW(Накл!$A$9:$A$550)-ROW(Накл!$A$9)+1),ROW(E315)-ROW(B312)+1)),"")),"")</f>
        <v xml:space="preserve">   </v>
      </c>
    </row>
    <row r="313" spans="1:5">
      <c r="A313" s="26" t="str">
        <f>IFERROR(CONCATENATE(VALUE(SUBSTITUTE(SUBSTITUTE(LEFT(Накл!G320,11),".",""),"-",""))," ",Накл!J320),"-")</f>
        <v>-</v>
      </c>
      <c r="B313" s="26" t="str">
        <f>IFERROR(VLOOKUP(VALUE(LEFT(A313,8)),Накл!$A$9:$D$550,4,0),"-")</f>
        <v>-</v>
      </c>
      <c r="C313" s="26">
        <f>Накл!J320</f>
        <v>0</v>
      </c>
      <c r="D313" s="33" t="str">
        <f t="array" ref="D313">CONCATENATE(IFERROR(INDEX(Накл!$C$9:$C$550,SMALL(IF(Накл!$B$9:$B$550=A313,ROW(Накл!$B$9:$B$550)-ROW(Накл!$B$9)+1),ROW(D313)-ROW(A313)+1)),"")," ",IFERROR(INDEX(Накл!$C$9:$C$550,SMALL(IF(Накл!$B$9:$B$550=A313,ROW(Накл!$B$9:$B$550)-ROW(Накл!$B$9)+1),ROW(D314)-ROW(A313)+1)),"")," ",IFERROR(INDEX(Накл!$C$9:$C$550,SMALL(IF(Накл!$B$9:$B$550=A313,ROW(Накл!$B$9:$B$550)-ROW(Накл!$B$9)+1),ROW(D315)-ROW(A313)+1)),"")," ",IFERROR(INDEX(Накл!$C$9:$C$550,SMALL(IF(Накл!$B$9:$B$550=A313,ROW(Накл!$B$9:$B$550)-ROW(Накл!$B$9)+1),ROW(D316)-ROW(A313)+1)),"")," ",IFERROR(INDEX(Накл!$C$9:$C$550,SMALL(IF(Накл!$B$9:$B$550=A313,ROW(Накл!$B$9:$B$550)-ROW(Накл!$B$9)+1),ROW(D317)-ROW(A313)+1)),"")," ",IFERROR(INDEX(Накл!$C$9:$C$550,SMALL(IF(Накл!$B$9:$B$550=A313,ROW(Накл!$B$9:$B$550)-ROW(Накл!$B$9)+1),ROW(D318)-ROW(A313)+1)),"")," ",IFERROR(INDEX(Накл!$C$9:$C$550,SMALL(IF(Накл!$B$9:$B$550=A313,ROW(Накл!$B$9:$B$550)-ROW(Накл!$B$9)+1),ROW(D319)-ROW(A313)+1)),"")," ",IFERROR(INDEX(Накл!$C$9:$C$550,SMALL(IF(Накл!$B$9:$B$550=A313,ROW(Накл!$B$9:$B$550)-ROW(Накл!$B$9)+1),ROW(D320)-ROW(A313)+1)),"")," ",IFERROR(INDEX(Накл!$C$9:$C$550,SMALL(IF(Накл!$B$9:$B$550=A313,ROW(Накл!$B$9:$B$550)-ROW(Накл!$B$9)+1),ROW(D321)-ROW(A313)+1)),"")," ",IFERROR(INDEX(Накл!$C$9:$C$550,SMALL(IF(Накл!$B$9:$B$550=A313,ROW(Накл!$B$9:$B$550)-ROW(Накл!$B$9)+1),ROW(D322)-ROW(A313)+1)),""))</f>
        <v xml:space="preserve">         </v>
      </c>
      <c r="E313" s="26" t="str">
        <f t="array" ref="E313">IF(LEN(D313)&lt;10,CONCATENATE(IFERROR(INDEX(Накл!$C$9:$C$550,SMALL(IF(Накл!$A$9:$A$550=VALUE(LEFT(A313,8)),ROW(Накл!$A$9:$A$550)-ROW(Накл!$A$9)+1),ROW(E313)-ROW(B313)+1)),"")," ",IFERROR(INDEX(Накл!$C$9:$C$550,SMALL(IF(Накл!$A$9:$A$550=VALUE(LEFT(A313,8)),ROW(Накл!$A$9:$A$550)-ROW(Накл!$A$9)+1),ROW(E314)-ROW(B313)+1)),"")," ",IFERROR(INDEX(Накл!$C$9:$C$550,SMALL(IF(Накл!$A$9:$A$550=VALUE(LEFT(A313,8)),ROW(Накл!$A$9:$A$550)-ROW(Накл!$A$9)+1),ROW(E315)-ROW(B313)+1)),"")," ",IFERROR(INDEX(Накл!$C$9:$C$550,SMALL(IF(Накл!$A$9:$A$550=VALUE(LEFT(A313,8)),ROW(Накл!$A$9:$A$550)-ROW(Накл!$A$9)+1),ROW(E316)-ROW(B313)+1)),"")),"")</f>
        <v xml:space="preserve">   </v>
      </c>
    </row>
    <row r="314" spans="1:5">
      <c r="A314" s="26" t="str">
        <f>IFERROR(CONCATENATE(VALUE(SUBSTITUTE(SUBSTITUTE(LEFT(Накл!G321,11),".",""),"-",""))," ",Накл!J321),"-")</f>
        <v>-</v>
      </c>
      <c r="B314" s="26" t="str">
        <f>IFERROR(VLOOKUP(VALUE(LEFT(A314,8)),Накл!$A$9:$D$550,4,0),"-")</f>
        <v>-</v>
      </c>
      <c r="C314" s="26">
        <f>Накл!J321</f>
        <v>0</v>
      </c>
      <c r="D314" s="33" t="str">
        <f t="array" ref="D314">CONCATENATE(IFERROR(INDEX(Накл!$C$9:$C$550,SMALL(IF(Накл!$B$9:$B$550=A314,ROW(Накл!$B$9:$B$550)-ROW(Накл!$B$9)+1),ROW(D314)-ROW(A314)+1)),"")," ",IFERROR(INDEX(Накл!$C$9:$C$550,SMALL(IF(Накл!$B$9:$B$550=A314,ROW(Накл!$B$9:$B$550)-ROW(Накл!$B$9)+1),ROW(D315)-ROW(A314)+1)),"")," ",IFERROR(INDEX(Накл!$C$9:$C$550,SMALL(IF(Накл!$B$9:$B$550=A314,ROW(Накл!$B$9:$B$550)-ROW(Накл!$B$9)+1),ROW(D316)-ROW(A314)+1)),"")," ",IFERROR(INDEX(Накл!$C$9:$C$550,SMALL(IF(Накл!$B$9:$B$550=A314,ROW(Накл!$B$9:$B$550)-ROW(Накл!$B$9)+1),ROW(D317)-ROW(A314)+1)),"")," ",IFERROR(INDEX(Накл!$C$9:$C$550,SMALL(IF(Накл!$B$9:$B$550=A314,ROW(Накл!$B$9:$B$550)-ROW(Накл!$B$9)+1),ROW(D318)-ROW(A314)+1)),"")," ",IFERROR(INDEX(Накл!$C$9:$C$550,SMALL(IF(Накл!$B$9:$B$550=A314,ROW(Накл!$B$9:$B$550)-ROW(Накл!$B$9)+1),ROW(D319)-ROW(A314)+1)),"")," ",IFERROR(INDEX(Накл!$C$9:$C$550,SMALL(IF(Накл!$B$9:$B$550=A314,ROW(Накл!$B$9:$B$550)-ROW(Накл!$B$9)+1),ROW(D320)-ROW(A314)+1)),"")," ",IFERROR(INDEX(Накл!$C$9:$C$550,SMALL(IF(Накл!$B$9:$B$550=A314,ROW(Накл!$B$9:$B$550)-ROW(Накл!$B$9)+1),ROW(D321)-ROW(A314)+1)),"")," ",IFERROR(INDEX(Накл!$C$9:$C$550,SMALL(IF(Накл!$B$9:$B$550=A314,ROW(Накл!$B$9:$B$550)-ROW(Накл!$B$9)+1),ROW(D322)-ROW(A314)+1)),"")," ",IFERROR(INDEX(Накл!$C$9:$C$550,SMALL(IF(Накл!$B$9:$B$550=A314,ROW(Накл!$B$9:$B$550)-ROW(Накл!$B$9)+1),ROW(D323)-ROW(A314)+1)),""))</f>
        <v xml:space="preserve">         </v>
      </c>
      <c r="E314" s="26" t="str">
        <f t="array" ref="E314">IF(LEN(D314)&lt;10,CONCATENATE(IFERROR(INDEX(Накл!$C$9:$C$550,SMALL(IF(Накл!$A$9:$A$550=VALUE(LEFT(A314,8)),ROW(Накл!$A$9:$A$550)-ROW(Накл!$A$9)+1),ROW(E314)-ROW(B314)+1)),"")," ",IFERROR(INDEX(Накл!$C$9:$C$550,SMALL(IF(Накл!$A$9:$A$550=VALUE(LEFT(A314,8)),ROW(Накл!$A$9:$A$550)-ROW(Накл!$A$9)+1),ROW(E315)-ROW(B314)+1)),"")," ",IFERROR(INDEX(Накл!$C$9:$C$550,SMALL(IF(Накл!$A$9:$A$550=VALUE(LEFT(A314,8)),ROW(Накл!$A$9:$A$550)-ROW(Накл!$A$9)+1),ROW(E316)-ROW(B314)+1)),"")," ",IFERROR(INDEX(Накл!$C$9:$C$550,SMALL(IF(Накл!$A$9:$A$550=VALUE(LEFT(A314,8)),ROW(Накл!$A$9:$A$550)-ROW(Накл!$A$9)+1),ROW(E317)-ROW(B314)+1)),"")),"")</f>
        <v xml:space="preserve">   </v>
      </c>
    </row>
    <row r="315" spans="1:5">
      <c r="A315" s="26" t="str">
        <f>IFERROR(CONCATENATE(VALUE(SUBSTITUTE(SUBSTITUTE(LEFT(Накл!G322,11),".",""),"-",""))," ",Накл!J322),"-")</f>
        <v>-</v>
      </c>
      <c r="B315" s="26" t="str">
        <f>IFERROR(VLOOKUP(VALUE(LEFT(A315,8)),Накл!$A$9:$D$550,4,0),"-")</f>
        <v>-</v>
      </c>
      <c r="C315" s="26">
        <f>Накл!J322</f>
        <v>0</v>
      </c>
      <c r="D315" s="33" t="str">
        <f t="array" ref="D315">CONCATENATE(IFERROR(INDEX(Накл!$C$9:$C$550,SMALL(IF(Накл!$B$9:$B$550=A315,ROW(Накл!$B$9:$B$550)-ROW(Накл!$B$9)+1),ROW(D315)-ROW(A315)+1)),"")," ",IFERROR(INDEX(Накл!$C$9:$C$550,SMALL(IF(Накл!$B$9:$B$550=A315,ROW(Накл!$B$9:$B$550)-ROW(Накл!$B$9)+1),ROW(D316)-ROW(A315)+1)),"")," ",IFERROR(INDEX(Накл!$C$9:$C$550,SMALL(IF(Накл!$B$9:$B$550=A315,ROW(Накл!$B$9:$B$550)-ROW(Накл!$B$9)+1),ROW(D317)-ROW(A315)+1)),"")," ",IFERROR(INDEX(Накл!$C$9:$C$550,SMALL(IF(Накл!$B$9:$B$550=A315,ROW(Накл!$B$9:$B$550)-ROW(Накл!$B$9)+1),ROW(D318)-ROW(A315)+1)),"")," ",IFERROR(INDEX(Накл!$C$9:$C$550,SMALL(IF(Накл!$B$9:$B$550=A315,ROW(Накл!$B$9:$B$550)-ROW(Накл!$B$9)+1),ROW(D319)-ROW(A315)+1)),"")," ",IFERROR(INDEX(Накл!$C$9:$C$550,SMALL(IF(Накл!$B$9:$B$550=A315,ROW(Накл!$B$9:$B$550)-ROW(Накл!$B$9)+1),ROW(D320)-ROW(A315)+1)),"")," ",IFERROR(INDEX(Накл!$C$9:$C$550,SMALL(IF(Накл!$B$9:$B$550=A315,ROW(Накл!$B$9:$B$550)-ROW(Накл!$B$9)+1),ROW(D321)-ROW(A315)+1)),"")," ",IFERROR(INDEX(Накл!$C$9:$C$550,SMALL(IF(Накл!$B$9:$B$550=A315,ROW(Накл!$B$9:$B$550)-ROW(Накл!$B$9)+1),ROW(D322)-ROW(A315)+1)),"")," ",IFERROR(INDEX(Накл!$C$9:$C$550,SMALL(IF(Накл!$B$9:$B$550=A315,ROW(Накл!$B$9:$B$550)-ROW(Накл!$B$9)+1),ROW(D323)-ROW(A315)+1)),"")," ",IFERROR(INDEX(Накл!$C$9:$C$550,SMALL(IF(Накл!$B$9:$B$550=A315,ROW(Накл!$B$9:$B$550)-ROW(Накл!$B$9)+1),ROW(D324)-ROW(A315)+1)),""))</f>
        <v xml:space="preserve">         </v>
      </c>
      <c r="E315" s="26" t="str">
        <f t="array" ref="E315">IF(LEN(D315)&lt;10,CONCATENATE(IFERROR(INDEX(Накл!$C$9:$C$550,SMALL(IF(Накл!$A$9:$A$550=VALUE(LEFT(A315,8)),ROW(Накл!$A$9:$A$550)-ROW(Накл!$A$9)+1),ROW(E315)-ROW(B315)+1)),"")," ",IFERROR(INDEX(Накл!$C$9:$C$550,SMALL(IF(Накл!$A$9:$A$550=VALUE(LEFT(A315,8)),ROW(Накл!$A$9:$A$550)-ROW(Накл!$A$9)+1),ROW(E316)-ROW(B315)+1)),"")," ",IFERROR(INDEX(Накл!$C$9:$C$550,SMALL(IF(Накл!$A$9:$A$550=VALUE(LEFT(A315,8)),ROW(Накл!$A$9:$A$550)-ROW(Накл!$A$9)+1),ROW(E317)-ROW(B315)+1)),"")," ",IFERROR(INDEX(Накл!$C$9:$C$550,SMALL(IF(Накл!$A$9:$A$550=VALUE(LEFT(A315,8)),ROW(Накл!$A$9:$A$550)-ROW(Накл!$A$9)+1),ROW(E318)-ROW(B315)+1)),"")),"")</f>
        <v xml:space="preserve">   </v>
      </c>
    </row>
    <row r="316" spans="1:5">
      <c r="A316" s="26" t="str">
        <f>IFERROR(CONCATENATE(VALUE(SUBSTITUTE(SUBSTITUTE(LEFT(Накл!G323,11),".",""),"-",""))," ",Накл!J323),"-")</f>
        <v>-</v>
      </c>
      <c r="B316" s="26" t="str">
        <f>IFERROR(VLOOKUP(VALUE(LEFT(A316,8)),Накл!$A$9:$D$550,4,0),"-")</f>
        <v>-</v>
      </c>
      <c r="C316" s="26">
        <f>Накл!J323</f>
        <v>0</v>
      </c>
      <c r="D316" s="33" t="str">
        <f t="array" ref="D316">CONCATENATE(IFERROR(INDEX(Накл!$C$9:$C$550,SMALL(IF(Накл!$B$9:$B$550=A316,ROW(Накл!$B$9:$B$550)-ROW(Накл!$B$9)+1),ROW(D316)-ROW(A316)+1)),"")," ",IFERROR(INDEX(Накл!$C$9:$C$550,SMALL(IF(Накл!$B$9:$B$550=A316,ROW(Накл!$B$9:$B$550)-ROW(Накл!$B$9)+1),ROW(D317)-ROW(A316)+1)),"")," ",IFERROR(INDEX(Накл!$C$9:$C$550,SMALL(IF(Накл!$B$9:$B$550=A316,ROW(Накл!$B$9:$B$550)-ROW(Накл!$B$9)+1),ROW(D318)-ROW(A316)+1)),"")," ",IFERROR(INDEX(Накл!$C$9:$C$550,SMALL(IF(Накл!$B$9:$B$550=A316,ROW(Накл!$B$9:$B$550)-ROW(Накл!$B$9)+1),ROW(D319)-ROW(A316)+1)),"")," ",IFERROR(INDEX(Накл!$C$9:$C$550,SMALL(IF(Накл!$B$9:$B$550=A316,ROW(Накл!$B$9:$B$550)-ROW(Накл!$B$9)+1),ROW(D320)-ROW(A316)+1)),"")," ",IFERROR(INDEX(Накл!$C$9:$C$550,SMALL(IF(Накл!$B$9:$B$550=A316,ROW(Накл!$B$9:$B$550)-ROW(Накл!$B$9)+1),ROW(D321)-ROW(A316)+1)),"")," ",IFERROR(INDEX(Накл!$C$9:$C$550,SMALL(IF(Накл!$B$9:$B$550=A316,ROW(Накл!$B$9:$B$550)-ROW(Накл!$B$9)+1),ROW(D322)-ROW(A316)+1)),"")," ",IFERROR(INDEX(Накл!$C$9:$C$550,SMALL(IF(Накл!$B$9:$B$550=A316,ROW(Накл!$B$9:$B$550)-ROW(Накл!$B$9)+1),ROW(D323)-ROW(A316)+1)),"")," ",IFERROR(INDEX(Накл!$C$9:$C$550,SMALL(IF(Накл!$B$9:$B$550=A316,ROW(Накл!$B$9:$B$550)-ROW(Накл!$B$9)+1),ROW(D324)-ROW(A316)+1)),"")," ",IFERROR(INDEX(Накл!$C$9:$C$550,SMALL(IF(Накл!$B$9:$B$550=A316,ROW(Накл!$B$9:$B$550)-ROW(Накл!$B$9)+1),ROW(D325)-ROW(A316)+1)),""))</f>
        <v xml:space="preserve">         </v>
      </c>
      <c r="E316" s="26" t="str">
        <f t="array" ref="E316">IF(LEN(D316)&lt;10,CONCATENATE(IFERROR(INDEX(Накл!$C$9:$C$550,SMALL(IF(Накл!$A$9:$A$550=VALUE(LEFT(A316,8)),ROW(Накл!$A$9:$A$550)-ROW(Накл!$A$9)+1),ROW(E316)-ROW(B316)+1)),"")," ",IFERROR(INDEX(Накл!$C$9:$C$550,SMALL(IF(Накл!$A$9:$A$550=VALUE(LEFT(A316,8)),ROW(Накл!$A$9:$A$550)-ROW(Накл!$A$9)+1),ROW(E317)-ROW(B316)+1)),"")," ",IFERROR(INDEX(Накл!$C$9:$C$550,SMALL(IF(Накл!$A$9:$A$550=VALUE(LEFT(A316,8)),ROW(Накл!$A$9:$A$550)-ROW(Накл!$A$9)+1),ROW(E318)-ROW(B316)+1)),"")," ",IFERROR(INDEX(Накл!$C$9:$C$550,SMALL(IF(Накл!$A$9:$A$550=VALUE(LEFT(A316,8)),ROW(Накл!$A$9:$A$550)-ROW(Накл!$A$9)+1),ROW(E319)-ROW(B316)+1)),"")),"")</f>
        <v xml:space="preserve">   </v>
      </c>
    </row>
    <row r="317" spans="1:5">
      <c r="A317" s="26" t="str">
        <f>IFERROR(CONCATENATE(VALUE(SUBSTITUTE(SUBSTITUTE(LEFT(Накл!G324,11),".",""),"-",""))," ",Накл!J324),"-")</f>
        <v>-</v>
      </c>
      <c r="B317" s="26" t="str">
        <f>IFERROR(VLOOKUP(VALUE(LEFT(A317,8)),Накл!$A$9:$D$550,4,0),"-")</f>
        <v>-</v>
      </c>
      <c r="C317" s="26">
        <f>Накл!J324</f>
        <v>0</v>
      </c>
      <c r="D317" s="33" t="str">
        <f t="array" ref="D317">CONCATENATE(IFERROR(INDEX(Накл!$C$9:$C$550,SMALL(IF(Накл!$B$9:$B$550=A317,ROW(Накл!$B$9:$B$550)-ROW(Накл!$B$9)+1),ROW(D317)-ROW(A317)+1)),"")," ",IFERROR(INDEX(Накл!$C$9:$C$550,SMALL(IF(Накл!$B$9:$B$550=A317,ROW(Накл!$B$9:$B$550)-ROW(Накл!$B$9)+1),ROW(D318)-ROW(A317)+1)),"")," ",IFERROR(INDEX(Накл!$C$9:$C$550,SMALL(IF(Накл!$B$9:$B$550=A317,ROW(Накл!$B$9:$B$550)-ROW(Накл!$B$9)+1),ROW(D319)-ROW(A317)+1)),"")," ",IFERROR(INDEX(Накл!$C$9:$C$550,SMALL(IF(Накл!$B$9:$B$550=A317,ROW(Накл!$B$9:$B$550)-ROW(Накл!$B$9)+1),ROW(D320)-ROW(A317)+1)),"")," ",IFERROR(INDEX(Накл!$C$9:$C$550,SMALL(IF(Накл!$B$9:$B$550=A317,ROW(Накл!$B$9:$B$550)-ROW(Накл!$B$9)+1),ROW(D321)-ROW(A317)+1)),"")," ",IFERROR(INDEX(Накл!$C$9:$C$550,SMALL(IF(Накл!$B$9:$B$550=A317,ROW(Накл!$B$9:$B$550)-ROW(Накл!$B$9)+1),ROW(D322)-ROW(A317)+1)),"")," ",IFERROR(INDEX(Накл!$C$9:$C$550,SMALL(IF(Накл!$B$9:$B$550=A317,ROW(Накл!$B$9:$B$550)-ROW(Накл!$B$9)+1),ROW(D323)-ROW(A317)+1)),"")," ",IFERROR(INDEX(Накл!$C$9:$C$550,SMALL(IF(Накл!$B$9:$B$550=A317,ROW(Накл!$B$9:$B$550)-ROW(Накл!$B$9)+1),ROW(D324)-ROW(A317)+1)),"")," ",IFERROR(INDEX(Накл!$C$9:$C$550,SMALL(IF(Накл!$B$9:$B$550=A317,ROW(Накл!$B$9:$B$550)-ROW(Накл!$B$9)+1),ROW(D325)-ROW(A317)+1)),"")," ",IFERROR(INDEX(Накл!$C$9:$C$550,SMALL(IF(Накл!$B$9:$B$550=A317,ROW(Накл!$B$9:$B$550)-ROW(Накл!$B$9)+1),ROW(D326)-ROW(A317)+1)),""))</f>
        <v xml:space="preserve">         </v>
      </c>
      <c r="E317" s="26" t="str">
        <f t="array" ref="E317">IF(LEN(D317)&lt;10,CONCATENATE(IFERROR(INDEX(Накл!$C$9:$C$550,SMALL(IF(Накл!$A$9:$A$550=VALUE(LEFT(A317,8)),ROW(Накл!$A$9:$A$550)-ROW(Накл!$A$9)+1),ROW(E317)-ROW(B317)+1)),"")," ",IFERROR(INDEX(Накл!$C$9:$C$550,SMALL(IF(Накл!$A$9:$A$550=VALUE(LEFT(A317,8)),ROW(Накл!$A$9:$A$550)-ROW(Накл!$A$9)+1),ROW(E318)-ROW(B317)+1)),"")," ",IFERROR(INDEX(Накл!$C$9:$C$550,SMALL(IF(Накл!$A$9:$A$550=VALUE(LEFT(A317,8)),ROW(Накл!$A$9:$A$550)-ROW(Накл!$A$9)+1),ROW(E319)-ROW(B317)+1)),"")," ",IFERROR(INDEX(Накл!$C$9:$C$550,SMALL(IF(Накл!$A$9:$A$550=VALUE(LEFT(A317,8)),ROW(Накл!$A$9:$A$550)-ROW(Накл!$A$9)+1),ROW(E320)-ROW(B317)+1)),"")),"")</f>
        <v xml:space="preserve">   </v>
      </c>
    </row>
    <row r="318" spans="1:5">
      <c r="A318" s="26" t="str">
        <f>IFERROR(CONCATENATE(VALUE(SUBSTITUTE(SUBSTITUTE(LEFT(Накл!G325,11),".",""),"-",""))," ",Накл!J325),"-")</f>
        <v>-</v>
      </c>
      <c r="B318" s="26" t="str">
        <f>IFERROR(VLOOKUP(VALUE(LEFT(A318,8)),Накл!$A$9:$D$550,4,0),"-")</f>
        <v>-</v>
      </c>
      <c r="C318" s="26">
        <f>Накл!J325</f>
        <v>0</v>
      </c>
      <c r="D318" s="33" t="str">
        <f t="array" ref="D318">CONCATENATE(IFERROR(INDEX(Накл!$C$9:$C$550,SMALL(IF(Накл!$B$9:$B$550=A318,ROW(Накл!$B$9:$B$550)-ROW(Накл!$B$9)+1),ROW(D318)-ROW(A318)+1)),"")," ",IFERROR(INDEX(Накл!$C$9:$C$550,SMALL(IF(Накл!$B$9:$B$550=A318,ROW(Накл!$B$9:$B$550)-ROW(Накл!$B$9)+1),ROW(D319)-ROW(A318)+1)),"")," ",IFERROR(INDEX(Накл!$C$9:$C$550,SMALL(IF(Накл!$B$9:$B$550=A318,ROW(Накл!$B$9:$B$550)-ROW(Накл!$B$9)+1),ROW(D320)-ROW(A318)+1)),"")," ",IFERROR(INDEX(Накл!$C$9:$C$550,SMALL(IF(Накл!$B$9:$B$550=A318,ROW(Накл!$B$9:$B$550)-ROW(Накл!$B$9)+1),ROW(D321)-ROW(A318)+1)),"")," ",IFERROR(INDEX(Накл!$C$9:$C$550,SMALL(IF(Накл!$B$9:$B$550=A318,ROW(Накл!$B$9:$B$550)-ROW(Накл!$B$9)+1),ROW(D322)-ROW(A318)+1)),"")," ",IFERROR(INDEX(Накл!$C$9:$C$550,SMALL(IF(Накл!$B$9:$B$550=A318,ROW(Накл!$B$9:$B$550)-ROW(Накл!$B$9)+1),ROW(D323)-ROW(A318)+1)),"")," ",IFERROR(INDEX(Накл!$C$9:$C$550,SMALL(IF(Накл!$B$9:$B$550=A318,ROW(Накл!$B$9:$B$550)-ROW(Накл!$B$9)+1),ROW(D324)-ROW(A318)+1)),"")," ",IFERROR(INDEX(Накл!$C$9:$C$550,SMALL(IF(Накл!$B$9:$B$550=A318,ROW(Накл!$B$9:$B$550)-ROW(Накл!$B$9)+1),ROW(D325)-ROW(A318)+1)),"")," ",IFERROR(INDEX(Накл!$C$9:$C$550,SMALL(IF(Накл!$B$9:$B$550=A318,ROW(Накл!$B$9:$B$550)-ROW(Накл!$B$9)+1),ROW(D326)-ROW(A318)+1)),"")," ",IFERROR(INDEX(Накл!$C$9:$C$550,SMALL(IF(Накл!$B$9:$B$550=A318,ROW(Накл!$B$9:$B$550)-ROW(Накл!$B$9)+1),ROW(D327)-ROW(A318)+1)),""))</f>
        <v xml:space="preserve">         </v>
      </c>
      <c r="E318" s="26" t="str">
        <f t="array" ref="E318">IF(LEN(D318)&lt;10,CONCATENATE(IFERROR(INDEX(Накл!$C$9:$C$550,SMALL(IF(Накл!$A$9:$A$550=VALUE(LEFT(A318,8)),ROW(Накл!$A$9:$A$550)-ROW(Накл!$A$9)+1),ROW(E318)-ROW(B318)+1)),"")," ",IFERROR(INDEX(Накл!$C$9:$C$550,SMALL(IF(Накл!$A$9:$A$550=VALUE(LEFT(A318,8)),ROW(Накл!$A$9:$A$550)-ROW(Накл!$A$9)+1),ROW(E319)-ROW(B318)+1)),"")," ",IFERROR(INDEX(Накл!$C$9:$C$550,SMALL(IF(Накл!$A$9:$A$550=VALUE(LEFT(A318,8)),ROW(Накл!$A$9:$A$550)-ROW(Накл!$A$9)+1),ROW(E320)-ROW(B318)+1)),"")," ",IFERROR(INDEX(Накл!$C$9:$C$550,SMALL(IF(Накл!$A$9:$A$550=VALUE(LEFT(A318,8)),ROW(Накл!$A$9:$A$550)-ROW(Накл!$A$9)+1),ROW(E321)-ROW(B318)+1)),"")),"")</f>
        <v xml:space="preserve">   </v>
      </c>
    </row>
    <row r="319" spans="1:5">
      <c r="A319" s="26" t="str">
        <f>IFERROR(CONCATENATE(VALUE(SUBSTITUTE(SUBSTITUTE(LEFT(Накл!G326,11),".",""),"-",""))," ",Накл!J326),"-")</f>
        <v>-</v>
      </c>
      <c r="B319" s="26" t="str">
        <f>IFERROR(VLOOKUP(VALUE(LEFT(A319,8)),Накл!$A$9:$D$550,4,0),"-")</f>
        <v>-</v>
      </c>
      <c r="C319" s="26">
        <f>Накл!J326</f>
        <v>0</v>
      </c>
      <c r="D319" s="33" t="str">
        <f t="array" ref="D319">CONCATENATE(IFERROR(INDEX(Накл!$C$9:$C$550,SMALL(IF(Накл!$B$9:$B$550=A319,ROW(Накл!$B$9:$B$550)-ROW(Накл!$B$9)+1),ROW(D319)-ROW(A319)+1)),"")," ",IFERROR(INDEX(Накл!$C$9:$C$550,SMALL(IF(Накл!$B$9:$B$550=A319,ROW(Накл!$B$9:$B$550)-ROW(Накл!$B$9)+1),ROW(D320)-ROW(A319)+1)),"")," ",IFERROR(INDEX(Накл!$C$9:$C$550,SMALL(IF(Накл!$B$9:$B$550=A319,ROW(Накл!$B$9:$B$550)-ROW(Накл!$B$9)+1),ROW(D321)-ROW(A319)+1)),"")," ",IFERROR(INDEX(Накл!$C$9:$C$550,SMALL(IF(Накл!$B$9:$B$550=A319,ROW(Накл!$B$9:$B$550)-ROW(Накл!$B$9)+1),ROW(D322)-ROW(A319)+1)),"")," ",IFERROR(INDEX(Накл!$C$9:$C$550,SMALL(IF(Накл!$B$9:$B$550=A319,ROW(Накл!$B$9:$B$550)-ROW(Накл!$B$9)+1),ROW(D323)-ROW(A319)+1)),"")," ",IFERROR(INDEX(Накл!$C$9:$C$550,SMALL(IF(Накл!$B$9:$B$550=A319,ROW(Накл!$B$9:$B$550)-ROW(Накл!$B$9)+1),ROW(D324)-ROW(A319)+1)),"")," ",IFERROR(INDEX(Накл!$C$9:$C$550,SMALL(IF(Накл!$B$9:$B$550=A319,ROW(Накл!$B$9:$B$550)-ROW(Накл!$B$9)+1),ROW(D325)-ROW(A319)+1)),"")," ",IFERROR(INDEX(Накл!$C$9:$C$550,SMALL(IF(Накл!$B$9:$B$550=A319,ROW(Накл!$B$9:$B$550)-ROW(Накл!$B$9)+1),ROW(D326)-ROW(A319)+1)),"")," ",IFERROR(INDEX(Накл!$C$9:$C$550,SMALL(IF(Накл!$B$9:$B$550=A319,ROW(Накл!$B$9:$B$550)-ROW(Накл!$B$9)+1),ROW(D327)-ROW(A319)+1)),"")," ",IFERROR(INDEX(Накл!$C$9:$C$550,SMALL(IF(Накл!$B$9:$B$550=A319,ROW(Накл!$B$9:$B$550)-ROW(Накл!$B$9)+1),ROW(D328)-ROW(A319)+1)),""))</f>
        <v xml:space="preserve">         </v>
      </c>
      <c r="E319" s="26" t="str">
        <f t="array" ref="E319">IF(LEN(D319)&lt;10,CONCATENATE(IFERROR(INDEX(Накл!$C$9:$C$550,SMALL(IF(Накл!$A$9:$A$550=VALUE(LEFT(A319,8)),ROW(Накл!$A$9:$A$550)-ROW(Накл!$A$9)+1),ROW(E319)-ROW(B319)+1)),"")," ",IFERROR(INDEX(Накл!$C$9:$C$550,SMALL(IF(Накл!$A$9:$A$550=VALUE(LEFT(A319,8)),ROW(Накл!$A$9:$A$550)-ROW(Накл!$A$9)+1),ROW(E320)-ROW(B319)+1)),"")," ",IFERROR(INDEX(Накл!$C$9:$C$550,SMALL(IF(Накл!$A$9:$A$550=VALUE(LEFT(A319,8)),ROW(Накл!$A$9:$A$550)-ROW(Накл!$A$9)+1),ROW(E321)-ROW(B319)+1)),"")," ",IFERROR(INDEX(Накл!$C$9:$C$550,SMALL(IF(Накл!$A$9:$A$550=VALUE(LEFT(A319,8)),ROW(Накл!$A$9:$A$550)-ROW(Накл!$A$9)+1),ROW(E322)-ROW(B319)+1)),"")),"")</f>
        <v xml:space="preserve">   </v>
      </c>
    </row>
    <row r="320" spans="1:5">
      <c r="A320" s="26" t="str">
        <f>IFERROR(CONCATENATE(VALUE(SUBSTITUTE(SUBSTITUTE(LEFT(Накл!G327,11),".",""),"-",""))," ",Накл!J327),"-")</f>
        <v>-</v>
      </c>
      <c r="B320" s="26" t="str">
        <f>IFERROR(VLOOKUP(VALUE(LEFT(A320,8)),Накл!$A$9:$D$550,4,0),"-")</f>
        <v>-</v>
      </c>
      <c r="C320" s="26">
        <f>Накл!J327</f>
        <v>0</v>
      </c>
      <c r="D320" s="33" t="str">
        <f t="array" ref="D320">CONCATENATE(IFERROR(INDEX(Накл!$C$9:$C$550,SMALL(IF(Накл!$B$9:$B$550=A320,ROW(Накл!$B$9:$B$550)-ROW(Накл!$B$9)+1),ROW(D320)-ROW(A320)+1)),"")," ",IFERROR(INDEX(Накл!$C$9:$C$550,SMALL(IF(Накл!$B$9:$B$550=A320,ROW(Накл!$B$9:$B$550)-ROW(Накл!$B$9)+1),ROW(D321)-ROW(A320)+1)),"")," ",IFERROR(INDEX(Накл!$C$9:$C$550,SMALL(IF(Накл!$B$9:$B$550=A320,ROW(Накл!$B$9:$B$550)-ROW(Накл!$B$9)+1),ROW(D322)-ROW(A320)+1)),"")," ",IFERROR(INDEX(Накл!$C$9:$C$550,SMALL(IF(Накл!$B$9:$B$550=A320,ROW(Накл!$B$9:$B$550)-ROW(Накл!$B$9)+1),ROW(D323)-ROW(A320)+1)),"")," ",IFERROR(INDEX(Накл!$C$9:$C$550,SMALL(IF(Накл!$B$9:$B$550=A320,ROW(Накл!$B$9:$B$550)-ROW(Накл!$B$9)+1),ROW(D324)-ROW(A320)+1)),"")," ",IFERROR(INDEX(Накл!$C$9:$C$550,SMALL(IF(Накл!$B$9:$B$550=A320,ROW(Накл!$B$9:$B$550)-ROW(Накл!$B$9)+1),ROW(D325)-ROW(A320)+1)),"")," ",IFERROR(INDEX(Накл!$C$9:$C$550,SMALL(IF(Накл!$B$9:$B$550=A320,ROW(Накл!$B$9:$B$550)-ROW(Накл!$B$9)+1),ROW(D326)-ROW(A320)+1)),"")," ",IFERROR(INDEX(Накл!$C$9:$C$550,SMALL(IF(Накл!$B$9:$B$550=A320,ROW(Накл!$B$9:$B$550)-ROW(Накл!$B$9)+1),ROW(D327)-ROW(A320)+1)),"")," ",IFERROR(INDEX(Накл!$C$9:$C$550,SMALL(IF(Накл!$B$9:$B$550=A320,ROW(Накл!$B$9:$B$550)-ROW(Накл!$B$9)+1),ROW(D328)-ROW(A320)+1)),"")," ",IFERROR(INDEX(Накл!$C$9:$C$550,SMALL(IF(Накл!$B$9:$B$550=A320,ROW(Накл!$B$9:$B$550)-ROW(Накл!$B$9)+1),ROW(D329)-ROW(A320)+1)),""))</f>
        <v xml:space="preserve">         </v>
      </c>
      <c r="E320" s="26" t="str">
        <f t="array" ref="E320">IF(LEN(D320)&lt;10,CONCATENATE(IFERROR(INDEX(Накл!$C$9:$C$550,SMALL(IF(Накл!$A$9:$A$550=VALUE(LEFT(A320,8)),ROW(Накл!$A$9:$A$550)-ROW(Накл!$A$9)+1),ROW(E320)-ROW(B320)+1)),"")," ",IFERROR(INDEX(Накл!$C$9:$C$550,SMALL(IF(Накл!$A$9:$A$550=VALUE(LEFT(A320,8)),ROW(Накл!$A$9:$A$550)-ROW(Накл!$A$9)+1),ROW(E321)-ROW(B320)+1)),"")," ",IFERROR(INDEX(Накл!$C$9:$C$550,SMALL(IF(Накл!$A$9:$A$550=VALUE(LEFT(A320,8)),ROW(Накл!$A$9:$A$550)-ROW(Накл!$A$9)+1),ROW(E322)-ROW(B320)+1)),"")," ",IFERROR(INDEX(Накл!$C$9:$C$550,SMALL(IF(Накл!$A$9:$A$550=VALUE(LEFT(A320,8)),ROW(Накл!$A$9:$A$550)-ROW(Накл!$A$9)+1),ROW(E323)-ROW(B320)+1)),"")),"")</f>
        <v xml:space="preserve">   </v>
      </c>
    </row>
    <row r="321" spans="1:5">
      <c r="A321" s="26" t="str">
        <f>IFERROR(CONCATENATE(VALUE(SUBSTITUTE(SUBSTITUTE(LEFT(Накл!G328,11),".",""),"-",""))," ",Накл!J328),"-")</f>
        <v>-</v>
      </c>
      <c r="B321" s="26" t="str">
        <f>IFERROR(VLOOKUP(VALUE(LEFT(A321,8)),Накл!$A$9:$D$550,4,0),"-")</f>
        <v>-</v>
      </c>
      <c r="C321" s="26">
        <f>Накл!J328</f>
        <v>0</v>
      </c>
      <c r="D321" s="33" t="str">
        <f t="array" ref="D321">CONCATENATE(IFERROR(INDEX(Накл!$C$9:$C$550,SMALL(IF(Накл!$B$9:$B$550=A321,ROW(Накл!$B$9:$B$550)-ROW(Накл!$B$9)+1),ROW(D321)-ROW(A321)+1)),"")," ",IFERROR(INDEX(Накл!$C$9:$C$550,SMALL(IF(Накл!$B$9:$B$550=A321,ROW(Накл!$B$9:$B$550)-ROW(Накл!$B$9)+1),ROW(D322)-ROW(A321)+1)),"")," ",IFERROR(INDEX(Накл!$C$9:$C$550,SMALL(IF(Накл!$B$9:$B$550=A321,ROW(Накл!$B$9:$B$550)-ROW(Накл!$B$9)+1),ROW(D323)-ROW(A321)+1)),"")," ",IFERROR(INDEX(Накл!$C$9:$C$550,SMALL(IF(Накл!$B$9:$B$550=A321,ROW(Накл!$B$9:$B$550)-ROW(Накл!$B$9)+1),ROW(D324)-ROW(A321)+1)),"")," ",IFERROR(INDEX(Накл!$C$9:$C$550,SMALL(IF(Накл!$B$9:$B$550=A321,ROW(Накл!$B$9:$B$550)-ROW(Накл!$B$9)+1),ROW(D325)-ROW(A321)+1)),"")," ",IFERROR(INDEX(Накл!$C$9:$C$550,SMALL(IF(Накл!$B$9:$B$550=A321,ROW(Накл!$B$9:$B$550)-ROW(Накл!$B$9)+1),ROW(D326)-ROW(A321)+1)),"")," ",IFERROR(INDEX(Накл!$C$9:$C$550,SMALL(IF(Накл!$B$9:$B$550=A321,ROW(Накл!$B$9:$B$550)-ROW(Накл!$B$9)+1),ROW(D327)-ROW(A321)+1)),"")," ",IFERROR(INDEX(Накл!$C$9:$C$550,SMALL(IF(Накл!$B$9:$B$550=A321,ROW(Накл!$B$9:$B$550)-ROW(Накл!$B$9)+1),ROW(D328)-ROW(A321)+1)),"")," ",IFERROR(INDEX(Накл!$C$9:$C$550,SMALL(IF(Накл!$B$9:$B$550=A321,ROW(Накл!$B$9:$B$550)-ROW(Накл!$B$9)+1),ROW(D329)-ROW(A321)+1)),"")," ",IFERROR(INDEX(Накл!$C$9:$C$550,SMALL(IF(Накл!$B$9:$B$550=A321,ROW(Накл!$B$9:$B$550)-ROW(Накл!$B$9)+1),ROW(D330)-ROW(A321)+1)),""))</f>
        <v xml:space="preserve">         </v>
      </c>
      <c r="E321" s="26" t="str">
        <f t="array" ref="E321">IF(LEN(D321)&lt;10,CONCATENATE(IFERROR(INDEX(Накл!$C$9:$C$550,SMALL(IF(Накл!$A$9:$A$550=VALUE(LEFT(A321,8)),ROW(Накл!$A$9:$A$550)-ROW(Накл!$A$9)+1),ROW(E321)-ROW(B321)+1)),"")," ",IFERROR(INDEX(Накл!$C$9:$C$550,SMALL(IF(Накл!$A$9:$A$550=VALUE(LEFT(A321,8)),ROW(Накл!$A$9:$A$550)-ROW(Накл!$A$9)+1),ROW(E322)-ROW(B321)+1)),"")," ",IFERROR(INDEX(Накл!$C$9:$C$550,SMALL(IF(Накл!$A$9:$A$550=VALUE(LEFT(A321,8)),ROW(Накл!$A$9:$A$550)-ROW(Накл!$A$9)+1),ROW(E323)-ROW(B321)+1)),"")," ",IFERROR(INDEX(Накл!$C$9:$C$550,SMALL(IF(Накл!$A$9:$A$550=VALUE(LEFT(A321,8)),ROW(Накл!$A$9:$A$550)-ROW(Накл!$A$9)+1),ROW(E324)-ROW(B321)+1)),"")),"")</f>
        <v xml:space="preserve">   </v>
      </c>
    </row>
    <row r="322" spans="1:5">
      <c r="A322" s="26" t="str">
        <f>IFERROR(CONCATENATE(VALUE(SUBSTITUTE(SUBSTITUTE(LEFT(Накл!G329,11),".",""),"-",""))," ",Накл!J329),"-")</f>
        <v>-</v>
      </c>
      <c r="B322" s="26" t="str">
        <f>IFERROR(VLOOKUP(VALUE(LEFT(A322,8)),Накл!$A$9:$D$550,4,0),"-")</f>
        <v>-</v>
      </c>
      <c r="C322" s="26">
        <f>Накл!J329</f>
        <v>0</v>
      </c>
      <c r="D322" s="33" t="str">
        <f t="array" ref="D322">CONCATENATE(IFERROR(INDEX(Накл!$C$9:$C$550,SMALL(IF(Накл!$B$9:$B$550=A322,ROW(Накл!$B$9:$B$550)-ROW(Накл!$B$9)+1),ROW(D322)-ROW(A322)+1)),"")," ",IFERROR(INDEX(Накл!$C$9:$C$550,SMALL(IF(Накл!$B$9:$B$550=A322,ROW(Накл!$B$9:$B$550)-ROW(Накл!$B$9)+1),ROW(D323)-ROW(A322)+1)),"")," ",IFERROR(INDEX(Накл!$C$9:$C$550,SMALL(IF(Накл!$B$9:$B$550=A322,ROW(Накл!$B$9:$B$550)-ROW(Накл!$B$9)+1),ROW(D324)-ROW(A322)+1)),"")," ",IFERROR(INDEX(Накл!$C$9:$C$550,SMALL(IF(Накл!$B$9:$B$550=A322,ROW(Накл!$B$9:$B$550)-ROW(Накл!$B$9)+1),ROW(D325)-ROW(A322)+1)),"")," ",IFERROR(INDEX(Накл!$C$9:$C$550,SMALL(IF(Накл!$B$9:$B$550=A322,ROW(Накл!$B$9:$B$550)-ROW(Накл!$B$9)+1),ROW(D326)-ROW(A322)+1)),"")," ",IFERROR(INDEX(Накл!$C$9:$C$550,SMALL(IF(Накл!$B$9:$B$550=A322,ROW(Накл!$B$9:$B$550)-ROW(Накл!$B$9)+1),ROW(D327)-ROW(A322)+1)),"")," ",IFERROR(INDEX(Накл!$C$9:$C$550,SMALL(IF(Накл!$B$9:$B$550=A322,ROW(Накл!$B$9:$B$550)-ROW(Накл!$B$9)+1),ROW(D328)-ROW(A322)+1)),"")," ",IFERROR(INDEX(Накл!$C$9:$C$550,SMALL(IF(Накл!$B$9:$B$550=A322,ROW(Накл!$B$9:$B$550)-ROW(Накл!$B$9)+1),ROW(D329)-ROW(A322)+1)),"")," ",IFERROR(INDEX(Накл!$C$9:$C$550,SMALL(IF(Накл!$B$9:$B$550=A322,ROW(Накл!$B$9:$B$550)-ROW(Накл!$B$9)+1),ROW(D330)-ROW(A322)+1)),"")," ",IFERROR(INDEX(Накл!$C$9:$C$550,SMALL(IF(Накл!$B$9:$B$550=A322,ROW(Накл!$B$9:$B$550)-ROW(Накл!$B$9)+1),ROW(D331)-ROW(A322)+1)),""))</f>
        <v xml:space="preserve">         </v>
      </c>
      <c r="E322" s="26" t="str">
        <f t="array" ref="E322">IF(LEN(D322)&lt;10,CONCATENATE(IFERROR(INDEX(Накл!$C$9:$C$550,SMALL(IF(Накл!$A$9:$A$550=VALUE(LEFT(A322,8)),ROW(Накл!$A$9:$A$550)-ROW(Накл!$A$9)+1),ROW(E322)-ROW(B322)+1)),"")," ",IFERROR(INDEX(Накл!$C$9:$C$550,SMALL(IF(Накл!$A$9:$A$550=VALUE(LEFT(A322,8)),ROW(Накл!$A$9:$A$550)-ROW(Накл!$A$9)+1),ROW(E323)-ROW(B322)+1)),"")," ",IFERROR(INDEX(Накл!$C$9:$C$550,SMALL(IF(Накл!$A$9:$A$550=VALUE(LEFT(A322,8)),ROW(Накл!$A$9:$A$550)-ROW(Накл!$A$9)+1),ROW(E324)-ROW(B322)+1)),"")," ",IFERROR(INDEX(Накл!$C$9:$C$550,SMALL(IF(Накл!$A$9:$A$550=VALUE(LEFT(A322,8)),ROW(Накл!$A$9:$A$550)-ROW(Накл!$A$9)+1),ROW(E325)-ROW(B322)+1)),"")),"")</f>
        <v xml:space="preserve">   </v>
      </c>
    </row>
    <row r="323" spans="1:5">
      <c r="A323" s="26" t="str">
        <f>IFERROR(CONCATENATE(VALUE(SUBSTITUTE(SUBSTITUTE(LEFT(Накл!G330,11),".",""),"-",""))," ",Накл!J330),"-")</f>
        <v>-</v>
      </c>
      <c r="B323" s="26" t="str">
        <f>IFERROR(VLOOKUP(VALUE(LEFT(A323,8)),Накл!$A$9:$D$550,4,0),"-")</f>
        <v>-</v>
      </c>
      <c r="C323" s="26">
        <f>Накл!J330</f>
        <v>0</v>
      </c>
      <c r="D323" s="33" t="str">
        <f t="array" ref="D323">CONCATENATE(IFERROR(INDEX(Накл!$C$9:$C$550,SMALL(IF(Накл!$B$9:$B$550=A323,ROW(Накл!$B$9:$B$550)-ROW(Накл!$B$9)+1),ROW(D323)-ROW(A323)+1)),"")," ",IFERROR(INDEX(Накл!$C$9:$C$550,SMALL(IF(Накл!$B$9:$B$550=A323,ROW(Накл!$B$9:$B$550)-ROW(Накл!$B$9)+1),ROW(D324)-ROW(A323)+1)),"")," ",IFERROR(INDEX(Накл!$C$9:$C$550,SMALL(IF(Накл!$B$9:$B$550=A323,ROW(Накл!$B$9:$B$550)-ROW(Накл!$B$9)+1),ROW(D325)-ROW(A323)+1)),"")," ",IFERROR(INDEX(Накл!$C$9:$C$550,SMALL(IF(Накл!$B$9:$B$550=A323,ROW(Накл!$B$9:$B$550)-ROW(Накл!$B$9)+1),ROW(D326)-ROW(A323)+1)),"")," ",IFERROR(INDEX(Накл!$C$9:$C$550,SMALL(IF(Накл!$B$9:$B$550=A323,ROW(Накл!$B$9:$B$550)-ROW(Накл!$B$9)+1),ROW(D327)-ROW(A323)+1)),"")," ",IFERROR(INDEX(Накл!$C$9:$C$550,SMALL(IF(Накл!$B$9:$B$550=A323,ROW(Накл!$B$9:$B$550)-ROW(Накл!$B$9)+1),ROW(D328)-ROW(A323)+1)),"")," ",IFERROR(INDEX(Накл!$C$9:$C$550,SMALL(IF(Накл!$B$9:$B$550=A323,ROW(Накл!$B$9:$B$550)-ROW(Накл!$B$9)+1),ROW(D329)-ROW(A323)+1)),"")," ",IFERROR(INDEX(Накл!$C$9:$C$550,SMALL(IF(Накл!$B$9:$B$550=A323,ROW(Накл!$B$9:$B$550)-ROW(Накл!$B$9)+1),ROW(D330)-ROW(A323)+1)),"")," ",IFERROR(INDEX(Накл!$C$9:$C$550,SMALL(IF(Накл!$B$9:$B$550=A323,ROW(Накл!$B$9:$B$550)-ROW(Накл!$B$9)+1),ROW(D331)-ROW(A323)+1)),"")," ",IFERROR(INDEX(Накл!$C$9:$C$550,SMALL(IF(Накл!$B$9:$B$550=A323,ROW(Накл!$B$9:$B$550)-ROW(Накл!$B$9)+1),ROW(D332)-ROW(A323)+1)),""))</f>
        <v xml:space="preserve">         </v>
      </c>
      <c r="E323" s="26" t="str">
        <f t="array" ref="E323">IF(LEN(D323)&lt;10,CONCATENATE(IFERROR(INDEX(Накл!$C$9:$C$550,SMALL(IF(Накл!$A$9:$A$550=VALUE(LEFT(A323,8)),ROW(Накл!$A$9:$A$550)-ROW(Накл!$A$9)+1),ROW(E323)-ROW(B323)+1)),"")," ",IFERROR(INDEX(Накл!$C$9:$C$550,SMALL(IF(Накл!$A$9:$A$550=VALUE(LEFT(A323,8)),ROW(Накл!$A$9:$A$550)-ROW(Накл!$A$9)+1),ROW(E324)-ROW(B323)+1)),"")," ",IFERROR(INDEX(Накл!$C$9:$C$550,SMALL(IF(Накл!$A$9:$A$550=VALUE(LEFT(A323,8)),ROW(Накл!$A$9:$A$550)-ROW(Накл!$A$9)+1),ROW(E325)-ROW(B323)+1)),"")," ",IFERROR(INDEX(Накл!$C$9:$C$550,SMALL(IF(Накл!$A$9:$A$550=VALUE(LEFT(A323,8)),ROW(Накл!$A$9:$A$550)-ROW(Накл!$A$9)+1),ROW(E326)-ROW(B323)+1)),"")),"")</f>
        <v xml:space="preserve">   </v>
      </c>
    </row>
    <row r="324" spans="1:5">
      <c r="A324" s="26" t="str">
        <f>IFERROR(CONCATENATE(VALUE(SUBSTITUTE(SUBSTITUTE(LEFT(Накл!G331,11),".",""),"-",""))," ",Накл!J331),"-")</f>
        <v>-</v>
      </c>
      <c r="B324" s="26" t="str">
        <f>IFERROR(VLOOKUP(VALUE(LEFT(A324,8)),Накл!$A$9:$D$550,4,0),"-")</f>
        <v>-</v>
      </c>
      <c r="C324" s="26">
        <f>Накл!J331</f>
        <v>0</v>
      </c>
      <c r="D324" s="33" t="str">
        <f t="array" ref="D324">CONCATENATE(IFERROR(INDEX(Накл!$C$9:$C$550,SMALL(IF(Накл!$B$9:$B$550=A324,ROW(Накл!$B$9:$B$550)-ROW(Накл!$B$9)+1),ROW(D324)-ROW(A324)+1)),"")," ",IFERROR(INDEX(Накл!$C$9:$C$550,SMALL(IF(Накл!$B$9:$B$550=A324,ROW(Накл!$B$9:$B$550)-ROW(Накл!$B$9)+1),ROW(D325)-ROW(A324)+1)),"")," ",IFERROR(INDEX(Накл!$C$9:$C$550,SMALL(IF(Накл!$B$9:$B$550=A324,ROW(Накл!$B$9:$B$550)-ROW(Накл!$B$9)+1),ROW(D326)-ROW(A324)+1)),"")," ",IFERROR(INDEX(Накл!$C$9:$C$550,SMALL(IF(Накл!$B$9:$B$550=A324,ROW(Накл!$B$9:$B$550)-ROW(Накл!$B$9)+1),ROW(D327)-ROW(A324)+1)),"")," ",IFERROR(INDEX(Накл!$C$9:$C$550,SMALL(IF(Накл!$B$9:$B$550=A324,ROW(Накл!$B$9:$B$550)-ROW(Накл!$B$9)+1),ROW(D328)-ROW(A324)+1)),"")," ",IFERROR(INDEX(Накл!$C$9:$C$550,SMALL(IF(Накл!$B$9:$B$550=A324,ROW(Накл!$B$9:$B$550)-ROW(Накл!$B$9)+1),ROW(D329)-ROW(A324)+1)),"")," ",IFERROR(INDEX(Накл!$C$9:$C$550,SMALL(IF(Накл!$B$9:$B$550=A324,ROW(Накл!$B$9:$B$550)-ROW(Накл!$B$9)+1),ROW(D330)-ROW(A324)+1)),"")," ",IFERROR(INDEX(Накл!$C$9:$C$550,SMALL(IF(Накл!$B$9:$B$550=A324,ROW(Накл!$B$9:$B$550)-ROW(Накл!$B$9)+1),ROW(D331)-ROW(A324)+1)),"")," ",IFERROR(INDEX(Накл!$C$9:$C$550,SMALL(IF(Накл!$B$9:$B$550=A324,ROW(Накл!$B$9:$B$550)-ROW(Накл!$B$9)+1),ROW(D332)-ROW(A324)+1)),"")," ",IFERROR(INDEX(Накл!$C$9:$C$550,SMALL(IF(Накл!$B$9:$B$550=A324,ROW(Накл!$B$9:$B$550)-ROW(Накл!$B$9)+1),ROW(D333)-ROW(A324)+1)),""))</f>
        <v xml:space="preserve">         </v>
      </c>
      <c r="E324" s="26" t="str">
        <f t="array" ref="E324">IF(LEN(D324)&lt;10,CONCATENATE(IFERROR(INDEX(Накл!$C$9:$C$550,SMALL(IF(Накл!$A$9:$A$550=VALUE(LEFT(A324,8)),ROW(Накл!$A$9:$A$550)-ROW(Накл!$A$9)+1),ROW(E324)-ROW(B324)+1)),"")," ",IFERROR(INDEX(Накл!$C$9:$C$550,SMALL(IF(Накл!$A$9:$A$550=VALUE(LEFT(A324,8)),ROW(Накл!$A$9:$A$550)-ROW(Накл!$A$9)+1),ROW(E325)-ROW(B324)+1)),"")," ",IFERROR(INDEX(Накл!$C$9:$C$550,SMALL(IF(Накл!$A$9:$A$550=VALUE(LEFT(A324,8)),ROW(Накл!$A$9:$A$550)-ROW(Накл!$A$9)+1),ROW(E326)-ROW(B324)+1)),"")," ",IFERROR(INDEX(Накл!$C$9:$C$550,SMALL(IF(Накл!$A$9:$A$550=VALUE(LEFT(A324,8)),ROW(Накл!$A$9:$A$550)-ROW(Накл!$A$9)+1),ROW(E327)-ROW(B324)+1)),"")),"")</f>
        <v xml:space="preserve">   </v>
      </c>
    </row>
    <row r="325" spans="1:5">
      <c r="A325" s="26" t="str">
        <f>IFERROR(CONCATENATE(VALUE(SUBSTITUTE(SUBSTITUTE(LEFT(Накл!G332,11),".",""),"-",""))," ",Накл!J332),"-")</f>
        <v>-</v>
      </c>
      <c r="B325" s="26" t="str">
        <f>IFERROR(VLOOKUP(VALUE(LEFT(A325,8)),Накл!$A$9:$D$550,4,0),"-")</f>
        <v>-</v>
      </c>
      <c r="C325" s="26">
        <f>Накл!J332</f>
        <v>0</v>
      </c>
      <c r="D325" s="33" t="str">
        <f t="array" ref="D325">CONCATENATE(IFERROR(INDEX(Накл!$C$9:$C$550,SMALL(IF(Накл!$B$9:$B$550=A325,ROW(Накл!$B$9:$B$550)-ROW(Накл!$B$9)+1),ROW(D325)-ROW(A325)+1)),"")," ",IFERROR(INDEX(Накл!$C$9:$C$550,SMALL(IF(Накл!$B$9:$B$550=A325,ROW(Накл!$B$9:$B$550)-ROW(Накл!$B$9)+1),ROW(D326)-ROW(A325)+1)),"")," ",IFERROR(INDEX(Накл!$C$9:$C$550,SMALL(IF(Накл!$B$9:$B$550=A325,ROW(Накл!$B$9:$B$550)-ROW(Накл!$B$9)+1),ROW(D327)-ROW(A325)+1)),"")," ",IFERROR(INDEX(Накл!$C$9:$C$550,SMALL(IF(Накл!$B$9:$B$550=A325,ROW(Накл!$B$9:$B$550)-ROW(Накл!$B$9)+1),ROW(D328)-ROW(A325)+1)),"")," ",IFERROR(INDEX(Накл!$C$9:$C$550,SMALL(IF(Накл!$B$9:$B$550=A325,ROW(Накл!$B$9:$B$550)-ROW(Накл!$B$9)+1),ROW(D329)-ROW(A325)+1)),"")," ",IFERROR(INDEX(Накл!$C$9:$C$550,SMALL(IF(Накл!$B$9:$B$550=A325,ROW(Накл!$B$9:$B$550)-ROW(Накл!$B$9)+1),ROW(D330)-ROW(A325)+1)),"")," ",IFERROR(INDEX(Накл!$C$9:$C$550,SMALL(IF(Накл!$B$9:$B$550=A325,ROW(Накл!$B$9:$B$550)-ROW(Накл!$B$9)+1),ROW(D331)-ROW(A325)+1)),"")," ",IFERROR(INDEX(Накл!$C$9:$C$550,SMALL(IF(Накл!$B$9:$B$550=A325,ROW(Накл!$B$9:$B$550)-ROW(Накл!$B$9)+1),ROW(D332)-ROW(A325)+1)),"")," ",IFERROR(INDEX(Накл!$C$9:$C$550,SMALL(IF(Накл!$B$9:$B$550=A325,ROW(Накл!$B$9:$B$550)-ROW(Накл!$B$9)+1),ROW(D333)-ROW(A325)+1)),"")," ",IFERROR(INDEX(Накл!$C$9:$C$550,SMALL(IF(Накл!$B$9:$B$550=A325,ROW(Накл!$B$9:$B$550)-ROW(Накл!$B$9)+1),ROW(D334)-ROW(A325)+1)),""))</f>
        <v xml:space="preserve">         </v>
      </c>
      <c r="E325" s="26" t="str">
        <f t="array" ref="E325">IF(LEN(D325)&lt;10,CONCATENATE(IFERROR(INDEX(Накл!$C$9:$C$550,SMALL(IF(Накл!$A$9:$A$550=VALUE(LEFT(A325,8)),ROW(Накл!$A$9:$A$550)-ROW(Накл!$A$9)+1),ROW(E325)-ROW(B325)+1)),"")," ",IFERROR(INDEX(Накл!$C$9:$C$550,SMALL(IF(Накл!$A$9:$A$550=VALUE(LEFT(A325,8)),ROW(Накл!$A$9:$A$550)-ROW(Накл!$A$9)+1),ROW(E326)-ROW(B325)+1)),"")," ",IFERROR(INDEX(Накл!$C$9:$C$550,SMALL(IF(Накл!$A$9:$A$550=VALUE(LEFT(A325,8)),ROW(Накл!$A$9:$A$550)-ROW(Накл!$A$9)+1),ROW(E327)-ROW(B325)+1)),"")," ",IFERROR(INDEX(Накл!$C$9:$C$550,SMALL(IF(Накл!$A$9:$A$550=VALUE(LEFT(A325,8)),ROW(Накл!$A$9:$A$550)-ROW(Накл!$A$9)+1),ROW(E328)-ROW(B325)+1)),"")),"")</f>
        <v xml:space="preserve">   </v>
      </c>
    </row>
    <row r="326" spans="1:5">
      <c r="A326" s="26" t="str">
        <f>IFERROR(CONCATENATE(VALUE(SUBSTITUTE(SUBSTITUTE(LEFT(Накл!G333,11),".",""),"-",""))," ",Накл!J333),"-")</f>
        <v>-</v>
      </c>
      <c r="B326" s="26" t="str">
        <f>IFERROR(VLOOKUP(VALUE(LEFT(A326,8)),Накл!$A$9:$D$550,4,0),"-")</f>
        <v>-</v>
      </c>
      <c r="C326" s="26">
        <f>Накл!J333</f>
        <v>0</v>
      </c>
      <c r="D326" s="33" t="str">
        <f t="array" ref="D326">CONCATENATE(IFERROR(INDEX(Накл!$C$9:$C$550,SMALL(IF(Накл!$B$9:$B$550=A326,ROW(Накл!$B$9:$B$550)-ROW(Накл!$B$9)+1),ROW(D326)-ROW(A326)+1)),"")," ",IFERROR(INDEX(Накл!$C$9:$C$550,SMALL(IF(Накл!$B$9:$B$550=A326,ROW(Накл!$B$9:$B$550)-ROW(Накл!$B$9)+1),ROW(D327)-ROW(A326)+1)),"")," ",IFERROR(INDEX(Накл!$C$9:$C$550,SMALL(IF(Накл!$B$9:$B$550=A326,ROW(Накл!$B$9:$B$550)-ROW(Накл!$B$9)+1),ROW(D328)-ROW(A326)+1)),"")," ",IFERROR(INDEX(Накл!$C$9:$C$550,SMALL(IF(Накл!$B$9:$B$550=A326,ROW(Накл!$B$9:$B$550)-ROW(Накл!$B$9)+1),ROW(D329)-ROW(A326)+1)),"")," ",IFERROR(INDEX(Накл!$C$9:$C$550,SMALL(IF(Накл!$B$9:$B$550=A326,ROW(Накл!$B$9:$B$550)-ROW(Накл!$B$9)+1),ROW(D330)-ROW(A326)+1)),"")," ",IFERROR(INDEX(Накл!$C$9:$C$550,SMALL(IF(Накл!$B$9:$B$550=A326,ROW(Накл!$B$9:$B$550)-ROW(Накл!$B$9)+1),ROW(D331)-ROW(A326)+1)),"")," ",IFERROR(INDEX(Накл!$C$9:$C$550,SMALL(IF(Накл!$B$9:$B$550=A326,ROW(Накл!$B$9:$B$550)-ROW(Накл!$B$9)+1),ROW(D332)-ROW(A326)+1)),"")," ",IFERROR(INDEX(Накл!$C$9:$C$550,SMALL(IF(Накл!$B$9:$B$550=A326,ROW(Накл!$B$9:$B$550)-ROW(Накл!$B$9)+1),ROW(D333)-ROW(A326)+1)),"")," ",IFERROR(INDEX(Накл!$C$9:$C$550,SMALL(IF(Накл!$B$9:$B$550=A326,ROW(Накл!$B$9:$B$550)-ROW(Накл!$B$9)+1),ROW(D334)-ROW(A326)+1)),"")," ",IFERROR(INDEX(Накл!$C$9:$C$550,SMALL(IF(Накл!$B$9:$B$550=A326,ROW(Накл!$B$9:$B$550)-ROW(Накл!$B$9)+1),ROW(D335)-ROW(A326)+1)),""))</f>
        <v xml:space="preserve">         </v>
      </c>
      <c r="E326" s="26" t="str">
        <f t="array" ref="E326">IF(LEN(D326)&lt;10,CONCATENATE(IFERROR(INDEX(Накл!$C$9:$C$550,SMALL(IF(Накл!$A$9:$A$550=VALUE(LEFT(A326,8)),ROW(Накл!$A$9:$A$550)-ROW(Накл!$A$9)+1),ROW(E326)-ROW(B326)+1)),"")," ",IFERROR(INDEX(Накл!$C$9:$C$550,SMALL(IF(Накл!$A$9:$A$550=VALUE(LEFT(A326,8)),ROW(Накл!$A$9:$A$550)-ROW(Накл!$A$9)+1),ROW(E327)-ROW(B326)+1)),"")," ",IFERROR(INDEX(Накл!$C$9:$C$550,SMALL(IF(Накл!$A$9:$A$550=VALUE(LEFT(A326,8)),ROW(Накл!$A$9:$A$550)-ROW(Накл!$A$9)+1),ROW(E328)-ROW(B326)+1)),"")," ",IFERROR(INDEX(Накл!$C$9:$C$550,SMALL(IF(Накл!$A$9:$A$550=VALUE(LEFT(A326,8)),ROW(Накл!$A$9:$A$550)-ROW(Накл!$A$9)+1),ROW(E329)-ROW(B326)+1)),"")),"")</f>
        <v xml:space="preserve">   </v>
      </c>
    </row>
    <row r="327" spans="1:5">
      <c r="A327" s="26" t="str">
        <f>IFERROR(CONCATENATE(VALUE(SUBSTITUTE(SUBSTITUTE(LEFT(Накл!G334,11),".",""),"-",""))," ",Накл!J334),"-")</f>
        <v>-</v>
      </c>
      <c r="B327" s="26" t="str">
        <f>IFERROR(VLOOKUP(VALUE(LEFT(A327,8)),Накл!$A$9:$D$550,4,0),"-")</f>
        <v>-</v>
      </c>
      <c r="C327" s="26">
        <f>Накл!J334</f>
        <v>0</v>
      </c>
      <c r="D327" s="33" t="str">
        <f t="array" ref="D327">CONCATENATE(IFERROR(INDEX(Накл!$C$9:$C$550,SMALL(IF(Накл!$B$9:$B$550=A327,ROW(Накл!$B$9:$B$550)-ROW(Накл!$B$9)+1),ROW(D327)-ROW(A327)+1)),"")," ",IFERROR(INDEX(Накл!$C$9:$C$550,SMALL(IF(Накл!$B$9:$B$550=A327,ROW(Накл!$B$9:$B$550)-ROW(Накл!$B$9)+1),ROW(D328)-ROW(A327)+1)),"")," ",IFERROR(INDEX(Накл!$C$9:$C$550,SMALL(IF(Накл!$B$9:$B$550=A327,ROW(Накл!$B$9:$B$550)-ROW(Накл!$B$9)+1),ROW(D329)-ROW(A327)+1)),"")," ",IFERROR(INDEX(Накл!$C$9:$C$550,SMALL(IF(Накл!$B$9:$B$550=A327,ROW(Накл!$B$9:$B$550)-ROW(Накл!$B$9)+1),ROW(D330)-ROW(A327)+1)),"")," ",IFERROR(INDEX(Накл!$C$9:$C$550,SMALL(IF(Накл!$B$9:$B$550=A327,ROW(Накл!$B$9:$B$550)-ROW(Накл!$B$9)+1),ROW(D331)-ROW(A327)+1)),"")," ",IFERROR(INDEX(Накл!$C$9:$C$550,SMALL(IF(Накл!$B$9:$B$550=A327,ROW(Накл!$B$9:$B$550)-ROW(Накл!$B$9)+1),ROW(D332)-ROW(A327)+1)),"")," ",IFERROR(INDEX(Накл!$C$9:$C$550,SMALL(IF(Накл!$B$9:$B$550=A327,ROW(Накл!$B$9:$B$550)-ROW(Накл!$B$9)+1),ROW(D333)-ROW(A327)+1)),"")," ",IFERROR(INDEX(Накл!$C$9:$C$550,SMALL(IF(Накл!$B$9:$B$550=A327,ROW(Накл!$B$9:$B$550)-ROW(Накл!$B$9)+1),ROW(D334)-ROW(A327)+1)),"")," ",IFERROR(INDEX(Накл!$C$9:$C$550,SMALL(IF(Накл!$B$9:$B$550=A327,ROW(Накл!$B$9:$B$550)-ROW(Накл!$B$9)+1),ROW(D335)-ROW(A327)+1)),"")," ",IFERROR(INDEX(Накл!$C$9:$C$550,SMALL(IF(Накл!$B$9:$B$550=A327,ROW(Накл!$B$9:$B$550)-ROW(Накл!$B$9)+1),ROW(D336)-ROW(A327)+1)),""))</f>
        <v xml:space="preserve">         </v>
      </c>
      <c r="E327" s="26" t="str">
        <f t="array" ref="E327">IF(LEN(D327)&lt;10,CONCATENATE(IFERROR(INDEX(Накл!$C$9:$C$550,SMALL(IF(Накл!$A$9:$A$550=VALUE(LEFT(A327,8)),ROW(Накл!$A$9:$A$550)-ROW(Накл!$A$9)+1),ROW(E327)-ROW(B327)+1)),"")," ",IFERROR(INDEX(Накл!$C$9:$C$550,SMALL(IF(Накл!$A$9:$A$550=VALUE(LEFT(A327,8)),ROW(Накл!$A$9:$A$550)-ROW(Накл!$A$9)+1),ROW(E328)-ROW(B327)+1)),"")," ",IFERROR(INDEX(Накл!$C$9:$C$550,SMALL(IF(Накл!$A$9:$A$550=VALUE(LEFT(A327,8)),ROW(Накл!$A$9:$A$550)-ROW(Накл!$A$9)+1),ROW(E329)-ROW(B327)+1)),"")," ",IFERROR(INDEX(Накл!$C$9:$C$550,SMALL(IF(Накл!$A$9:$A$550=VALUE(LEFT(A327,8)),ROW(Накл!$A$9:$A$550)-ROW(Накл!$A$9)+1),ROW(E330)-ROW(B327)+1)),"")),"")</f>
        <v xml:space="preserve">   </v>
      </c>
    </row>
    <row r="328" spans="1:5">
      <c r="A328" s="26" t="str">
        <f>IFERROR(CONCATENATE(VALUE(SUBSTITUTE(SUBSTITUTE(LEFT(Накл!G335,11),".",""),"-",""))," ",Накл!J335),"-")</f>
        <v>-</v>
      </c>
      <c r="B328" s="26" t="str">
        <f>IFERROR(VLOOKUP(VALUE(LEFT(A328,8)),Накл!$A$9:$D$550,4,0),"-")</f>
        <v>-</v>
      </c>
      <c r="C328" s="26">
        <f>Накл!J335</f>
        <v>0</v>
      </c>
      <c r="D328" s="33" t="str">
        <f t="array" ref="D328">CONCATENATE(IFERROR(INDEX(Накл!$C$9:$C$550,SMALL(IF(Накл!$B$9:$B$550=A328,ROW(Накл!$B$9:$B$550)-ROW(Накл!$B$9)+1),ROW(D328)-ROW(A328)+1)),"")," ",IFERROR(INDEX(Накл!$C$9:$C$550,SMALL(IF(Накл!$B$9:$B$550=A328,ROW(Накл!$B$9:$B$550)-ROW(Накл!$B$9)+1),ROW(D329)-ROW(A328)+1)),"")," ",IFERROR(INDEX(Накл!$C$9:$C$550,SMALL(IF(Накл!$B$9:$B$550=A328,ROW(Накл!$B$9:$B$550)-ROW(Накл!$B$9)+1),ROW(D330)-ROW(A328)+1)),"")," ",IFERROR(INDEX(Накл!$C$9:$C$550,SMALL(IF(Накл!$B$9:$B$550=A328,ROW(Накл!$B$9:$B$550)-ROW(Накл!$B$9)+1),ROW(D331)-ROW(A328)+1)),"")," ",IFERROR(INDEX(Накл!$C$9:$C$550,SMALL(IF(Накл!$B$9:$B$550=A328,ROW(Накл!$B$9:$B$550)-ROW(Накл!$B$9)+1),ROW(D332)-ROW(A328)+1)),"")," ",IFERROR(INDEX(Накл!$C$9:$C$550,SMALL(IF(Накл!$B$9:$B$550=A328,ROW(Накл!$B$9:$B$550)-ROW(Накл!$B$9)+1),ROW(D333)-ROW(A328)+1)),"")," ",IFERROR(INDEX(Накл!$C$9:$C$550,SMALL(IF(Накл!$B$9:$B$550=A328,ROW(Накл!$B$9:$B$550)-ROW(Накл!$B$9)+1),ROW(D334)-ROW(A328)+1)),"")," ",IFERROR(INDEX(Накл!$C$9:$C$550,SMALL(IF(Накл!$B$9:$B$550=A328,ROW(Накл!$B$9:$B$550)-ROW(Накл!$B$9)+1),ROW(D335)-ROW(A328)+1)),"")," ",IFERROR(INDEX(Накл!$C$9:$C$550,SMALL(IF(Накл!$B$9:$B$550=A328,ROW(Накл!$B$9:$B$550)-ROW(Накл!$B$9)+1),ROW(D336)-ROW(A328)+1)),"")," ",IFERROR(INDEX(Накл!$C$9:$C$550,SMALL(IF(Накл!$B$9:$B$550=A328,ROW(Накл!$B$9:$B$550)-ROW(Накл!$B$9)+1),ROW(D337)-ROW(A328)+1)),""))</f>
        <v xml:space="preserve">         </v>
      </c>
      <c r="E328" s="26" t="str">
        <f t="array" ref="E328">IF(LEN(D328)&lt;10,CONCATENATE(IFERROR(INDEX(Накл!$C$9:$C$550,SMALL(IF(Накл!$A$9:$A$550=VALUE(LEFT(A328,8)),ROW(Накл!$A$9:$A$550)-ROW(Накл!$A$9)+1),ROW(E328)-ROW(B328)+1)),"")," ",IFERROR(INDEX(Накл!$C$9:$C$550,SMALL(IF(Накл!$A$9:$A$550=VALUE(LEFT(A328,8)),ROW(Накл!$A$9:$A$550)-ROW(Накл!$A$9)+1),ROW(E329)-ROW(B328)+1)),"")," ",IFERROR(INDEX(Накл!$C$9:$C$550,SMALL(IF(Накл!$A$9:$A$550=VALUE(LEFT(A328,8)),ROW(Накл!$A$9:$A$550)-ROW(Накл!$A$9)+1),ROW(E330)-ROW(B328)+1)),"")," ",IFERROR(INDEX(Накл!$C$9:$C$550,SMALL(IF(Накл!$A$9:$A$550=VALUE(LEFT(A328,8)),ROW(Накл!$A$9:$A$550)-ROW(Накл!$A$9)+1),ROW(E331)-ROW(B328)+1)),"")),"")</f>
        <v xml:space="preserve">   </v>
      </c>
    </row>
    <row r="329" spans="1:5">
      <c r="A329" s="26" t="str">
        <f>IFERROR(CONCATENATE(VALUE(SUBSTITUTE(SUBSTITUTE(LEFT(Накл!G336,11),".",""),"-",""))," ",Накл!J336),"-")</f>
        <v>-</v>
      </c>
      <c r="B329" s="26" t="str">
        <f>IFERROR(VLOOKUP(VALUE(LEFT(A329,8)),Накл!$A$9:$D$550,4,0),"-")</f>
        <v>-</v>
      </c>
      <c r="C329" s="26">
        <f>Накл!J336</f>
        <v>0</v>
      </c>
      <c r="D329" s="33" t="str">
        <f t="array" ref="D329">CONCATENATE(IFERROR(INDEX(Накл!$C$9:$C$550,SMALL(IF(Накл!$B$9:$B$550=A329,ROW(Накл!$B$9:$B$550)-ROW(Накл!$B$9)+1),ROW(D329)-ROW(A329)+1)),"")," ",IFERROR(INDEX(Накл!$C$9:$C$550,SMALL(IF(Накл!$B$9:$B$550=A329,ROW(Накл!$B$9:$B$550)-ROW(Накл!$B$9)+1),ROW(D330)-ROW(A329)+1)),"")," ",IFERROR(INDEX(Накл!$C$9:$C$550,SMALL(IF(Накл!$B$9:$B$550=A329,ROW(Накл!$B$9:$B$550)-ROW(Накл!$B$9)+1),ROW(D331)-ROW(A329)+1)),"")," ",IFERROR(INDEX(Накл!$C$9:$C$550,SMALL(IF(Накл!$B$9:$B$550=A329,ROW(Накл!$B$9:$B$550)-ROW(Накл!$B$9)+1),ROW(D332)-ROW(A329)+1)),"")," ",IFERROR(INDEX(Накл!$C$9:$C$550,SMALL(IF(Накл!$B$9:$B$550=A329,ROW(Накл!$B$9:$B$550)-ROW(Накл!$B$9)+1),ROW(D333)-ROW(A329)+1)),"")," ",IFERROR(INDEX(Накл!$C$9:$C$550,SMALL(IF(Накл!$B$9:$B$550=A329,ROW(Накл!$B$9:$B$550)-ROW(Накл!$B$9)+1),ROW(D334)-ROW(A329)+1)),"")," ",IFERROR(INDEX(Накл!$C$9:$C$550,SMALL(IF(Накл!$B$9:$B$550=A329,ROW(Накл!$B$9:$B$550)-ROW(Накл!$B$9)+1),ROW(D335)-ROW(A329)+1)),"")," ",IFERROR(INDEX(Накл!$C$9:$C$550,SMALL(IF(Накл!$B$9:$B$550=A329,ROW(Накл!$B$9:$B$550)-ROW(Накл!$B$9)+1),ROW(D336)-ROW(A329)+1)),"")," ",IFERROR(INDEX(Накл!$C$9:$C$550,SMALL(IF(Накл!$B$9:$B$550=A329,ROW(Накл!$B$9:$B$550)-ROW(Накл!$B$9)+1),ROW(D337)-ROW(A329)+1)),"")," ",IFERROR(INDEX(Накл!$C$9:$C$550,SMALL(IF(Накл!$B$9:$B$550=A329,ROW(Накл!$B$9:$B$550)-ROW(Накл!$B$9)+1),ROW(D338)-ROW(A329)+1)),""))</f>
        <v xml:space="preserve">         </v>
      </c>
      <c r="E329" s="26" t="str">
        <f t="array" ref="E329">IF(LEN(D329)&lt;10,CONCATENATE(IFERROR(INDEX(Накл!$C$9:$C$550,SMALL(IF(Накл!$A$9:$A$550=VALUE(LEFT(A329,8)),ROW(Накл!$A$9:$A$550)-ROW(Накл!$A$9)+1),ROW(E329)-ROW(B329)+1)),"")," ",IFERROR(INDEX(Накл!$C$9:$C$550,SMALL(IF(Накл!$A$9:$A$550=VALUE(LEFT(A329,8)),ROW(Накл!$A$9:$A$550)-ROW(Накл!$A$9)+1),ROW(E330)-ROW(B329)+1)),"")," ",IFERROR(INDEX(Накл!$C$9:$C$550,SMALL(IF(Накл!$A$9:$A$550=VALUE(LEFT(A329,8)),ROW(Накл!$A$9:$A$550)-ROW(Накл!$A$9)+1),ROW(E331)-ROW(B329)+1)),"")," ",IFERROR(INDEX(Накл!$C$9:$C$550,SMALL(IF(Накл!$A$9:$A$550=VALUE(LEFT(A329,8)),ROW(Накл!$A$9:$A$550)-ROW(Накл!$A$9)+1),ROW(E332)-ROW(B329)+1)),"")),"")</f>
        <v xml:space="preserve">   </v>
      </c>
    </row>
    <row r="330" spans="1:5">
      <c r="A330" s="26" t="str">
        <f>IFERROR(CONCATENATE(VALUE(SUBSTITUTE(SUBSTITUTE(LEFT(Накл!G337,11),".",""),"-",""))," ",Накл!J337),"-")</f>
        <v>-</v>
      </c>
      <c r="B330" s="26" t="str">
        <f>IFERROR(VLOOKUP(VALUE(LEFT(A330,8)),Накл!$A$9:$D$550,4,0),"-")</f>
        <v>-</v>
      </c>
      <c r="C330" s="26">
        <f>Накл!J337</f>
        <v>0</v>
      </c>
      <c r="D330" s="33" t="str">
        <f t="array" ref="D330">CONCATENATE(IFERROR(INDEX(Накл!$C$9:$C$550,SMALL(IF(Накл!$B$9:$B$550=A330,ROW(Накл!$B$9:$B$550)-ROW(Накл!$B$9)+1),ROW(D330)-ROW(A330)+1)),"")," ",IFERROR(INDEX(Накл!$C$9:$C$550,SMALL(IF(Накл!$B$9:$B$550=A330,ROW(Накл!$B$9:$B$550)-ROW(Накл!$B$9)+1),ROW(D331)-ROW(A330)+1)),"")," ",IFERROR(INDEX(Накл!$C$9:$C$550,SMALL(IF(Накл!$B$9:$B$550=A330,ROW(Накл!$B$9:$B$550)-ROW(Накл!$B$9)+1),ROW(D332)-ROW(A330)+1)),"")," ",IFERROR(INDEX(Накл!$C$9:$C$550,SMALL(IF(Накл!$B$9:$B$550=A330,ROW(Накл!$B$9:$B$550)-ROW(Накл!$B$9)+1),ROW(D333)-ROW(A330)+1)),"")," ",IFERROR(INDEX(Накл!$C$9:$C$550,SMALL(IF(Накл!$B$9:$B$550=A330,ROW(Накл!$B$9:$B$550)-ROW(Накл!$B$9)+1),ROW(D334)-ROW(A330)+1)),"")," ",IFERROR(INDEX(Накл!$C$9:$C$550,SMALL(IF(Накл!$B$9:$B$550=A330,ROW(Накл!$B$9:$B$550)-ROW(Накл!$B$9)+1),ROW(D335)-ROW(A330)+1)),"")," ",IFERROR(INDEX(Накл!$C$9:$C$550,SMALL(IF(Накл!$B$9:$B$550=A330,ROW(Накл!$B$9:$B$550)-ROW(Накл!$B$9)+1),ROW(D336)-ROW(A330)+1)),"")," ",IFERROR(INDEX(Накл!$C$9:$C$550,SMALL(IF(Накл!$B$9:$B$550=A330,ROW(Накл!$B$9:$B$550)-ROW(Накл!$B$9)+1),ROW(D337)-ROW(A330)+1)),"")," ",IFERROR(INDEX(Накл!$C$9:$C$550,SMALL(IF(Накл!$B$9:$B$550=A330,ROW(Накл!$B$9:$B$550)-ROW(Накл!$B$9)+1),ROW(D338)-ROW(A330)+1)),"")," ",IFERROR(INDEX(Накл!$C$9:$C$550,SMALL(IF(Накл!$B$9:$B$550=A330,ROW(Накл!$B$9:$B$550)-ROW(Накл!$B$9)+1),ROW(D339)-ROW(A330)+1)),""))</f>
        <v xml:space="preserve">         </v>
      </c>
      <c r="E330" s="26" t="str">
        <f t="array" ref="E330">IF(LEN(D330)&lt;10,CONCATENATE(IFERROR(INDEX(Накл!$C$9:$C$550,SMALL(IF(Накл!$A$9:$A$550=VALUE(LEFT(A330,8)),ROW(Накл!$A$9:$A$550)-ROW(Накл!$A$9)+1),ROW(E330)-ROW(B330)+1)),"")," ",IFERROR(INDEX(Накл!$C$9:$C$550,SMALL(IF(Накл!$A$9:$A$550=VALUE(LEFT(A330,8)),ROW(Накл!$A$9:$A$550)-ROW(Накл!$A$9)+1),ROW(E331)-ROW(B330)+1)),"")," ",IFERROR(INDEX(Накл!$C$9:$C$550,SMALL(IF(Накл!$A$9:$A$550=VALUE(LEFT(A330,8)),ROW(Накл!$A$9:$A$550)-ROW(Накл!$A$9)+1),ROW(E332)-ROW(B330)+1)),"")," ",IFERROR(INDEX(Накл!$C$9:$C$550,SMALL(IF(Накл!$A$9:$A$550=VALUE(LEFT(A330,8)),ROW(Накл!$A$9:$A$550)-ROW(Накл!$A$9)+1),ROW(E333)-ROW(B330)+1)),"")),"")</f>
        <v xml:space="preserve">   </v>
      </c>
    </row>
    <row r="331" spans="1:5">
      <c r="A331" s="26" t="str">
        <f>IFERROR(CONCATENATE(VALUE(SUBSTITUTE(SUBSTITUTE(LEFT(Накл!G338,11),".",""),"-",""))," ",Накл!J338),"-")</f>
        <v>-</v>
      </c>
      <c r="B331" s="26" t="str">
        <f>IFERROR(VLOOKUP(VALUE(LEFT(A331,8)),Накл!$A$9:$D$550,4,0),"-")</f>
        <v>-</v>
      </c>
      <c r="C331" s="26">
        <f>Накл!J338</f>
        <v>0</v>
      </c>
      <c r="D331" s="33" t="str">
        <f t="array" ref="D331">CONCATENATE(IFERROR(INDEX(Накл!$C$9:$C$550,SMALL(IF(Накл!$B$9:$B$550=A331,ROW(Накл!$B$9:$B$550)-ROW(Накл!$B$9)+1),ROW(D331)-ROW(A331)+1)),"")," ",IFERROR(INDEX(Накл!$C$9:$C$550,SMALL(IF(Накл!$B$9:$B$550=A331,ROW(Накл!$B$9:$B$550)-ROW(Накл!$B$9)+1),ROW(D332)-ROW(A331)+1)),"")," ",IFERROR(INDEX(Накл!$C$9:$C$550,SMALL(IF(Накл!$B$9:$B$550=A331,ROW(Накл!$B$9:$B$550)-ROW(Накл!$B$9)+1),ROW(D333)-ROW(A331)+1)),"")," ",IFERROR(INDEX(Накл!$C$9:$C$550,SMALL(IF(Накл!$B$9:$B$550=A331,ROW(Накл!$B$9:$B$550)-ROW(Накл!$B$9)+1),ROW(D334)-ROW(A331)+1)),"")," ",IFERROR(INDEX(Накл!$C$9:$C$550,SMALL(IF(Накл!$B$9:$B$550=A331,ROW(Накл!$B$9:$B$550)-ROW(Накл!$B$9)+1),ROW(D335)-ROW(A331)+1)),"")," ",IFERROR(INDEX(Накл!$C$9:$C$550,SMALL(IF(Накл!$B$9:$B$550=A331,ROW(Накл!$B$9:$B$550)-ROW(Накл!$B$9)+1),ROW(D336)-ROW(A331)+1)),"")," ",IFERROR(INDEX(Накл!$C$9:$C$550,SMALL(IF(Накл!$B$9:$B$550=A331,ROW(Накл!$B$9:$B$550)-ROW(Накл!$B$9)+1),ROW(D337)-ROW(A331)+1)),"")," ",IFERROR(INDEX(Накл!$C$9:$C$550,SMALL(IF(Накл!$B$9:$B$550=A331,ROW(Накл!$B$9:$B$550)-ROW(Накл!$B$9)+1),ROW(D338)-ROW(A331)+1)),"")," ",IFERROR(INDEX(Накл!$C$9:$C$550,SMALL(IF(Накл!$B$9:$B$550=A331,ROW(Накл!$B$9:$B$550)-ROW(Накл!$B$9)+1),ROW(D339)-ROW(A331)+1)),"")," ",IFERROR(INDEX(Накл!$C$9:$C$550,SMALL(IF(Накл!$B$9:$B$550=A331,ROW(Накл!$B$9:$B$550)-ROW(Накл!$B$9)+1),ROW(D340)-ROW(A331)+1)),""))</f>
        <v xml:space="preserve">         </v>
      </c>
      <c r="E331" s="26" t="str">
        <f t="array" ref="E331">IF(LEN(D331)&lt;10,CONCATENATE(IFERROR(INDEX(Накл!$C$9:$C$550,SMALL(IF(Накл!$A$9:$A$550=VALUE(LEFT(A331,8)),ROW(Накл!$A$9:$A$550)-ROW(Накл!$A$9)+1),ROW(E331)-ROW(B331)+1)),"")," ",IFERROR(INDEX(Накл!$C$9:$C$550,SMALL(IF(Накл!$A$9:$A$550=VALUE(LEFT(A331,8)),ROW(Накл!$A$9:$A$550)-ROW(Накл!$A$9)+1),ROW(E332)-ROW(B331)+1)),"")," ",IFERROR(INDEX(Накл!$C$9:$C$550,SMALL(IF(Накл!$A$9:$A$550=VALUE(LEFT(A331,8)),ROW(Накл!$A$9:$A$550)-ROW(Накл!$A$9)+1),ROW(E333)-ROW(B331)+1)),"")," ",IFERROR(INDEX(Накл!$C$9:$C$550,SMALL(IF(Накл!$A$9:$A$550=VALUE(LEFT(A331,8)),ROW(Накл!$A$9:$A$550)-ROW(Накл!$A$9)+1),ROW(E334)-ROW(B331)+1)),"")),"")</f>
        <v xml:space="preserve">   </v>
      </c>
    </row>
    <row r="332" spans="1:5">
      <c r="A332" s="26" t="str">
        <f>IFERROR(CONCATENATE(VALUE(SUBSTITUTE(SUBSTITUTE(LEFT(Накл!G339,11),".",""),"-",""))," ",Накл!J339),"-")</f>
        <v>-</v>
      </c>
      <c r="B332" s="26" t="str">
        <f>IFERROR(VLOOKUP(VALUE(LEFT(A332,8)),Накл!$A$9:$D$550,4,0),"-")</f>
        <v>-</v>
      </c>
      <c r="C332" s="26">
        <f>Накл!J339</f>
        <v>0</v>
      </c>
      <c r="D332" s="33" t="str">
        <f t="array" ref="D332">CONCATENATE(IFERROR(INDEX(Накл!$C$9:$C$550,SMALL(IF(Накл!$B$9:$B$550=A332,ROW(Накл!$B$9:$B$550)-ROW(Накл!$B$9)+1),ROW(D332)-ROW(A332)+1)),"")," ",IFERROR(INDEX(Накл!$C$9:$C$550,SMALL(IF(Накл!$B$9:$B$550=A332,ROW(Накл!$B$9:$B$550)-ROW(Накл!$B$9)+1),ROW(D333)-ROW(A332)+1)),"")," ",IFERROR(INDEX(Накл!$C$9:$C$550,SMALL(IF(Накл!$B$9:$B$550=A332,ROW(Накл!$B$9:$B$550)-ROW(Накл!$B$9)+1),ROW(D334)-ROW(A332)+1)),"")," ",IFERROR(INDEX(Накл!$C$9:$C$550,SMALL(IF(Накл!$B$9:$B$550=A332,ROW(Накл!$B$9:$B$550)-ROW(Накл!$B$9)+1),ROW(D335)-ROW(A332)+1)),"")," ",IFERROR(INDEX(Накл!$C$9:$C$550,SMALL(IF(Накл!$B$9:$B$550=A332,ROW(Накл!$B$9:$B$550)-ROW(Накл!$B$9)+1),ROW(D336)-ROW(A332)+1)),"")," ",IFERROR(INDEX(Накл!$C$9:$C$550,SMALL(IF(Накл!$B$9:$B$550=A332,ROW(Накл!$B$9:$B$550)-ROW(Накл!$B$9)+1),ROW(D337)-ROW(A332)+1)),"")," ",IFERROR(INDEX(Накл!$C$9:$C$550,SMALL(IF(Накл!$B$9:$B$550=A332,ROW(Накл!$B$9:$B$550)-ROW(Накл!$B$9)+1),ROW(D338)-ROW(A332)+1)),"")," ",IFERROR(INDEX(Накл!$C$9:$C$550,SMALL(IF(Накл!$B$9:$B$550=A332,ROW(Накл!$B$9:$B$550)-ROW(Накл!$B$9)+1),ROW(D339)-ROW(A332)+1)),"")," ",IFERROR(INDEX(Накл!$C$9:$C$550,SMALL(IF(Накл!$B$9:$B$550=A332,ROW(Накл!$B$9:$B$550)-ROW(Накл!$B$9)+1),ROW(D340)-ROW(A332)+1)),"")," ",IFERROR(INDEX(Накл!$C$9:$C$550,SMALL(IF(Накл!$B$9:$B$550=A332,ROW(Накл!$B$9:$B$550)-ROW(Накл!$B$9)+1),ROW(D341)-ROW(A332)+1)),""))</f>
        <v xml:space="preserve">         </v>
      </c>
      <c r="E332" s="26" t="str">
        <f t="array" ref="E332">IF(LEN(D332)&lt;10,CONCATENATE(IFERROR(INDEX(Накл!$C$9:$C$550,SMALL(IF(Накл!$A$9:$A$550=VALUE(LEFT(A332,8)),ROW(Накл!$A$9:$A$550)-ROW(Накл!$A$9)+1),ROW(E332)-ROW(B332)+1)),"")," ",IFERROR(INDEX(Накл!$C$9:$C$550,SMALL(IF(Накл!$A$9:$A$550=VALUE(LEFT(A332,8)),ROW(Накл!$A$9:$A$550)-ROW(Накл!$A$9)+1),ROW(E333)-ROW(B332)+1)),"")," ",IFERROR(INDEX(Накл!$C$9:$C$550,SMALL(IF(Накл!$A$9:$A$550=VALUE(LEFT(A332,8)),ROW(Накл!$A$9:$A$550)-ROW(Накл!$A$9)+1),ROW(E334)-ROW(B332)+1)),"")," ",IFERROR(INDEX(Накл!$C$9:$C$550,SMALL(IF(Накл!$A$9:$A$550=VALUE(LEFT(A332,8)),ROW(Накл!$A$9:$A$550)-ROW(Накл!$A$9)+1),ROW(E335)-ROW(B332)+1)),"")),"")</f>
        <v xml:space="preserve">   </v>
      </c>
    </row>
    <row r="333" spans="1:5">
      <c r="A333" s="26" t="str">
        <f>IFERROR(CONCATENATE(VALUE(SUBSTITUTE(SUBSTITUTE(LEFT(Накл!G340,11),".",""),"-",""))," ",Накл!J340),"-")</f>
        <v>-</v>
      </c>
      <c r="B333" s="26" t="str">
        <f>IFERROR(VLOOKUP(VALUE(LEFT(A333,8)),Накл!$A$9:$D$550,4,0),"-")</f>
        <v>-</v>
      </c>
      <c r="C333" s="26">
        <f>Накл!J340</f>
        <v>0</v>
      </c>
      <c r="D333" s="33" t="str">
        <f t="array" ref="D333">CONCATENATE(IFERROR(INDEX(Накл!$C$9:$C$550,SMALL(IF(Накл!$B$9:$B$550=A333,ROW(Накл!$B$9:$B$550)-ROW(Накл!$B$9)+1),ROW(D333)-ROW(A333)+1)),"")," ",IFERROR(INDEX(Накл!$C$9:$C$550,SMALL(IF(Накл!$B$9:$B$550=A333,ROW(Накл!$B$9:$B$550)-ROW(Накл!$B$9)+1),ROW(D334)-ROW(A333)+1)),"")," ",IFERROR(INDEX(Накл!$C$9:$C$550,SMALL(IF(Накл!$B$9:$B$550=A333,ROW(Накл!$B$9:$B$550)-ROW(Накл!$B$9)+1),ROW(D335)-ROW(A333)+1)),"")," ",IFERROR(INDEX(Накл!$C$9:$C$550,SMALL(IF(Накл!$B$9:$B$550=A333,ROW(Накл!$B$9:$B$550)-ROW(Накл!$B$9)+1),ROW(D336)-ROW(A333)+1)),"")," ",IFERROR(INDEX(Накл!$C$9:$C$550,SMALL(IF(Накл!$B$9:$B$550=A333,ROW(Накл!$B$9:$B$550)-ROW(Накл!$B$9)+1),ROW(D337)-ROW(A333)+1)),"")," ",IFERROR(INDEX(Накл!$C$9:$C$550,SMALL(IF(Накл!$B$9:$B$550=A333,ROW(Накл!$B$9:$B$550)-ROW(Накл!$B$9)+1),ROW(D338)-ROW(A333)+1)),"")," ",IFERROR(INDEX(Накл!$C$9:$C$550,SMALL(IF(Накл!$B$9:$B$550=A333,ROW(Накл!$B$9:$B$550)-ROW(Накл!$B$9)+1),ROW(D339)-ROW(A333)+1)),"")," ",IFERROR(INDEX(Накл!$C$9:$C$550,SMALL(IF(Накл!$B$9:$B$550=A333,ROW(Накл!$B$9:$B$550)-ROW(Накл!$B$9)+1),ROW(D340)-ROW(A333)+1)),"")," ",IFERROR(INDEX(Накл!$C$9:$C$550,SMALL(IF(Накл!$B$9:$B$550=A333,ROW(Накл!$B$9:$B$550)-ROW(Накл!$B$9)+1),ROW(D341)-ROW(A333)+1)),"")," ",IFERROR(INDEX(Накл!$C$9:$C$550,SMALL(IF(Накл!$B$9:$B$550=A333,ROW(Накл!$B$9:$B$550)-ROW(Накл!$B$9)+1),ROW(D342)-ROW(A333)+1)),""))</f>
        <v xml:space="preserve">         </v>
      </c>
      <c r="E333" s="26" t="str">
        <f t="array" ref="E333">IF(LEN(D333)&lt;10,CONCATENATE(IFERROR(INDEX(Накл!$C$9:$C$550,SMALL(IF(Накл!$A$9:$A$550=VALUE(LEFT(A333,8)),ROW(Накл!$A$9:$A$550)-ROW(Накл!$A$9)+1),ROW(E333)-ROW(B333)+1)),"")," ",IFERROR(INDEX(Накл!$C$9:$C$550,SMALL(IF(Накл!$A$9:$A$550=VALUE(LEFT(A333,8)),ROW(Накл!$A$9:$A$550)-ROW(Накл!$A$9)+1),ROW(E334)-ROW(B333)+1)),"")," ",IFERROR(INDEX(Накл!$C$9:$C$550,SMALL(IF(Накл!$A$9:$A$550=VALUE(LEFT(A333,8)),ROW(Накл!$A$9:$A$550)-ROW(Накл!$A$9)+1),ROW(E335)-ROW(B333)+1)),"")," ",IFERROR(INDEX(Накл!$C$9:$C$550,SMALL(IF(Накл!$A$9:$A$550=VALUE(LEFT(A333,8)),ROW(Накл!$A$9:$A$550)-ROW(Накл!$A$9)+1),ROW(E336)-ROW(B333)+1)),"")),"")</f>
        <v xml:space="preserve">   </v>
      </c>
    </row>
    <row r="334" spans="1:5">
      <c r="A334" s="26" t="str">
        <f>IFERROR(CONCATENATE(VALUE(SUBSTITUTE(SUBSTITUTE(LEFT(Накл!G341,11),".",""),"-",""))," ",Накл!J341),"-")</f>
        <v>-</v>
      </c>
      <c r="B334" s="26" t="str">
        <f>IFERROR(VLOOKUP(VALUE(LEFT(A334,8)),Накл!$A$9:$D$550,4,0),"-")</f>
        <v>-</v>
      </c>
      <c r="C334" s="26">
        <f>Накл!J341</f>
        <v>0</v>
      </c>
      <c r="D334" s="33" t="str">
        <f t="array" ref="D334">CONCATENATE(IFERROR(INDEX(Накл!$C$9:$C$550,SMALL(IF(Накл!$B$9:$B$550=A334,ROW(Накл!$B$9:$B$550)-ROW(Накл!$B$9)+1),ROW(D334)-ROW(A334)+1)),"")," ",IFERROR(INDEX(Накл!$C$9:$C$550,SMALL(IF(Накл!$B$9:$B$550=A334,ROW(Накл!$B$9:$B$550)-ROW(Накл!$B$9)+1),ROW(D335)-ROW(A334)+1)),"")," ",IFERROR(INDEX(Накл!$C$9:$C$550,SMALL(IF(Накл!$B$9:$B$550=A334,ROW(Накл!$B$9:$B$550)-ROW(Накл!$B$9)+1),ROW(D336)-ROW(A334)+1)),"")," ",IFERROR(INDEX(Накл!$C$9:$C$550,SMALL(IF(Накл!$B$9:$B$550=A334,ROW(Накл!$B$9:$B$550)-ROW(Накл!$B$9)+1),ROW(D337)-ROW(A334)+1)),"")," ",IFERROR(INDEX(Накл!$C$9:$C$550,SMALL(IF(Накл!$B$9:$B$550=A334,ROW(Накл!$B$9:$B$550)-ROW(Накл!$B$9)+1),ROW(D338)-ROW(A334)+1)),"")," ",IFERROR(INDEX(Накл!$C$9:$C$550,SMALL(IF(Накл!$B$9:$B$550=A334,ROW(Накл!$B$9:$B$550)-ROW(Накл!$B$9)+1),ROW(D339)-ROW(A334)+1)),"")," ",IFERROR(INDEX(Накл!$C$9:$C$550,SMALL(IF(Накл!$B$9:$B$550=A334,ROW(Накл!$B$9:$B$550)-ROW(Накл!$B$9)+1),ROW(D340)-ROW(A334)+1)),"")," ",IFERROR(INDEX(Накл!$C$9:$C$550,SMALL(IF(Накл!$B$9:$B$550=A334,ROW(Накл!$B$9:$B$550)-ROW(Накл!$B$9)+1),ROW(D341)-ROW(A334)+1)),"")," ",IFERROR(INDEX(Накл!$C$9:$C$550,SMALL(IF(Накл!$B$9:$B$550=A334,ROW(Накл!$B$9:$B$550)-ROW(Накл!$B$9)+1),ROW(D342)-ROW(A334)+1)),"")," ",IFERROR(INDEX(Накл!$C$9:$C$550,SMALL(IF(Накл!$B$9:$B$550=A334,ROW(Накл!$B$9:$B$550)-ROW(Накл!$B$9)+1),ROW(D343)-ROW(A334)+1)),""))</f>
        <v xml:space="preserve">         </v>
      </c>
      <c r="E334" s="26" t="str">
        <f t="array" ref="E334">IF(LEN(D334)&lt;10,CONCATENATE(IFERROR(INDEX(Накл!$C$9:$C$550,SMALL(IF(Накл!$A$9:$A$550=VALUE(LEFT(A334,8)),ROW(Накл!$A$9:$A$550)-ROW(Накл!$A$9)+1),ROW(E334)-ROW(B334)+1)),"")," ",IFERROR(INDEX(Накл!$C$9:$C$550,SMALL(IF(Накл!$A$9:$A$550=VALUE(LEFT(A334,8)),ROW(Накл!$A$9:$A$550)-ROW(Накл!$A$9)+1),ROW(E335)-ROW(B334)+1)),"")," ",IFERROR(INDEX(Накл!$C$9:$C$550,SMALL(IF(Накл!$A$9:$A$550=VALUE(LEFT(A334,8)),ROW(Накл!$A$9:$A$550)-ROW(Накл!$A$9)+1),ROW(E336)-ROW(B334)+1)),"")," ",IFERROR(INDEX(Накл!$C$9:$C$550,SMALL(IF(Накл!$A$9:$A$550=VALUE(LEFT(A334,8)),ROW(Накл!$A$9:$A$550)-ROW(Накл!$A$9)+1),ROW(E337)-ROW(B334)+1)),"")),"")</f>
        <v xml:space="preserve">   </v>
      </c>
    </row>
    <row r="335" spans="1:5">
      <c r="A335" s="26" t="str">
        <f>IFERROR(CONCATENATE(VALUE(SUBSTITUTE(SUBSTITUTE(LEFT(Накл!G342,11),".",""),"-",""))," ",Накл!J342),"-")</f>
        <v>-</v>
      </c>
      <c r="B335" s="26" t="str">
        <f>IFERROR(VLOOKUP(VALUE(LEFT(A335,8)),Накл!$A$9:$D$550,4,0),"-")</f>
        <v>-</v>
      </c>
      <c r="C335" s="26">
        <f>Накл!J342</f>
        <v>0</v>
      </c>
      <c r="D335" s="33" t="str">
        <f t="array" ref="D335">CONCATENATE(IFERROR(INDEX(Накл!$C$9:$C$550,SMALL(IF(Накл!$B$9:$B$550=A335,ROW(Накл!$B$9:$B$550)-ROW(Накл!$B$9)+1),ROW(D335)-ROW(A335)+1)),"")," ",IFERROR(INDEX(Накл!$C$9:$C$550,SMALL(IF(Накл!$B$9:$B$550=A335,ROW(Накл!$B$9:$B$550)-ROW(Накл!$B$9)+1),ROW(D336)-ROW(A335)+1)),"")," ",IFERROR(INDEX(Накл!$C$9:$C$550,SMALL(IF(Накл!$B$9:$B$550=A335,ROW(Накл!$B$9:$B$550)-ROW(Накл!$B$9)+1),ROW(D337)-ROW(A335)+1)),"")," ",IFERROR(INDEX(Накл!$C$9:$C$550,SMALL(IF(Накл!$B$9:$B$550=A335,ROW(Накл!$B$9:$B$550)-ROW(Накл!$B$9)+1),ROW(D338)-ROW(A335)+1)),"")," ",IFERROR(INDEX(Накл!$C$9:$C$550,SMALL(IF(Накл!$B$9:$B$550=A335,ROW(Накл!$B$9:$B$550)-ROW(Накл!$B$9)+1),ROW(D339)-ROW(A335)+1)),"")," ",IFERROR(INDEX(Накл!$C$9:$C$550,SMALL(IF(Накл!$B$9:$B$550=A335,ROW(Накл!$B$9:$B$550)-ROW(Накл!$B$9)+1),ROW(D340)-ROW(A335)+1)),"")," ",IFERROR(INDEX(Накл!$C$9:$C$550,SMALL(IF(Накл!$B$9:$B$550=A335,ROW(Накл!$B$9:$B$550)-ROW(Накл!$B$9)+1),ROW(D341)-ROW(A335)+1)),"")," ",IFERROR(INDEX(Накл!$C$9:$C$550,SMALL(IF(Накл!$B$9:$B$550=A335,ROW(Накл!$B$9:$B$550)-ROW(Накл!$B$9)+1),ROW(D342)-ROW(A335)+1)),"")," ",IFERROR(INDEX(Накл!$C$9:$C$550,SMALL(IF(Накл!$B$9:$B$550=A335,ROW(Накл!$B$9:$B$550)-ROW(Накл!$B$9)+1),ROW(D343)-ROW(A335)+1)),"")," ",IFERROR(INDEX(Накл!$C$9:$C$550,SMALL(IF(Накл!$B$9:$B$550=A335,ROW(Накл!$B$9:$B$550)-ROW(Накл!$B$9)+1),ROW(D344)-ROW(A335)+1)),""))</f>
        <v xml:space="preserve">         </v>
      </c>
      <c r="E335" s="26" t="str">
        <f t="array" ref="E335">IF(LEN(D335)&lt;10,CONCATENATE(IFERROR(INDEX(Накл!$C$9:$C$550,SMALL(IF(Накл!$A$9:$A$550=VALUE(LEFT(A335,8)),ROW(Накл!$A$9:$A$550)-ROW(Накл!$A$9)+1),ROW(E335)-ROW(B335)+1)),"")," ",IFERROR(INDEX(Накл!$C$9:$C$550,SMALL(IF(Накл!$A$9:$A$550=VALUE(LEFT(A335,8)),ROW(Накл!$A$9:$A$550)-ROW(Накл!$A$9)+1),ROW(E336)-ROW(B335)+1)),"")," ",IFERROR(INDEX(Накл!$C$9:$C$550,SMALL(IF(Накл!$A$9:$A$550=VALUE(LEFT(A335,8)),ROW(Накл!$A$9:$A$550)-ROW(Накл!$A$9)+1),ROW(E337)-ROW(B335)+1)),"")," ",IFERROR(INDEX(Накл!$C$9:$C$550,SMALL(IF(Накл!$A$9:$A$550=VALUE(LEFT(A335,8)),ROW(Накл!$A$9:$A$550)-ROW(Накл!$A$9)+1),ROW(E338)-ROW(B335)+1)),"")),"")</f>
        <v xml:space="preserve">   </v>
      </c>
    </row>
    <row r="336" spans="1:5">
      <c r="A336" s="26" t="str">
        <f>IFERROR(CONCATENATE(VALUE(SUBSTITUTE(SUBSTITUTE(LEFT(Накл!G343,11),".",""),"-",""))," ",Накл!J343),"-")</f>
        <v>-</v>
      </c>
      <c r="B336" s="26" t="str">
        <f>IFERROR(VLOOKUP(VALUE(LEFT(A336,8)),Накл!$A$9:$D$550,4,0),"-")</f>
        <v>-</v>
      </c>
      <c r="C336" s="26">
        <f>Накл!J343</f>
        <v>0</v>
      </c>
      <c r="D336" s="33" t="str">
        <f t="array" ref="D336">CONCATENATE(IFERROR(INDEX(Накл!$C$9:$C$550,SMALL(IF(Накл!$B$9:$B$550=A336,ROW(Накл!$B$9:$B$550)-ROW(Накл!$B$9)+1),ROW(D336)-ROW(A336)+1)),"")," ",IFERROR(INDEX(Накл!$C$9:$C$550,SMALL(IF(Накл!$B$9:$B$550=A336,ROW(Накл!$B$9:$B$550)-ROW(Накл!$B$9)+1),ROW(D337)-ROW(A336)+1)),"")," ",IFERROR(INDEX(Накл!$C$9:$C$550,SMALL(IF(Накл!$B$9:$B$550=A336,ROW(Накл!$B$9:$B$550)-ROW(Накл!$B$9)+1),ROW(D338)-ROW(A336)+1)),"")," ",IFERROR(INDEX(Накл!$C$9:$C$550,SMALL(IF(Накл!$B$9:$B$550=A336,ROW(Накл!$B$9:$B$550)-ROW(Накл!$B$9)+1),ROW(D339)-ROW(A336)+1)),"")," ",IFERROR(INDEX(Накл!$C$9:$C$550,SMALL(IF(Накл!$B$9:$B$550=A336,ROW(Накл!$B$9:$B$550)-ROW(Накл!$B$9)+1),ROW(D340)-ROW(A336)+1)),"")," ",IFERROR(INDEX(Накл!$C$9:$C$550,SMALL(IF(Накл!$B$9:$B$550=A336,ROW(Накл!$B$9:$B$550)-ROW(Накл!$B$9)+1),ROW(D341)-ROW(A336)+1)),"")," ",IFERROR(INDEX(Накл!$C$9:$C$550,SMALL(IF(Накл!$B$9:$B$550=A336,ROW(Накл!$B$9:$B$550)-ROW(Накл!$B$9)+1),ROW(D342)-ROW(A336)+1)),"")," ",IFERROR(INDEX(Накл!$C$9:$C$550,SMALL(IF(Накл!$B$9:$B$550=A336,ROW(Накл!$B$9:$B$550)-ROW(Накл!$B$9)+1),ROW(D343)-ROW(A336)+1)),"")," ",IFERROR(INDEX(Накл!$C$9:$C$550,SMALL(IF(Накл!$B$9:$B$550=A336,ROW(Накл!$B$9:$B$550)-ROW(Накл!$B$9)+1),ROW(D344)-ROW(A336)+1)),"")," ",IFERROR(INDEX(Накл!$C$9:$C$550,SMALL(IF(Накл!$B$9:$B$550=A336,ROW(Накл!$B$9:$B$550)-ROW(Накл!$B$9)+1),ROW(D345)-ROW(A336)+1)),""))</f>
        <v xml:space="preserve">         </v>
      </c>
      <c r="E336" s="26" t="str">
        <f t="array" ref="E336">IF(LEN(D336)&lt;10,CONCATENATE(IFERROR(INDEX(Накл!$C$9:$C$550,SMALL(IF(Накл!$A$9:$A$550=VALUE(LEFT(A336,8)),ROW(Накл!$A$9:$A$550)-ROW(Накл!$A$9)+1),ROW(E336)-ROW(B336)+1)),"")," ",IFERROR(INDEX(Накл!$C$9:$C$550,SMALL(IF(Накл!$A$9:$A$550=VALUE(LEFT(A336,8)),ROW(Накл!$A$9:$A$550)-ROW(Накл!$A$9)+1),ROW(E337)-ROW(B336)+1)),"")," ",IFERROR(INDEX(Накл!$C$9:$C$550,SMALL(IF(Накл!$A$9:$A$550=VALUE(LEFT(A336,8)),ROW(Накл!$A$9:$A$550)-ROW(Накл!$A$9)+1),ROW(E338)-ROW(B336)+1)),"")," ",IFERROR(INDEX(Накл!$C$9:$C$550,SMALL(IF(Накл!$A$9:$A$550=VALUE(LEFT(A336,8)),ROW(Накл!$A$9:$A$550)-ROW(Накл!$A$9)+1),ROW(E339)-ROW(B336)+1)),"")),"")</f>
        <v xml:space="preserve">   </v>
      </c>
    </row>
    <row r="337" spans="1:5">
      <c r="A337" s="26" t="str">
        <f>IFERROR(CONCATENATE(VALUE(SUBSTITUTE(SUBSTITUTE(LEFT(Накл!G344,11),".",""),"-",""))," ",Накл!J344),"-")</f>
        <v>-</v>
      </c>
      <c r="B337" s="26" t="str">
        <f>IFERROR(VLOOKUP(VALUE(LEFT(A337,8)),Накл!$A$9:$D$550,4,0),"-")</f>
        <v>-</v>
      </c>
      <c r="C337" s="26">
        <f>Накл!J344</f>
        <v>0</v>
      </c>
      <c r="D337" s="33" t="str">
        <f t="array" ref="D337">CONCATENATE(IFERROR(INDEX(Накл!$C$9:$C$550,SMALL(IF(Накл!$B$9:$B$550=A337,ROW(Накл!$B$9:$B$550)-ROW(Накл!$B$9)+1),ROW(D337)-ROW(A337)+1)),"")," ",IFERROR(INDEX(Накл!$C$9:$C$550,SMALL(IF(Накл!$B$9:$B$550=A337,ROW(Накл!$B$9:$B$550)-ROW(Накл!$B$9)+1),ROW(D338)-ROW(A337)+1)),"")," ",IFERROR(INDEX(Накл!$C$9:$C$550,SMALL(IF(Накл!$B$9:$B$550=A337,ROW(Накл!$B$9:$B$550)-ROW(Накл!$B$9)+1),ROW(D339)-ROW(A337)+1)),"")," ",IFERROR(INDEX(Накл!$C$9:$C$550,SMALL(IF(Накл!$B$9:$B$550=A337,ROW(Накл!$B$9:$B$550)-ROW(Накл!$B$9)+1),ROW(D340)-ROW(A337)+1)),"")," ",IFERROR(INDEX(Накл!$C$9:$C$550,SMALL(IF(Накл!$B$9:$B$550=A337,ROW(Накл!$B$9:$B$550)-ROW(Накл!$B$9)+1),ROW(D341)-ROW(A337)+1)),"")," ",IFERROR(INDEX(Накл!$C$9:$C$550,SMALL(IF(Накл!$B$9:$B$550=A337,ROW(Накл!$B$9:$B$550)-ROW(Накл!$B$9)+1),ROW(D342)-ROW(A337)+1)),"")," ",IFERROR(INDEX(Накл!$C$9:$C$550,SMALL(IF(Накл!$B$9:$B$550=A337,ROW(Накл!$B$9:$B$550)-ROW(Накл!$B$9)+1),ROW(D343)-ROW(A337)+1)),"")," ",IFERROR(INDEX(Накл!$C$9:$C$550,SMALL(IF(Накл!$B$9:$B$550=A337,ROW(Накл!$B$9:$B$550)-ROW(Накл!$B$9)+1),ROW(D344)-ROW(A337)+1)),"")," ",IFERROR(INDEX(Накл!$C$9:$C$550,SMALL(IF(Накл!$B$9:$B$550=A337,ROW(Накл!$B$9:$B$550)-ROW(Накл!$B$9)+1),ROW(D345)-ROW(A337)+1)),"")," ",IFERROR(INDEX(Накл!$C$9:$C$550,SMALL(IF(Накл!$B$9:$B$550=A337,ROW(Накл!$B$9:$B$550)-ROW(Накл!$B$9)+1),ROW(D346)-ROW(A337)+1)),""))</f>
        <v xml:space="preserve">         </v>
      </c>
      <c r="E337" s="26" t="str">
        <f t="array" ref="E337">IF(LEN(D337)&lt;10,CONCATENATE(IFERROR(INDEX(Накл!$C$9:$C$550,SMALL(IF(Накл!$A$9:$A$550=VALUE(LEFT(A337,8)),ROW(Накл!$A$9:$A$550)-ROW(Накл!$A$9)+1),ROW(E337)-ROW(B337)+1)),"")," ",IFERROR(INDEX(Накл!$C$9:$C$550,SMALL(IF(Накл!$A$9:$A$550=VALUE(LEFT(A337,8)),ROW(Накл!$A$9:$A$550)-ROW(Накл!$A$9)+1),ROW(E338)-ROW(B337)+1)),"")," ",IFERROR(INDEX(Накл!$C$9:$C$550,SMALL(IF(Накл!$A$9:$A$550=VALUE(LEFT(A337,8)),ROW(Накл!$A$9:$A$550)-ROW(Накл!$A$9)+1),ROW(E339)-ROW(B337)+1)),"")," ",IFERROR(INDEX(Накл!$C$9:$C$550,SMALL(IF(Накл!$A$9:$A$550=VALUE(LEFT(A337,8)),ROW(Накл!$A$9:$A$550)-ROW(Накл!$A$9)+1),ROW(E340)-ROW(B337)+1)),"")),"")</f>
        <v xml:space="preserve">   </v>
      </c>
    </row>
    <row r="338" spans="1:5">
      <c r="A338" s="26" t="str">
        <f>IFERROR(CONCATENATE(VALUE(SUBSTITUTE(SUBSTITUTE(LEFT(Накл!G345,11),".",""),"-",""))," ",Накл!J345),"-")</f>
        <v>-</v>
      </c>
      <c r="B338" s="26" t="str">
        <f>IFERROR(VLOOKUP(VALUE(LEFT(A338,8)),Накл!$A$9:$D$550,4,0),"-")</f>
        <v>-</v>
      </c>
      <c r="C338" s="26">
        <f>Накл!J345</f>
        <v>0</v>
      </c>
      <c r="D338" s="33" t="str">
        <f t="array" ref="D338">CONCATENATE(IFERROR(INDEX(Накл!$C$9:$C$550,SMALL(IF(Накл!$B$9:$B$550=A338,ROW(Накл!$B$9:$B$550)-ROW(Накл!$B$9)+1),ROW(D338)-ROW(A338)+1)),"")," ",IFERROR(INDEX(Накл!$C$9:$C$550,SMALL(IF(Накл!$B$9:$B$550=A338,ROW(Накл!$B$9:$B$550)-ROW(Накл!$B$9)+1),ROW(D339)-ROW(A338)+1)),"")," ",IFERROR(INDEX(Накл!$C$9:$C$550,SMALL(IF(Накл!$B$9:$B$550=A338,ROW(Накл!$B$9:$B$550)-ROW(Накл!$B$9)+1),ROW(D340)-ROW(A338)+1)),"")," ",IFERROR(INDEX(Накл!$C$9:$C$550,SMALL(IF(Накл!$B$9:$B$550=A338,ROW(Накл!$B$9:$B$550)-ROW(Накл!$B$9)+1),ROW(D341)-ROW(A338)+1)),"")," ",IFERROR(INDEX(Накл!$C$9:$C$550,SMALL(IF(Накл!$B$9:$B$550=A338,ROW(Накл!$B$9:$B$550)-ROW(Накл!$B$9)+1),ROW(D342)-ROW(A338)+1)),"")," ",IFERROR(INDEX(Накл!$C$9:$C$550,SMALL(IF(Накл!$B$9:$B$550=A338,ROW(Накл!$B$9:$B$550)-ROW(Накл!$B$9)+1),ROW(D343)-ROW(A338)+1)),"")," ",IFERROR(INDEX(Накл!$C$9:$C$550,SMALL(IF(Накл!$B$9:$B$550=A338,ROW(Накл!$B$9:$B$550)-ROW(Накл!$B$9)+1),ROW(D344)-ROW(A338)+1)),"")," ",IFERROR(INDEX(Накл!$C$9:$C$550,SMALL(IF(Накл!$B$9:$B$550=A338,ROW(Накл!$B$9:$B$550)-ROW(Накл!$B$9)+1),ROW(D345)-ROW(A338)+1)),"")," ",IFERROR(INDEX(Накл!$C$9:$C$550,SMALL(IF(Накл!$B$9:$B$550=A338,ROW(Накл!$B$9:$B$550)-ROW(Накл!$B$9)+1),ROW(D346)-ROW(A338)+1)),"")," ",IFERROR(INDEX(Накл!$C$9:$C$550,SMALL(IF(Накл!$B$9:$B$550=A338,ROW(Накл!$B$9:$B$550)-ROW(Накл!$B$9)+1),ROW(D347)-ROW(A338)+1)),""))</f>
        <v xml:space="preserve">         </v>
      </c>
      <c r="E338" s="26" t="str">
        <f t="array" ref="E338">IF(LEN(D338)&lt;10,CONCATENATE(IFERROR(INDEX(Накл!$C$9:$C$550,SMALL(IF(Накл!$A$9:$A$550=VALUE(LEFT(A338,8)),ROW(Накл!$A$9:$A$550)-ROW(Накл!$A$9)+1),ROW(E338)-ROW(B338)+1)),"")," ",IFERROR(INDEX(Накл!$C$9:$C$550,SMALL(IF(Накл!$A$9:$A$550=VALUE(LEFT(A338,8)),ROW(Накл!$A$9:$A$550)-ROW(Накл!$A$9)+1),ROW(E339)-ROW(B338)+1)),"")," ",IFERROR(INDEX(Накл!$C$9:$C$550,SMALL(IF(Накл!$A$9:$A$550=VALUE(LEFT(A338,8)),ROW(Накл!$A$9:$A$550)-ROW(Накл!$A$9)+1),ROW(E340)-ROW(B338)+1)),"")," ",IFERROR(INDEX(Накл!$C$9:$C$550,SMALL(IF(Накл!$A$9:$A$550=VALUE(LEFT(A338,8)),ROW(Накл!$A$9:$A$550)-ROW(Накл!$A$9)+1),ROW(E341)-ROW(B338)+1)),"")),"")</f>
        <v xml:space="preserve">   </v>
      </c>
    </row>
    <row r="339" spans="1:5">
      <c r="A339" s="26" t="str">
        <f>IFERROR(CONCATENATE(VALUE(SUBSTITUTE(SUBSTITUTE(LEFT(Накл!G346,11),".",""),"-",""))," ",Накл!J346),"-")</f>
        <v>-</v>
      </c>
      <c r="B339" s="26" t="str">
        <f>IFERROR(VLOOKUP(VALUE(LEFT(A339,8)),Накл!$A$9:$D$550,4,0),"-")</f>
        <v>-</v>
      </c>
      <c r="C339" s="26">
        <f>Накл!J346</f>
        <v>0</v>
      </c>
      <c r="D339" s="33" t="str">
        <f t="array" ref="D339">CONCATENATE(IFERROR(INDEX(Накл!$C$9:$C$550,SMALL(IF(Накл!$B$9:$B$550=A339,ROW(Накл!$B$9:$B$550)-ROW(Накл!$B$9)+1),ROW(D339)-ROW(A339)+1)),"")," ",IFERROR(INDEX(Накл!$C$9:$C$550,SMALL(IF(Накл!$B$9:$B$550=A339,ROW(Накл!$B$9:$B$550)-ROW(Накл!$B$9)+1),ROW(D340)-ROW(A339)+1)),"")," ",IFERROR(INDEX(Накл!$C$9:$C$550,SMALL(IF(Накл!$B$9:$B$550=A339,ROW(Накл!$B$9:$B$550)-ROW(Накл!$B$9)+1),ROW(D341)-ROW(A339)+1)),"")," ",IFERROR(INDEX(Накл!$C$9:$C$550,SMALL(IF(Накл!$B$9:$B$550=A339,ROW(Накл!$B$9:$B$550)-ROW(Накл!$B$9)+1),ROW(D342)-ROW(A339)+1)),"")," ",IFERROR(INDEX(Накл!$C$9:$C$550,SMALL(IF(Накл!$B$9:$B$550=A339,ROW(Накл!$B$9:$B$550)-ROW(Накл!$B$9)+1),ROW(D343)-ROW(A339)+1)),"")," ",IFERROR(INDEX(Накл!$C$9:$C$550,SMALL(IF(Накл!$B$9:$B$550=A339,ROW(Накл!$B$9:$B$550)-ROW(Накл!$B$9)+1),ROW(D344)-ROW(A339)+1)),"")," ",IFERROR(INDEX(Накл!$C$9:$C$550,SMALL(IF(Накл!$B$9:$B$550=A339,ROW(Накл!$B$9:$B$550)-ROW(Накл!$B$9)+1),ROW(D345)-ROW(A339)+1)),"")," ",IFERROR(INDEX(Накл!$C$9:$C$550,SMALL(IF(Накл!$B$9:$B$550=A339,ROW(Накл!$B$9:$B$550)-ROW(Накл!$B$9)+1),ROW(D346)-ROW(A339)+1)),"")," ",IFERROR(INDEX(Накл!$C$9:$C$550,SMALL(IF(Накл!$B$9:$B$550=A339,ROW(Накл!$B$9:$B$550)-ROW(Накл!$B$9)+1),ROW(D347)-ROW(A339)+1)),"")," ",IFERROR(INDEX(Накл!$C$9:$C$550,SMALL(IF(Накл!$B$9:$B$550=A339,ROW(Накл!$B$9:$B$550)-ROW(Накл!$B$9)+1),ROW(D348)-ROW(A339)+1)),""))</f>
        <v xml:space="preserve">         </v>
      </c>
      <c r="E339" s="26" t="str">
        <f t="array" ref="E339">IF(LEN(D339)&lt;10,CONCATENATE(IFERROR(INDEX(Накл!$C$9:$C$550,SMALL(IF(Накл!$A$9:$A$550=VALUE(LEFT(A339,8)),ROW(Накл!$A$9:$A$550)-ROW(Накл!$A$9)+1),ROW(E339)-ROW(B339)+1)),"")," ",IFERROR(INDEX(Накл!$C$9:$C$550,SMALL(IF(Накл!$A$9:$A$550=VALUE(LEFT(A339,8)),ROW(Накл!$A$9:$A$550)-ROW(Накл!$A$9)+1),ROW(E340)-ROW(B339)+1)),"")," ",IFERROR(INDEX(Накл!$C$9:$C$550,SMALL(IF(Накл!$A$9:$A$550=VALUE(LEFT(A339,8)),ROW(Накл!$A$9:$A$550)-ROW(Накл!$A$9)+1),ROW(E341)-ROW(B339)+1)),"")," ",IFERROR(INDEX(Накл!$C$9:$C$550,SMALL(IF(Накл!$A$9:$A$550=VALUE(LEFT(A339,8)),ROW(Накл!$A$9:$A$550)-ROW(Накл!$A$9)+1),ROW(E342)-ROW(B339)+1)),"")),"")</f>
        <v xml:space="preserve">   </v>
      </c>
    </row>
    <row r="340" spans="1:5">
      <c r="A340" s="26" t="str">
        <f>IFERROR(CONCATENATE(VALUE(SUBSTITUTE(SUBSTITUTE(LEFT(Накл!G347,11),".",""),"-",""))," ",Накл!J347),"-")</f>
        <v>-</v>
      </c>
      <c r="B340" s="26" t="str">
        <f>IFERROR(VLOOKUP(VALUE(LEFT(A340,8)),Накл!$A$9:$D$550,4,0),"-")</f>
        <v>-</v>
      </c>
      <c r="C340" s="26">
        <f>Накл!J347</f>
        <v>0</v>
      </c>
      <c r="D340" s="33" t="str">
        <f t="array" ref="D340">CONCATENATE(IFERROR(INDEX(Накл!$C$9:$C$550,SMALL(IF(Накл!$B$9:$B$550=A340,ROW(Накл!$B$9:$B$550)-ROW(Накл!$B$9)+1),ROW(D340)-ROW(A340)+1)),"")," ",IFERROR(INDEX(Накл!$C$9:$C$550,SMALL(IF(Накл!$B$9:$B$550=A340,ROW(Накл!$B$9:$B$550)-ROW(Накл!$B$9)+1),ROW(D341)-ROW(A340)+1)),"")," ",IFERROR(INDEX(Накл!$C$9:$C$550,SMALL(IF(Накл!$B$9:$B$550=A340,ROW(Накл!$B$9:$B$550)-ROW(Накл!$B$9)+1),ROW(D342)-ROW(A340)+1)),"")," ",IFERROR(INDEX(Накл!$C$9:$C$550,SMALL(IF(Накл!$B$9:$B$550=A340,ROW(Накл!$B$9:$B$550)-ROW(Накл!$B$9)+1),ROW(D343)-ROW(A340)+1)),"")," ",IFERROR(INDEX(Накл!$C$9:$C$550,SMALL(IF(Накл!$B$9:$B$550=A340,ROW(Накл!$B$9:$B$550)-ROW(Накл!$B$9)+1),ROW(D344)-ROW(A340)+1)),"")," ",IFERROR(INDEX(Накл!$C$9:$C$550,SMALL(IF(Накл!$B$9:$B$550=A340,ROW(Накл!$B$9:$B$550)-ROW(Накл!$B$9)+1),ROW(D345)-ROW(A340)+1)),"")," ",IFERROR(INDEX(Накл!$C$9:$C$550,SMALL(IF(Накл!$B$9:$B$550=A340,ROW(Накл!$B$9:$B$550)-ROW(Накл!$B$9)+1),ROW(D346)-ROW(A340)+1)),"")," ",IFERROR(INDEX(Накл!$C$9:$C$550,SMALL(IF(Накл!$B$9:$B$550=A340,ROW(Накл!$B$9:$B$550)-ROW(Накл!$B$9)+1),ROW(D347)-ROW(A340)+1)),"")," ",IFERROR(INDEX(Накл!$C$9:$C$550,SMALL(IF(Накл!$B$9:$B$550=A340,ROW(Накл!$B$9:$B$550)-ROW(Накл!$B$9)+1),ROW(D348)-ROW(A340)+1)),"")," ",IFERROR(INDEX(Накл!$C$9:$C$550,SMALL(IF(Накл!$B$9:$B$550=A340,ROW(Накл!$B$9:$B$550)-ROW(Накл!$B$9)+1),ROW(D349)-ROW(A340)+1)),""))</f>
        <v xml:space="preserve">         </v>
      </c>
      <c r="E340" s="26" t="str">
        <f t="array" ref="E340">IF(LEN(D340)&lt;10,CONCATENATE(IFERROR(INDEX(Накл!$C$9:$C$550,SMALL(IF(Накл!$A$9:$A$550=VALUE(LEFT(A340,8)),ROW(Накл!$A$9:$A$550)-ROW(Накл!$A$9)+1),ROW(E340)-ROW(B340)+1)),"")," ",IFERROR(INDEX(Накл!$C$9:$C$550,SMALL(IF(Накл!$A$9:$A$550=VALUE(LEFT(A340,8)),ROW(Накл!$A$9:$A$550)-ROW(Накл!$A$9)+1),ROW(E341)-ROW(B340)+1)),"")," ",IFERROR(INDEX(Накл!$C$9:$C$550,SMALL(IF(Накл!$A$9:$A$550=VALUE(LEFT(A340,8)),ROW(Накл!$A$9:$A$550)-ROW(Накл!$A$9)+1),ROW(E342)-ROW(B340)+1)),"")," ",IFERROR(INDEX(Накл!$C$9:$C$550,SMALL(IF(Накл!$A$9:$A$550=VALUE(LEFT(A340,8)),ROW(Накл!$A$9:$A$550)-ROW(Накл!$A$9)+1),ROW(E343)-ROW(B340)+1)),"")),"")</f>
        <v xml:space="preserve">   </v>
      </c>
    </row>
    <row r="341" spans="1:5">
      <c r="A341" s="26" t="str">
        <f>IFERROR(CONCATENATE(VALUE(SUBSTITUTE(SUBSTITUTE(LEFT(Накл!G348,11),".",""),"-",""))," ",Накл!J348),"-")</f>
        <v>-</v>
      </c>
      <c r="B341" s="26" t="str">
        <f>IFERROR(VLOOKUP(VALUE(LEFT(A341,8)),Накл!$A$9:$D$550,4,0),"-")</f>
        <v>-</v>
      </c>
      <c r="C341" s="26">
        <f>Накл!J348</f>
        <v>0</v>
      </c>
      <c r="D341" s="33" t="str">
        <f t="array" ref="D341">CONCATENATE(IFERROR(INDEX(Накл!$C$9:$C$550,SMALL(IF(Накл!$B$9:$B$550=A341,ROW(Накл!$B$9:$B$550)-ROW(Накл!$B$9)+1),ROW(D341)-ROW(A341)+1)),"")," ",IFERROR(INDEX(Накл!$C$9:$C$550,SMALL(IF(Накл!$B$9:$B$550=A341,ROW(Накл!$B$9:$B$550)-ROW(Накл!$B$9)+1),ROW(D342)-ROW(A341)+1)),"")," ",IFERROR(INDEX(Накл!$C$9:$C$550,SMALL(IF(Накл!$B$9:$B$550=A341,ROW(Накл!$B$9:$B$550)-ROW(Накл!$B$9)+1),ROW(D343)-ROW(A341)+1)),"")," ",IFERROR(INDEX(Накл!$C$9:$C$550,SMALL(IF(Накл!$B$9:$B$550=A341,ROW(Накл!$B$9:$B$550)-ROW(Накл!$B$9)+1),ROW(D344)-ROW(A341)+1)),"")," ",IFERROR(INDEX(Накл!$C$9:$C$550,SMALL(IF(Накл!$B$9:$B$550=A341,ROW(Накл!$B$9:$B$550)-ROW(Накл!$B$9)+1),ROW(D345)-ROW(A341)+1)),"")," ",IFERROR(INDEX(Накл!$C$9:$C$550,SMALL(IF(Накл!$B$9:$B$550=A341,ROW(Накл!$B$9:$B$550)-ROW(Накл!$B$9)+1),ROW(D346)-ROW(A341)+1)),"")," ",IFERROR(INDEX(Накл!$C$9:$C$550,SMALL(IF(Накл!$B$9:$B$550=A341,ROW(Накл!$B$9:$B$550)-ROW(Накл!$B$9)+1),ROW(D347)-ROW(A341)+1)),"")," ",IFERROR(INDEX(Накл!$C$9:$C$550,SMALL(IF(Накл!$B$9:$B$550=A341,ROW(Накл!$B$9:$B$550)-ROW(Накл!$B$9)+1),ROW(D348)-ROW(A341)+1)),"")," ",IFERROR(INDEX(Накл!$C$9:$C$550,SMALL(IF(Накл!$B$9:$B$550=A341,ROW(Накл!$B$9:$B$550)-ROW(Накл!$B$9)+1),ROW(D349)-ROW(A341)+1)),"")," ",IFERROR(INDEX(Накл!$C$9:$C$550,SMALL(IF(Накл!$B$9:$B$550=A341,ROW(Накл!$B$9:$B$550)-ROW(Накл!$B$9)+1),ROW(D350)-ROW(A341)+1)),""))</f>
        <v xml:space="preserve">         </v>
      </c>
      <c r="E341" s="26" t="str">
        <f t="array" ref="E341">IF(LEN(D341)&lt;10,CONCATENATE(IFERROR(INDEX(Накл!$C$9:$C$550,SMALL(IF(Накл!$A$9:$A$550=VALUE(LEFT(A341,8)),ROW(Накл!$A$9:$A$550)-ROW(Накл!$A$9)+1),ROW(E341)-ROW(B341)+1)),"")," ",IFERROR(INDEX(Накл!$C$9:$C$550,SMALL(IF(Накл!$A$9:$A$550=VALUE(LEFT(A341,8)),ROW(Накл!$A$9:$A$550)-ROW(Накл!$A$9)+1),ROW(E342)-ROW(B341)+1)),"")," ",IFERROR(INDEX(Накл!$C$9:$C$550,SMALL(IF(Накл!$A$9:$A$550=VALUE(LEFT(A341,8)),ROW(Накл!$A$9:$A$550)-ROW(Накл!$A$9)+1),ROW(E343)-ROW(B341)+1)),"")," ",IFERROR(INDEX(Накл!$C$9:$C$550,SMALL(IF(Накл!$A$9:$A$550=VALUE(LEFT(A341,8)),ROW(Накл!$A$9:$A$550)-ROW(Накл!$A$9)+1),ROW(E344)-ROW(B341)+1)),"")),"")</f>
        <v xml:space="preserve">   </v>
      </c>
    </row>
    <row r="342" spans="1:5">
      <c r="A342" s="26" t="str">
        <f>IFERROR(CONCATENATE(VALUE(SUBSTITUTE(SUBSTITUTE(LEFT(Накл!G349,11),".",""),"-",""))," ",Накл!J349),"-")</f>
        <v>-</v>
      </c>
      <c r="B342" s="26" t="str">
        <f>IFERROR(VLOOKUP(VALUE(LEFT(A342,8)),Накл!$A$9:$D$550,4,0),"-")</f>
        <v>-</v>
      </c>
      <c r="C342" s="26">
        <f>Накл!J349</f>
        <v>0</v>
      </c>
      <c r="D342" s="33" t="str">
        <f t="array" ref="D342">CONCATENATE(IFERROR(INDEX(Накл!$C$9:$C$550,SMALL(IF(Накл!$B$9:$B$550=A342,ROW(Накл!$B$9:$B$550)-ROW(Накл!$B$9)+1),ROW(D342)-ROW(A342)+1)),"")," ",IFERROR(INDEX(Накл!$C$9:$C$550,SMALL(IF(Накл!$B$9:$B$550=A342,ROW(Накл!$B$9:$B$550)-ROW(Накл!$B$9)+1),ROW(D343)-ROW(A342)+1)),"")," ",IFERROR(INDEX(Накл!$C$9:$C$550,SMALL(IF(Накл!$B$9:$B$550=A342,ROW(Накл!$B$9:$B$550)-ROW(Накл!$B$9)+1),ROW(D344)-ROW(A342)+1)),"")," ",IFERROR(INDEX(Накл!$C$9:$C$550,SMALL(IF(Накл!$B$9:$B$550=A342,ROW(Накл!$B$9:$B$550)-ROW(Накл!$B$9)+1),ROW(D345)-ROW(A342)+1)),"")," ",IFERROR(INDEX(Накл!$C$9:$C$550,SMALL(IF(Накл!$B$9:$B$550=A342,ROW(Накл!$B$9:$B$550)-ROW(Накл!$B$9)+1),ROW(D346)-ROW(A342)+1)),"")," ",IFERROR(INDEX(Накл!$C$9:$C$550,SMALL(IF(Накл!$B$9:$B$550=A342,ROW(Накл!$B$9:$B$550)-ROW(Накл!$B$9)+1),ROW(D347)-ROW(A342)+1)),"")," ",IFERROR(INDEX(Накл!$C$9:$C$550,SMALL(IF(Накл!$B$9:$B$550=A342,ROW(Накл!$B$9:$B$550)-ROW(Накл!$B$9)+1),ROW(D348)-ROW(A342)+1)),"")," ",IFERROR(INDEX(Накл!$C$9:$C$550,SMALL(IF(Накл!$B$9:$B$550=A342,ROW(Накл!$B$9:$B$550)-ROW(Накл!$B$9)+1),ROW(D349)-ROW(A342)+1)),"")," ",IFERROR(INDEX(Накл!$C$9:$C$550,SMALL(IF(Накл!$B$9:$B$550=A342,ROW(Накл!$B$9:$B$550)-ROW(Накл!$B$9)+1),ROW(D350)-ROW(A342)+1)),"")," ",IFERROR(INDEX(Накл!$C$9:$C$550,SMALL(IF(Накл!$B$9:$B$550=A342,ROW(Накл!$B$9:$B$550)-ROW(Накл!$B$9)+1),ROW(D351)-ROW(A342)+1)),""))</f>
        <v xml:space="preserve">         </v>
      </c>
      <c r="E342" s="26" t="str">
        <f t="array" ref="E342">IF(LEN(D342)&lt;10,CONCATENATE(IFERROR(INDEX(Накл!$C$9:$C$550,SMALL(IF(Накл!$A$9:$A$550=VALUE(LEFT(A342,8)),ROW(Накл!$A$9:$A$550)-ROW(Накл!$A$9)+1),ROW(E342)-ROW(B342)+1)),"")," ",IFERROR(INDEX(Накл!$C$9:$C$550,SMALL(IF(Накл!$A$9:$A$550=VALUE(LEFT(A342,8)),ROW(Накл!$A$9:$A$550)-ROW(Накл!$A$9)+1),ROW(E343)-ROW(B342)+1)),"")," ",IFERROR(INDEX(Накл!$C$9:$C$550,SMALL(IF(Накл!$A$9:$A$550=VALUE(LEFT(A342,8)),ROW(Накл!$A$9:$A$550)-ROW(Накл!$A$9)+1),ROW(E344)-ROW(B342)+1)),"")," ",IFERROR(INDEX(Накл!$C$9:$C$550,SMALL(IF(Накл!$A$9:$A$550=VALUE(LEFT(A342,8)),ROW(Накл!$A$9:$A$550)-ROW(Накл!$A$9)+1),ROW(E345)-ROW(B342)+1)),"")),"")</f>
        <v xml:space="preserve">   </v>
      </c>
    </row>
    <row r="343" spans="1:5">
      <c r="A343" s="26" t="str">
        <f>IFERROR(CONCATENATE(VALUE(SUBSTITUTE(SUBSTITUTE(LEFT(Накл!G350,11),".",""),"-",""))," ",Накл!J350),"-")</f>
        <v>-</v>
      </c>
      <c r="B343" s="26" t="str">
        <f>IFERROR(VLOOKUP(VALUE(LEFT(A343,8)),Накл!$A$9:$D$550,4,0),"-")</f>
        <v>-</v>
      </c>
      <c r="C343" s="26">
        <f>Накл!J350</f>
        <v>0</v>
      </c>
      <c r="D343" s="33" t="str">
        <f t="array" ref="D343">CONCATENATE(IFERROR(INDEX(Накл!$C$9:$C$550,SMALL(IF(Накл!$B$9:$B$550=A343,ROW(Накл!$B$9:$B$550)-ROW(Накл!$B$9)+1),ROW(D343)-ROW(A343)+1)),"")," ",IFERROR(INDEX(Накл!$C$9:$C$550,SMALL(IF(Накл!$B$9:$B$550=A343,ROW(Накл!$B$9:$B$550)-ROW(Накл!$B$9)+1),ROW(D344)-ROW(A343)+1)),"")," ",IFERROR(INDEX(Накл!$C$9:$C$550,SMALL(IF(Накл!$B$9:$B$550=A343,ROW(Накл!$B$9:$B$550)-ROW(Накл!$B$9)+1),ROW(D345)-ROW(A343)+1)),"")," ",IFERROR(INDEX(Накл!$C$9:$C$550,SMALL(IF(Накл!$B$9:$B$550=A343,ROW(Накл!$B$9:$B$550)-ROW(Накл!$B$9)+1),ROW(D346)-ROW(A343)+1)),"")," ",IFERROR(INDEX(Накл!$C$9:$C$550,SMALL(IF(Накл!$B$9:$B$550=A343,ROW(Накл!$B$9:$B$550)-ROW(Накл!$B$9)+1),ROW(D347)-ROW(A343)+1)),"")," ",IFERROR(INDEX(Накл!$C$9:$C$550,SMALL(IF(Накл!$B$9:$B$550=A343,ROW(Накл!$B$9:$B$550)-ROW(Накл!$B$9)+1),ROW(D348)-ROW(A343)+1)),"")," ",IFERROR(INDEX(Накл!$C$9:$C$550,SMALL(IF(Накл!$B$9:$B$550=A343,ROW(Накл!$B$9:$B$550)-ROW(Накл!$B$9)+1),ROW(D349)-ROW(A343)+1)),"")," ",IFERROR(INDEX(Накл!$C$9:$C$550,SMALL(IF(Накл!$B$9:$B$550=A343,ROW(Накл!$B$9:$B$550)-ROW(Накл!$B$9)+1),ROW(D350)-ROW(A343)+1)),"")," ",IFERROR(INDEX(Накл!$C$9:$C$550,SMALL(IF(Накл!$B$9:$B$550=A343,ROW(Накл!$B$9:$B$550)-ROW(Накл!$B$9)+1),ROW(D351)-ROW(A343)+1)),"")," ",IFERROR(INDEX(Накл!$C$9:$C$550,SMALL(IF(Накл!$B$9:$B$550=A343,ROW(Накл!$B$9:$B$550)-ROW(Накл!$B$9)+1),ROW(D352)-ROW(A343)+1)),""))</f>
        <v xml:space="preserve">         </v>
      </c>
      <c r="E343" s="26" t="str">
        <f t="array" ref="E343">IF(LEN(D343)&lt;10,CONCATENATE(IFERROR(INDEX(Накл!$C$9:$C$550,SMALL(IF(Накл!$A$9:$A$550=VALUE(LEFT(A343,8)),ROW(Накл!$A$9:$A$550)-ROW(Накл!$A$9)+1),ROW(E343)-ROW(B343)+1)),"")," ",IFERROR(INDEX(Накл!$C$9:$C$550,SMALL(IF(Накл!$A$9:$A$550=VALUE(LEFT(A343,8)),ROW(Накл!$A$9:$A$550)-ROW(Накл!$A$9)+1),ROW(E344)-ROW(B343)+1)),"")," ",IFERROR(INDEX(Накл!$C$9:$C$550,SMALL(IF(Накл!$A$9:$A$550=VALUE(LEFT(A343,8)),ROW(Накл!$A$9:$A$550)-ROW(Накл!$A$9)+1),ROW(E345)-ROW(B343)+1)),"")," ",IFERROR(INDEX(Накл!$C$9:$C$550,SMALL(IF(Накл!$A$9:$A$550=VALUE(LEFT(A343,8)),ROW(Накл!$A$9:$A$550)-ROW(Накл!$A$9)+1),ROW(E346)-ROW(B343)+1)),"")),"")</f>
        <v xml:space="preserve">   </v>
      </c>
    </row>
    <row r="344" spans="1:5">
      <c r="A344" s="26" t="str">
        <f>IFERROR(CONCATENATE(VALUE(SUBSTITUTE(SUBSTITUTE(LEFT(Накл!G351,11),".",""),"-",""))," ",Накл!J351),"-")</f>
        <v>-</v>
      </c>
      <c r="B344" s="26" t="str">
        <f>IFERROR(VLOOKUP(VALUE(LEFT(A344,8)),Накл!$A$9:$D$550,4,0),"-")</f>
        <v>-</v>
      </c>
      <c r="C344" s="26">
        <f>Накл!J351</f>
        <v>0</v>
      </c>
      <c r="D344" s="33" t="str">
        <f t="array" ref="D344">CONCATENATE(IFERROR(INDEX(Накл!$C$9:$C$550,SMALL(IF(Накл!$B$9:$B$550=A344,ROW(Накл!$B$9:$B$550)-ROW(Накл!$B$9)+1),ROW(D344)-ROW(A344)+1)),"")," ",IFERROR(INDEX(Накл!$C$9:$C$550,SMALL(IF(Накл!$B$9:$B$550=A344,ROW(Накл!$B$9:$B$550)-ROW(Накл!$B$9)+1),ROW(D345)-ROW(A344)+1)),"")," ",IFERROR(INDEX(Накл!$C$9:$C$550,SMALL(IF(Накл!$B$9:$B$550=A344,ROW(Накл!$B$9:$B$550)-ROW(Накл!$B$9)+1),ROW(D346)-ROW(A344)+1)),"")," ",IFERROR(INDEX(Накл!$C$9:$C$550,SMALL(IF(Накл!$B$9:$B$550=A344,ROW(Накл!$B$9:$B$550)-ROW(Накл!$B$9)+1),ROW(D347)-ROW(A344)+1)),"")," ",IFERROR(INDEX(Накл!$C$9:$C$550,SMALL(IF(Накл!$B$9:$B$550=A344,ROW(Накл!$B$9:$B$550)-ROW(Накл!$B$9)+1),ROW(D348)-ROW(A344)+1)),"")," ",IFERROR(INDEX(Накл!$C$9:$C$550,SMALL(IF(Накл!$B$9:$B$550=A344,ROW(Накл!$B$9:$B$550)-ROW(Накл!$B$9)+1),ROW(D349)-ROW(A344)+1)),"")," ",IFERROR(INDEX(Накл!$C$9:$C$550,SMALL(IF(Накл!$B$9:$B$550=A344,ROW(Накл!$B$9:$B$550)-ROW(Накл!$B$9)+1),ROW(D350)-ROW(A344)+1)),"")," ",IFERROR(INDEX(Накл!$C$9:$C$550,SMALL(IF(Накл!$B$9:$B$550=A344,ROW(Накл!$B$9:$B$550)-ROW(Накл!$B$9)+1),ROW(D351)-ROW(A344)+1)),"")," ",IFERROR(INDEX(Накл!$C$9:$C$550,SMALL(IF(Накл!$B$9:$B$550=A344,ROW(Накл!$B$9:$B$550)-ROW(Накл!$B$9)+1),ROW(D352)-ROW(A344)+1)),"")," ",IFERROR(INDEX(Накл!$C$9:$C$550,SMALL(IF(Накл!$B$9:$B$550=A344,ROW(Накл!$B$9:$B$550)-ROW(Накл!$B$9)+1),ROW(D353)-ROW(A344)+1)),""))</f>
        <v xml:space="preserve">         </v>
      </c>
      <c r="E344" s="26" t="str">
        <f t="array" ref="E344">IF(LEN(D344)&lt;10,CONCATENATE(IFERROR(INDEX(Накл!$C$9:$C$550,SMALL(IF(Накл!$A$9:$A$550=VALUE(LEFT(A344,8)),ROW(Накл!$A$9:$A$550)-ROW(Накл!$A$9)+1),ROW(E344)-ROW(B344)+1)),"")," ",IFERROR(INDEX(Накл!$C$9:$C$550,SMALL(IF(Накл!$A$9:$A$550=VALUE(LEFT(A344,8)),ROW(Накл!$A$9:$A$550)-ROW(Накл!$A$9)+1),ROW(E345)-ROW(B344)+1)),"")," ",IFERROR(INDEX(Накл!$C$9:$C$550,SMALL(IF(Накл!$A$9:$A$550=VALUE(LEFT(A344,8)),ROW(Накл!$A$9:$A$550)-ROW(Накл!$A$9)+1),ROW(E346)-ROW(B344)+1)),"")," ",IFERROR(INDEX(Накл!$C$9:$C$550,SMALL(IF(Накл!$A$9:$A$550=VALUE(LEFT(A344,8)),ROW(Накл!$A$9:$A$550)-ROW(Накл!$A$9)+1),ROW(E347)-ROW(B344)+1)),"")),"")</f>
        <v xml:space="preserve">   </v>
      </c>
    </row>
    <row r="345" spans="1:5">
      <c r="A345" s="26" t="str">
        <f>IFERROR(CONCATENATE(VALUE(SUBSTITUTE(SUBSTITUTE(LEFT(Накл!G352,11),".",""),"-",""))," ",Накл!J352),"-")</f>
        <v>-</v>
      </c>
      <c r="B345" s="26" t="str">
        <f>IFERROR(VLOOKUP(VALUE(LEFT(A345,8)),Накл!$A$9:$D$550,4,0),"-")</f>
        <v>-</v>
      </c>
      <c r="C345" s="26">
        <f>Накл!J352</f>
        <v>0</v>
      </c>
      <c r="D345" s="33" t="str">
        <f t="array" ref="D345">CONCATENATE(IFERROR(INDEX(Накл!$C$9:$C$550,SMALL(IF(Накл!$B$9:$B$550=A345,ROW(Накл!$B$9:$B$550)-ROW(Накл!$B$9)+1),ROW(D345)-ROW(A345)+1)),"")," ",IFERROR(INDEX(Накл!$C$9:$C$550,SMALL(IF(Накл!$B$9:$B$550=A345,ROW(Накл!$B$9:$B$550)-ROW(Накл!$B$9)+1),ROW(D346)-ROW(A345)+1)),"")," ",IFERROR(INDEX(Накл!$C$9:$C$550,SMALL(IF(Накл!$B$9:$B$550=A345,ROW(Накл!$B$9:$B$550)-ROW(Накл!$B$9)+1),ROW(D347)-ROW(A345)+1)),"")," ",IFERROR(INDEX(Накл!$C$9:$C$550,SMALL(IF(Накл!$B$9:$B$550=A345,ROW(Накл!$B$9:$B$550)-ROW(Накл!$B$9)+1),ROW(D348)-ROW(A345)+1)),"")," ",IFERROR(INDEX(Накл!$C$9:$C$550,SMALL(IF(Накл!$B$9:$B$550=A345,ROW(Накл!$B$9:$B$550)-ROW(Накл!$B$9)+1),ROW(D349)-ROW(A345)+1)),"")," ",IFERROR(INDEX(Накл!$C$9:$C$550,SMALL(IF(Накл!$B$9:$B$550=A345,ROW(Накл!$B$9:$B$550)-ROW(Накл!$B$9)+1),ROW(D350)-ROW(A345)+1)),"")," ",IFERROR(INDEX(Накл!$C$9:$C$550,SMALL(IF(Накл!$B$9:$B$550=A345,ROW(Накл!$B$9:$B$550)-ROW(Накл!$B$9)+1),ROW(D351)-ROW(A345)+1)),"")," ",IFERROR(INDEX(Накл!$C$9:$C$550,SMALL(IF(Накл!$B$9:$B$550=A345,ROW(Накл!$B$9:$B$550)-ROW(Накл!$B$9)+1),ROW(D352)-ROW(A345)+1)),"")," ",IFERROR(INDEX(Накл!$C$9:$C$550,SMALL(IF(Накл!$B$9:$B$550=A345,ROW(Накл!$B$9:$B$550)-ROW(Накл!$B$9)+1),ROW(D353)-ROW(A345)+1)),"")," ",IFERROR(INDEX(Накл!$C$9:$C$550,SMALL(IF(Накл!$B$9:$B$550=A345,ROW(Накл!$B$9:$B$550)-ROW(Накл!$B$9)+1),ROW(D354)-ROW(A345)+1)),""))</f>
        <v xml:space="preserve">         </v>
      </c>
      <c r="E345" s="26" t="str">
        <f t="array" ref="E345">IF(LEN(D345)&lt;10,CONCATENATE(IFERROR(INDEX(Накл!$C$9:$C$550,SMALL(IF(Накл!$A$9:$A$550=VALUE(LEFT(A345,8)),ROW(Накл!$A$9:$A$550)-ROW(Накл!$A$9)+1),ROW(E345)-ROW(B345)+1)),"")," ",IFERROR(INDEX(Накл!$C$9:$C$550,SMALL(IF(Накл!$A$9:$A$550=VALUE(LEFT(A345,8)),ROW(Накл!$A$9:$A$550)-ROW(Накл!$A$9)+1),ROW(E346)-ROW(B345)+1)),"")," ",IFERROR(INDEX(Накл!$C$9:$C$550,SMALL(IF(Накл!$A$9:$A$550=VALUE(LEFT(A345,8)),ROW(Накл!$A$9:$A$550)-ROW(Накл!$A$9)+1),ROW(E347)-ROW(B345)+1)),"")," ",IFERROR(INDEX(Накл!$C$9:$C$550,SMALL(IF(Накл!$A$9:$A$550=VALUE(LEFT(A345,8)),ROW(Накл!$A$9:$A$550)-ROW(Накл!$A$9)+1),ROW(E348)-ROW(B345)+1)),"")),"")</f>
        <v xml:space="preserve">   </v>
      </c>
    </row>
    <row r="346" spans="1:5">
      <c r="A346" s="26" t="str">
        <f>IFERROR(CONCATENATE(VALUE(SUBSTITUTE(SUBSTITUTE(LEFT(Накл!G353,11),".",""),"-",""))," ",Накл!J353),"-")</f>
        <v>-</v>
      </c>
      <c r="B346" s="26" t="str">
        <f>IFERROR(VLOOKUP(VALUE(LEFT(A346,8)),Накл!$A$9:$D$550,4,0),"-")</f>
        <v>-</v>
      </c>
      <c r="C346" s="26">
        <f>Накл!J353</f>
        <v>0</v>
      </c>
      <c r="D346" s="33" t="str">
        <f t="array" ref="D346">CONCATENATE(IFERROR(INDEX(Накл!$C$9:$C$550,SMALL(IF(Накл!$B$9:$B$550=A346,ROW(Накл!$B$9:$B$550)-ROW(Накл!$B$9)+1),ROW(D346)-ROW(A346)+1)),"")," ",IFERROR(INDEX(Накл!$C$9:$C$550,SMALL(IF(Накл!$B$9:$B$550=A346,ROW(Накл!$B$9:$B$550)-ROW(Накл!$B$9)+1),ROW(D347)-ROW(A346)+1)),"")," ",IFERROR(INDEX(Накл!$C$9:$C$550,SMALL(IF(Накл!$B$9:$B$550=A346,ROW(Накл!$B$9:$B$550)-ROW(Накл!$B$9)+1),ROW(D348)-ROW(A346)+1)),"")," ",IFERROR(INDEX(Накл!$C$9:$C$550,SMALL(IF(Накл!$B$9:$B$550=A346,ROW(Накл!$B$9:$B$550)-ROW(Накл!$B$9)+1),ROW(D349)-ROW(A346)+1)),"")," ",IFERROR(INDEX(Накл!$C$9:$C$550,SMALL(IF(Накл!$B$9:$B$550=A346,ROW(Накл!$B$9:$B$550)-ROW(Накл!$B$9)+1),ROW(D350)-ROW(A346)+1)),"")," ",IFERROR(INDEX(Накл!$C$9:$C$550,SMALL(IF(Накл!$B$9:$B$550=A346,ROW(Накл!$B$9:$B$550)-ROW(Накл!$B$9)+1),ROW(D351)-ROW(A346)+1)),"")," ",IFERROR(INDEX(Накл!$C$9:$C$550,SMALL(IF(Накл!$B$9:$B$550=A346,ROW(Накл!$B$9:$B$550)-ROW(Накл!$B$9)+1),ROW(D352)-ROW(A346)+1)),"")," ",IFERROR(INDEX(Накл!$C$9:$C$550,SMALL(IF(Накл!$B$9:$B$550=A346,ROW(Накл!$B$9:$B$550)-ROW(Накл!$B$9)+1),ROW(D353)-ROW(A346)+1)),"")," ",IFERROR(INDEX(Накл!$C$9:$C$550,SMALL(IF(Накл!$B$9:$B$550=A346,ROW(Накл!$B$9:$B$550)-ROW(Накл!$B$9)+1),ROW(D354)-ROW(A346)+1)),"")," ",IFERROR(INDEX(Накл!$C$9:$C$550,SMALL(IF(Накл!$B$9:$B$550=A346,ROW(Накл!$B$9:$B$550)-ROW(Накл!$B$9)+1),ROW(D355)-ROW(A346)+1)),""))</f>
        <v xml:space="preserve">         </v>
      </c>
      <c r="E346" s="26" t="str">
        <f t="array" ref="E346">IF(LEN(D346)&lt;10,CONCATENATE(IFERROR(INDEX(Накл!$C$9:$C$550,SMALL(IF(Накл!$A$9:$A$550=VALUE(LEFT(A346,8)),ROW(Накл!$A$9:$A$550)-ROW(Накл!$A$9)+1),ROW(E346)-ROW(B346)+1)),"")," ",IFERROR(INDEX(Накл!$C$9:$C$550,SMALL(IF(Накл!$A$9:$A$550=VALUE(LEFT(A346,8)),ROW(Накл!$A$9:$A$550)-ROW(Накл!$A$9)+1),ROW(E347)-ROW(B346)+1)),"")," ",IFERROR(INDEX(Накл!$C$9:$C$550,SMALL(IF(Накл!$A$9:$A$550=VALUE(LEFT(A346,8)),ROW(Накл!$A$9:$A$550)-ROW(Накл!$A$9)+1),ROW(E348)-ROW(B346)+1)),"")," ",IFERROR(INDEX(Накл!$C$9:$C$550,SMALL(IF(Накл!$A$9:$A$550=VALUE(LEFT(A346,8)),ROW(Накл!$A$9:$A$550)-ROW(Накл!$A$9)+1),ROW(E349)-ROW(B346)+1)),"")),"")</f>
        <v xml:space="preserve">   </v>
      </c>
    </row>
    <row r="347" spans="1:5">
      <c r="A347" s="26" t="str">
        <f>IFERROR(CONCATENATE(VALUE(SUBSTITUTE(SUBSTITUTE(LEFT(Накл!G354,11),".",""),"-",""))," ",Накл!J354),"-")</f>
        <v>-</v>
      </c>
      <c r="B347" s="26" t="str">
        <f>IFERROR(VLOOKUP(VALUE(LEFT(A347,8)),Накл!$A$9:$D$550,4,0),"-")</f>
        <v>-</v>
      </c>
      <c r="C347" s="26">
        <f>Накл!J354</f>
        <v>0</v>
      </c>
      <c r="D347" s="33" t="str">
        <f t="array" ref="D347">CONCATENATE(IFERROR(INDEX(Накл!$C$9:$C$550,SMALL(IF(Накл!$B$9:$B$550=A347,ROW(Накл!$B$9:$B$550)-ROW(Накл!$B$9)+1),ROW(D347)-ROW(A347)+1)),"")," ",IFERROR(INDEX(Накл!$C$9:$C$550,SMALL(IF(Накл!$B$9:$B$550=A347,ROW(Накл!$B$9:$B$550)-ROW(Накл!$B$9)+1),ROW(D348)-ROW(A347)+1)),"")," ",IFERROR(INDEX(Накл!$C$9:$C$550,SMALL(IF(Накл!$B$9:$B$550=A347,ROW(Накл!$B$9:$B$550)-ROW(Накл!$B$9)+1),ROW(D349)-ROW(A347)+1)),"")," ",IFERROR(INDEX(Накл!$C$9:$C$550,SMALL(IF(Накл!$B$9:$B$550=A347,ROW(Накл!$B$9:$B$550)-ROW(Накл!$B$9)+1),ROW(D350)-ROW(A347)+1)),"")," ",IFERROR(INDEX(Накл!$C$9:$C$550,SMALL(IF(Накл!$B$9:$B$550=A347,ROW(Накл!$B$9:$B$550)-ROW(Накл!$B$9)+1),ROW(D351)-ROW(A347)+1)),"")," ",IFERROR(INDEX(Накл!$C$9:$C$550,SMALL(IF(Накл!$B$9:$B$550=A347,ROW(Накл!$B$9:$B$550)-ROW(Накл!$B$9)+1),ROW(D352)-ROW(A347)+1)),"")," ",IFERROR(INDEX(Накл!$C$9:$C$550,SMALL(IF(Накл!$B$9:$B$550=A347,ROW(Накл!$B$9:$B$550)-ROW(Накл!$B$9)+1),ROW(D353)-ROW(A347)+1)),"")," ",IFERROR(INDEX(Накл!$C$9:$C$550,SMALL(IF(Накл!$B$9:$B$550=A347,ROW(Накл!$B$9:$B$550)-ROW(Накл!$B$9)+1),ROW(D354)-ROW(A347)+1)),"")," ",IFERROR(INDEX(Накл!$C$9:$C$550,SMALL(IF(Накл!$B$9:$B$550=A347,ROW(Накл!$B$9:$B$550)-ROW(Накл!$B$9)+1),ROW(D355)-ROW(A347)+1)),"")," ",IFERROR(INDEX(Накл!$C$9:$C$550,SMALL(IF(Накл!$B$9:$B$550=A347,ROW(Накл!$B$9:$B$550)-ROW(Накл!$B$9)+1),ROW(D356)-ROW(A347)+1)),""))</f>
        <v xml:space="preserve">         </v>
      </c>
      <c r="E347" s="26" t="str">
        <f t="array" ref="E347">IF(LEN(D347)&lt;10,CONCATENATE(IFERROR(INDEX(Накл!$C$9:$C$550,SMALL(IF(Накл!$A$9:$A$550=VALUE(LEFT(A347,8)),ROW(Накл!$A$9:$A$550)-ROW(Накл!$A$9)+1),ROW(E347)-ROW(B347)+1)),"")," ",IFERROR(INDEX(Накл!$C$9:$C$550,SMALL(IF(Накл!$A$9:$A$550=VALUE(LEFT(A347,8)),ROW(Накл!$A$9:$A$550)-ROW(Накл!$A$9)+1),ROW(E348)-ROW(B347)+1)),"")," ",IFERROR(INDEX(Накл!$C$9:$C$550,SMALL(IF(Накл!$A$9:$A$550=VALUE(LEFT(A347,8)),ROW(Накл!$A$9:$A$550)-ROW(Накл!$A$9)+1),ROW(E349)-ROW(B347)+1)),"")," ",IFERROR(INDEX(Накл!$C$9:$C$550,SMALL(IF(Накл!$A$9:$A$550=VALUE(LEFT(A347,8)),ROW(Накл!$A$9:$A$550)-ROW(Накл!$A$9)+1),ROW(E350)-ROW(B347)+1)),"")),"")</f>
        <v xml:space="preserve">   </v>
      </c>
    </row>
    <row r="348" spans="1:5">
      <c r="A348" s="26" t="str">
        <f>IFERROR(CONCATENATE(VALUE(SUBSTITUTE(SUBSTITUTE(LEFT(Накл!G355,11),".",""),"-",""))," ",Накл!J355),"-")</f>
        <v>-</v>
      </c>
      <c r="B348" s="26" t="str">
        <f>IFERROR(VLOOKUP(VALUE(LEFT(A348,8)),Накл!$A$9:$D$550,4,0),"-")</f>
        <v>-</v>
      </c>
      <c r="C348" s="26">
        <f>Накл!J355</f>
        <v>0</v>
      </c>
      <c r="D348" s="33" t="str">
        <f t="array" ref="D348">CONCATENATE(IFERROR(INDEX(Накл!$C$9:$C$550,SMALL(IF(Накл!$B$9:$B$550=A348,ROW(Накл!$B$9:$B$550)-ROW(Накл!$B$9)+1),ROW(D348)-ROW(A348)+1)),"")," ",IFERROR(INDEX(Накл!$C$9:$C$550,SMALL(IF(Накл!$B$9:$B$550=A348,ROW(Накл!$B$9:$B$550)-ROW(Накл!$B$9)+1),ROW(D349)-ROW(A348)+1)),"")," ",IFERROR(INDEX(Накл!$C$9:$C$550,SMALL(IF(Накл!$B$9:$B$550=A348,ROW(Накл!$B$9:$B$550)-ROW(Накл!$B$9)+1),ROW(D350)-ROW(A348)+1)),"")," ",IFERROR(INDEX(Накл!$C$9:$C$550,SMALL(IF(Накл!$B$9:$B$550=A348,ROW(Накл!$B$9:$B$550)-ROW(Накл!$B$9)+1),ROW(D351)-ROW(A348)+1)),"")," ",IFERROR(INDEX(Накл!$C$9:$C$550,SMALL(IF(Накл!$B$9:$B$550=A348,ROW(Накл!$B$9:$B$550)-ROW(Накл!$B$9)+1),ROW(D352)-ROW(A348)+1)),"")," ",IFERROR(INDEX(Накл!$C$9:$C$550,SMALL(IF(Накл!$B$9:$B$550=A348,ROW(Накл!$B$9:$B$550)-ROW(Накл!$B$9)+1),ROW(D353)-ROW(A348)+1)),"")," ",IFERROR(INDEX(Накл!$C$9:$C$550,SMALL(IF(Накл!$B$9:$B$550=A348,ROW(Накл!$B$9:$B$550)-ROW(Накл!$B$9)+1),ROW(D354)-ROW(A348)+1)),"")," ",IFERROR(INDEX(Накл!$C$9:$C$550,SMALL(IF(Накл!$B$9:$B$550=A348,ROW(Накл!$B$9:$B$550)-ROW(Накл!$B$9)+1),ROW(D355)-ROW(A348)+1)),"")," ",IFERROR(INDEX(Накл!$C$9:$C$550,SMALL(IF(Накл!$B$9:$B$550=A348,ROW(Накл!$B$9:$B$550)-ROW(Накл!$B$9)+1),ROW(D356)-ROW(A348)+1)),"")," ",IFERROR(INDEX(Накл!$C$9:$C$550,SMALL(IF(Накл!$B$9:$B$550=A348,ROW(Накл!$B$9:$B$550)-ROW(Накл!$B$9)+1),ROW(D357)-ROW(A348)+1)),""))</f>
        <v xml:space="preserve">         </v>
      </c>
      <c r="E348" s="26" t="str">
        <f t="array" ref="E348">IF(LEN(D348)&lt;10,CONCATENATE(IFERROR(INDEX(Накл!$C$9:$C$550,SMALL(IF(Накл!$A$9:$A$550=VALUE(LEFT(A348,8)),ROW(Накл!$A$9:$A$550)-ROW(Накл!$A$9)+1),ROW(E348)-ROW(B348)+1)),"")," ",IFERROR(INDEX(Накл!$C$9:$C$550,SMALL(IF(Накл!$A$9:$A$550=VALUE(LEFT(A348,8)),ROW(Накл!$A$9:$A$550)-ROW(Накл!$A$9)+1),ROW(E349)-ROW(B348)+1)),"")," ",IFERROR(INDEX(Накл!$C$9:$C$550,SMALL(IF(Накл!$A$9:$A$550=VALUE(LEFT(A348,8)),ROW(Накл!$A$9:$A$550)-ROW(Накл!$A$9)+1),ROW(E350)-ROW(B348)+1)),"")," ",IFERROR(INDEX(Накл!$C$9:$C$550,SMALL(IF(Накл!$A$9:$A$550=VALUE(LEFT(A348,8)),ROW(Накл!$A$9:$A$550)-ROW(Накл!$A$9)+1),ROW(E351)-ROW(B348)+1)),"")),"")</f>
        <v xml:space="preserve">   </v>
      </c>
    </row>
    <row r="349" spans="1:5">
      <c r="A349" s="26" t="str">
        <f>IFERROR(CONCATENATE(VALUE(SUBSTITUTE(SUBSTITUTE(LEFT(Накл!G356,11),".",""),"-",""))," ",Накл!J356),"-")</f>
        <v>-</v>
      </c>
      <c r="B349" s="26" t="str">
        <f>IFERROR(VLOOKUP(VALUE(LEFT(A349,8)),Накл!$A$9:$D$550,4,0),"-")</f>
        <v>-</v>
      </c>
      <c r="C349" s="26">
        <f>Накл!J356</f>
        <v>0</v>
      </c>
      <c r="D349" s="33" t="str">
        <f t="array" ref="D349">CONCATENATE(IFERROR(INDEX(Накл!$C$9:$C$550,SMALL(IF(Накл!$B$9:$B$550=A349,ROW(Накл!$B$9:$B$550)-ROW(Накл!$B$9)+1),ROW(D349)-ROW(A349)+1)),"")," ",IFERROR(INDEX(Накл!$C$9:$C$550,SMALL(IF(Накл!$B$9:$B$550=A349,ROW(Накл!$B$9:$B$550)-ROW(Накл!$B$9)+1),ROW(D350)-ROW(A349)+1)),"")," ",IFERROR(INDEX(Накл!$C$9:$C$550,SMALL(IF(Накл!$B$9:$B$550=A349,ROW(Накл!$B$9:$B$550)-ROW(Накл!$B$9)+1),ROW(D351)-ROW(A349)+1)),"")," ",IFERROR(INDEX(Накл!$C$9:$C$550,SMALL(IF(Накл!$B$9:$B$550=A349,ROW(Накл!$B$9:$B$550)-ROW(Накл!$B$9)+1),ROW(D352)-ROW(A349)+1)),"")," ",IFERROR(INDEX(Накл!$C$9:$C$550,SMALL(IF(Накл!$B$9:$B$550=A349,ROW(Накл!$B$9:$B$550)-ROW(Накл!$B$9)+1),ROW(D353)-ROW(A349)+1)),"")," ",IFERROR(INDEX(Накл!$C$9:$C$550,SMALL(IF(Накл!$B$9:$B$550=A349,ROW(Накл!$B$9:$B$550)-ROW(Накл!$B$9)+1),ROW(D354)-ROW(A349)+1)),"")," ",IFERROR(INDEX(Накл!$C$9:$C$550,SMALL(IF(Накл!$B$9:$B$550=A349,ROW(Накл!$B$9:$B$550)-ROW(Накл!$B$9)+1),ROW(D355)-ROW(A349)+1)),"")," ",IFERROR(INDEX(Накл!$C$9:$C$550,SMALL(IF(Накл!$B$9:$B$550=A349,ROW(Накл!$B$9:$B$550)-ROW(Накл!$B$9)+1),ROW(D356)-ROW(A349)+1)),"")," ",IFERROR(INDEX(Накл!$C$9:$C$550,SMALL(IF(Накл!$B$9:$B$550=A349,ROW(Накл!$B$9:$B$550)-ROW(Накл!$B$9)+1),ROW(D357)-ROW(A349)+1)),"")," ",IFERROR(INDEX(Накл!$C$9:$C$550,SMALL(IF(Накл!$B$9:$B$550=A349,ROW(Накл!$B$9:$B$550)-ROW(Накл!$B$9)+1),ROW(D358)-ROW(A349)+1)),""))</f>
        <v xml:space="preserve">         </v>
      </c>
      <c r="E349" s="26" t="str">
        <f t="array" ref="E349">IF(LEN(D349)&lt;10,CONCATENATE(IFERROR(INDEX(Накл!$C$9:$C$550,SMALL(IF(Накл!$A$9:$A$550=VALUE(LEFT(A349,8)),ROW(Накл!$A$9:$A$550)-ROW(Накл!$A$9)+1),ROW(E349)-ROW(B349)+1)),"")," ",IFERROR(INDEX(Накл!$C$9:$C$550,SMALL(IF(Накл!$A$9:$A$550=VALUE(LEFT(A349,8)),ROW(Накл!$A$9:$A$550)-ROW(Накл!$A$9)+1),ROW(E350)-ROW(B349)+1)),"")," ",IFERROR(INDEX(Накл!$C$9:$C$550,SMALL(IF(Накл!$A$9:$A$550=VALUE(LEFT(A349,8)),ROW(Накл!$A$9:$A$550)-ROW(Накл!$A$9)+1),ROW(E351)-ROW(B349)+1)),"")," ",IFERROR(INDEX(Накл!$C$9:$C$550,SMALL(IF(Накл!$A$9:$A$550=VALUE(LEFT(A349,8)),ROW(Накл!$A$9:$A$550)-ROW(Накл!$A$9)+1),ROW(E352)-ROW(B349)+1)),"")),"")</f>
        <v xml:space="preserve">   </v>
      </c>
    </row>
    <row r="350" spans="1:5">
      <c r="A350" s="26" t="str">
        <f>IFERROR(CONCATENATE(VALUE(SUBSTITUTE(SUBSTITUTE(LEFT(Накл!G357,11),".",""),"-",""))," ",Накл!J357),"-")</f>
        <v>-</v>
      </c>
      <c r="B350" s="26" t="str">
        <f>IFERROR(VLOOKUP(VALUE(LEFT(A350,8)),Накл!$A$9:$D$550,4,0),"-")</f>
        <v>-</v>
      </c>
      <c r="C350" s="26">
        <f>Накл!J357</f>
        <v>0</v>
      </c>
      <c r="D350" s="33" t="str">
        <f t="array" ref="D350">CONCATENATE(IFERROR(INDEX(Накл!$C$9:$C$550,SMALL(IF(Накл!$B$9:$B$550=A350,ROW(Накл!$B$9:$B$550)-ROW(Накл!$B$9)+1),ROW(D350)-ROW(A350)+1)),"")," ",IFERROR(INDEX(Накл!$C$9:$C$550,SMALL(IF(Накл!$B$9:$B$550=A350,ROW(Накл!$B$9:$B$550)-ROW(Накл!$B$9)+1),ROW(D351)-ROW(A350)+1)),"")," ",IFERROR(INDEX(Накл!$C$9:$C$550,SMALL(IF(Накл!$B$9:$B$550=A350,ROW(Накл!$B$9:$B$550)-ROW(Накл!$B$9)+1),ROW(D352)-ROW(A350)+1)),"")," ",IFERROR(INDEX(Накл!$C$9:$C$550,SMALL(IF(Накл!$B$9:$B$550=A350,ROW(Накл!$B$9:$B$550)-ROW(Накл!$B$9)+1),ROW(D353)-ROW(A350)+1)),"")," ",IFERROR(INDEX(Накл!$C$9:$C$550,SMALL(IF(Накл!$B$9:$B$550=A350,ROW(Накл!$B$9:$B$550)-ROW(Накл!$B$9)+1),ROW(D354)-ROW(A350)+1)),"")," ",IFERROR(INDEX(Накл!$C$9:$C$550,SMALL(IF(Накл!$B$9:$B$550=A350,ROW(Накл!$B$9:$B$550)-ROW(Накл!$B$9)+1),ROW(D355)-ROW(A350)+1)),"")," ",IFERROR(INDEX(Накл!$C$9:$C$550,SMALL(IF(Накл!$B$9:$B$550=A350,ROW(Накл!$B$9:$B$550)-ROW(Накл!$B$9)+1),ROW(D356)-ROW(A350)+1)),"")," ",IFERROR(INDEX(Накл!$C$9:$C$550,SMALL(IF(Накл!$B$9:$B$550=A350,ROW(Накл!$B$9:$B$550)-ROW(Накл!$B$9)+1),ROW(D357)-ROW(A350)+1)),"")," ",IFERROR(INDEX(Накл!$C$9:$C$550,SMALL(IF(Накл!$B$9:$B$550=A350,ROW(Накл!$B$9:$B$550)-ROW(Накл!$B$9)+1),ROW(D358)-ROW(A350)+1)),"")," ",IFERROR(INDEX(Накл!$C$9:$C$550,SMALL(IF(Накл!$B$9:$B$550=A350,ROW(Накл!$B$9:$B$550)-ROW(Накл!$B$9)+1),ROW(D359)-ROW(A350)+1)),""))</f>
        <v xml:space="preserve">         </v>
      </c>
      <c r="E350" s="26" t="str">
        <f t="array" ref="E350">IF(LEN(D350)&lt;10,CONCATENATE(IFERROR(INDEX(Накл!$C$9:$C$550,SMALL(IF(Накл!$A$9:$A$550=VALUE(LEFT(A350,8)),ROW(Накл!$A$9:$A$550)-ROW(Накл!$A$9)+1),ROW(E350)-ROW(B350)+1)),"")," ",IFERROR(INDEX(Накл!$C$9:$C$550,SMALL(IF(Накл!$A$9:$A$550=VALUE(LEFT(A350,8)),ROW(Накл!$A$9:$A$550)-ROW(Накл!$A$9)+1),ROW(E351)-ROW(B350)+1)),"")," ",IFERROR(INDEX(Накл!$C$9:$C$550,SMALL(IF(Накл!$A$9:$A$550=VALUE(LEFT(A350,8)),ROW(Накл!$A$9:$A$550)-ROW(Накл!$A$9)+1),ROW(E352)-ROW(B350)+1)),"")," ",IFERROR(INDEX(Накл!$C$9:$C$550,SMALL(IF(Накл!$A$9:$A$550=VALUE(LEFT(A350,8)),ROW(Накл!$A$9:$A$550)-ROW(Накл!$A$9)+1),ROW(E353)-ROW(B350)+1)),"")),"")</f>
        <v xml:space="preserve">   </v>
      </c>
    </row>
    <row r="351" spans="1:5">
      <c r="A351" s="26" t="str">
        <f>IFERROR(CONCATENATE(VALUE(SUBSTITUTE(SUBSTITUTE(LEFT(Накл!G358,11),".",""),"-",""))," ",Накл!J358),"-")</f>
        <v>-</v>
      </c>
      <c r="B351" s="26" t="str">
        <f>IFERROR(VLOOKUP(VALUE(LEFT(A351,8)),Накл!$A$9:$D$550,4,0),"-")</f>
        <v>-</v>
      </c>
      <c r="C351" s="26">
        <f>Накл!J358</f>
        <v>0</v>
      </c>
      <c r="D351" s="33" t="str">
        <f t="array" ref="D351">CONCATENATE(IFERROR(INDEX(Накл!$C$9:$C$550,SMALL(IF(Накл!$B$9:$B$550=A351,ROW(Накл!$B$9:$B$550)-ROW(Накл!$B$9)+1),ROW(D351)-ROW(A351)+1)),"")," ",IFERROR(INDEX(Накл!$C$9:$C$550,SMALL(IF(Накл!$B$9:$B$550=A351,ROW(Накл!$B$9:$B$550)-ROW(Накл!$B$9)+1),ROW(D352)-ROW(A351)+1)),"")," ",IFERROR(INDEX(Накл!$C$9:$C$550,SMALL(IF(Накл!$B$9:$B$550=A351,ROW(Накл!$B$9:$B$550)-ROW(Накл!$B$9)+1),ROW(D353)-ROW(A351)+1)),"")," ",IFERROR(INDEX(Накл!$C$9:$C$550,SMALL(IF(Накл!$B$9:$B$550=A351,ROW(Накл!$B$9:$B$550)-ROW(Накл!$B$9)+1),ROW(D354)-ROW(A351)+1)),"")," ",IFERROR(INDEX(Накл!$C$9:$C$550,SMALL(IF(Накл!$B$9:$B$550=A351,ROW(Накл!$B$9:$B$550)-ROW(Накл!$B$9)+1),ROW(D355)-ROW(A351)+1)),"")," ",IFERROR(INDEX(Накл!$C$9:$C$550,SMALL(IF(Накл!$B$9:$B$550=A351,ROW(Накл!$B$9:$B$550)-ROW(Накл!$B$9)+1),ROW(D356)-ROW(A351)+1)),"")," ",IFERROR(INDEX(Накл!$C$9:$C$550,SMALL(IF(Накл!$B$9:$B$550=A351,ROW(Накл!$B$9:$B$550)-ROW(Накл!$B$9)+1),ROW(D357)-ROW(A351)+1)),"")," ",IFERROR(INDEX(Накл!$C$9:$C$550,SMALL(IF(Накл!$B$9:$B$550=A351,ROW(Накл!$B$9:$B$550)-ROW(Накл!$B$9)+1),ROW(D358)-ROW(A351)+1)),"")," ",IFERROR(INDEX(Накл!$C$9:$C$550,SMALL(IF(Накл!$B$9:$B$550=A351,ROW(Накл!$B$9:$B$550)-ROW(Накл!$B$9)+1),ROW(D359)-ROW(A351)+1)),"")," ",IFERROR(INDEX(Накл!$C$9:$C$550,SMALL(IF(Накл!$B$9:$B$550=A351,ROW(Накл!$B$9:$B$550)-ROW(Накл!$B$9)+1),ROW(D360)-ROW(A351)+1)),""))</f>
        <v xml:space="preserve">         </v>
      </c>
      <c r="E351" s="26" t="str">
        <f t="array" ref="E351">IF(LEN(D351)&lt;10,CONCATENATE(IFERROR(INDEX(Накл!$C$9:$C$550,SMALL(IF(Накл!$A$9:$A$550=VALUE(LEFT(A351,8)),ROW(Накл!$A$9:$A$550)-ROW(Накл!$A$9)+1),ROW(E351)-ROW(B351)+1)),"")," ",IFERROR(INDEX(Накл!$C$9:$C$550,SMALL(IF(Накл!$A$9:$A$550=VALUE(LEFT(A351,8)),ROW(Накл!$A$9:$A$550)-ROW(Накл!$A$9)+1),ROW(E352)-ROW(B351)+1)),"")," ",IFERROR(INDEX(Накл!$C$9:$C$550,SMALL(IF(Накл!$A$9:$A$550=VALUE(LEFT(A351,8)),ROW(Накл!$A$9:$A$550)-ROW(Накл!$A$9)+1),ROW(E353)-ROW(B351)+1)),"")," ",IFERROR(INDEX(Накл!$C$9:$C$550,SMALL(IF(Накл!$A$9:$A$550=VALUE(LEFT(A351,8)),ROW(Накл!$A$9:$A$550)-ROW(Накл!$A$9)+1),ROW(E354)-ROW(B351)+1)),"")),"")</f>
        <v xml:space="preserve">   </v>
      </c>
    </row>
    <row r="352" spans="1:5">
      <c r="A352" s="26" t="str">
        <f>IFERROR(CONCATENATE(VALUE(SUBSTITUTE(SUBSTITUTE(LEFT(Накл!G359,11),".",""),"-",""))," ",Накл!J359),"-")</f>
        <v>-</v>
      </c>
      <c r="B352" s="26" t="str">
        <f>IFERROR(VLOOKUP(VALUE(LEFT(A352,8)),Накл!$A$9:$D$550,4,0),"-")</f>
        <v>-</v>
      </c>
      <c r="C352" s="26">
        <f>Накл!J359</f>
        <v>0</v>
      </c>
      <c r="D352" s="33" t="str">
        <f t="array" ref="D352">CONCATENATE(IFERROR(INDEX(Накл!$C$9:$C$550,SMALL(IF(Накл!$B$9:$B$550=A352,ROW(Накл!$B$9:$B$550)-ROW(Накл!$B$9)+1),ROW(D352)-ROW(A352)+1)),"")," ",IFERROR(INDEX(Накл!$C$9:$C$550,SMALL(IF(Накл!$B$9:$B$550=A352,ROW(Накл!$B$9:$B$550)-ROW(Накл!$B$9)+1),ROW(D353)-ROW(A352)+1)),"")," ",IFERROR(INDEX(Накл!$C$9:$C$550,SMALL(IF(Накл!$B$9:$B$550=A352,ROW(Накл!$B$9:$B$550)-ROW(Накл!$B$9)+1),ROW(D354)-ROW(A352)+1)),"")," ",IFERROR(INDEX(Накл!$C$9:$C$550,SMALL(IF(Накл!$B$9:$B$550=A352,ROW(Накл!$B$9:$B$550)-ROW(Накл!$B$9)+1),ROW(D355)-ROW(A352)+1)),"")," ",IFERROR(INDEX(Накл!$C$9:$C$550,SMALL(IF(Накл!$B$9:$B$550=A352,ROW(Накл!$B$9:$B$550)-ROW(Накл!$B$9)+1),ROW(D356)-ROW(A352)+1)),"")," ",IFERROR(INDEX(Накл!$C$9:$C$550,SMALL(IF(Накл!$B$9:$B$550=A352,ROW(Накл!$B$9:$B$550)-ROW(Накл!$B$9)+1),ROW(D357)-ROW(A352)+1)),"")," ",IFERROR(INDEX(Накл!$C$9:$C$550,SMALL(IF(Накл!$B$9:$B$550=A352,ROW(Накл!$B$9:$B$550)-ROW(Накл!$B$9)+1),ROW(D358)-ROW(A352)+1)),"")," ",IFERROR(INDEX(Накл!$C$9:$C$550,SMALL(IF(Накл!$B$9:$B$550=A352,ROW(Накл!$B$9:$B$550)-ROW(Накл!$B$9)+1),ROW(D359)-ROW(A352)+1)),"")," ",IFERROR(INDEX(Накл!$C$9:$C$550,SMALL(IF(Накл!$B$9:$B$550=A352,ROW(Накл!$B$9:$B$550)-ROW(Накл!$B$9)+1),ROW(D360)-ROW(A352)+1)),"")," ",IFERROR(INDEX(Накл!$C$9:$C$550,SMALL(IF(Накл!$B$9:$B$550=A352,ROW(Накл!$B$9:$B$550)-ROW(Накл!$B$9)+1),ROW(D361)-ROW(A352)+1)),""))</f>
        <v xml:space="preserve">         </v>
      </c>
      <c r="E352" s="26" t="str">
        <f t="array" ref="E352">IF(LEN(D352)&lt;10,CONCATENATE(IFERROR(INDEX(Накл!$C$9:$C$550,SMALL(IF(Накл!$A$9:$A$550=VALUE(LEFT(A352,8)),ROW(Накл!$A$9:$A$550)-ROW(Накл!$A$9)+1),ROW(E352)-ROW(B352)+1)),"")," ",IFERROR(INDEX(Накл!$C$9:$C$550,SMALL(IF(Накл!$A$9:$A$550=VALUE(LEFT(A352,8)),ROW(Накл!$A$9:$A$550)-ROW(Накл!$A$9)+1),ROW(E353)-ROW(B352)+1)),"")," ",IFERROR(INDEX(Накл!$C$9:$C$550,SMALL(IF(Накл!$A$9:$A$550=VALUE(LEFT(A352,8)),ROW(Накл!$A$9:$A$550)-ROW(Накл!$A$9)+1),ROW(E354)-ROW(B352)+1)),"")," ",IFERROR(INDEX(Накл!$C$9:$C$550,SMALL(IF(Накл!$A$9:$A$550=VALUE(LEFT(A352,8)),ROW(Накл!$A$9:$A$550)-ROW(Накл!$A$9)+1),ROW(E355)-ROW(B352)+1)),"")),"")</f>
        <v xml:space="preserve">   </v>
      </c>
    </row>
    <row r="353" spans="1:5">
      <c r="A353" s="26" t="str">
        <f>IFERROR(CONCATENATE(VALUE(SUBSTITUTE(SUBSTITUTE(LEFT(Накл!G360,11),".",""),"-",""))," ",Накл!J360),"-")</f>
        <v>-</v>
      </c>
      <c r="B353" s="26" t="str">
        <f>IFERROR(VLOOKUP(VALUE(LEFT(A353,8)),Накл!$A$9:$D$550,4,0),"-")</f>
        <v>-</v>
      </c>
      <c r="C353" s="26">
        <f>Накл!J360</f>
        <v>0</v>
      </c>
      <c r="D353" s="33" t="str">
        <f t="array" ref="D353">CONCATENATE(IFERROR(INDEX(Накл!$C$9:$C$550,SMALL(IF(Накл!$B$9:$B$550=A353,ROW(Накл!$B$9:$B$550)-ROW(Накл!$B$9)+1),ROW(D353)-ROW(A353)+1)),"")," ",IFERROR(INDEX(Накл!$C$9:$C$550,SMALL(IF(Накл!$B$9:$B$550=A353,ROW(Накл!$B$9:$B$550)-ROW(Накл!$B$9)+1),ROW(D354)-ROW(A353)+1)),"")," ",IFERROR(INDEX(Накл!$C$9:$C$550,SMALL(IF(Накл!$B$9:$B$550=A353,ROW(Накл!$B$9:$B$550)-ROW(Накл!$B$9)+1),ROW(D355)-ROW(A353)+1)),"")," ",IFERROR(INDEX(Накл!$C$9:$C$550,SMALL(IF(Накл!$B$9:$B$550=A353,ROW(Накл!$B$9:$B$550)-ROW(Накл!$B$9)+1),ROW(D356)-ROW(A353)+1)),"")," ",IFERROR(INDEX(Накл!$C$9:$C$550,SMALL(IF(Накл!$B$9:$B$550=A353,ROW(Накл!$B$9:$B$550)-ROW(Накл!$B$9)+1),ROW(D357)-ROW(A353)+1)),"")," ",IFERROR(INDEX(Накл!$C$9:$C$550,SMALL(IF(Накл!$B$9:$B$550=A353,ROW(Накл!$B$9:$B$550)-ROW(Накл!$B$9)+1),ROW(D358)-ROW(A353)+1)),"")," ",IFERROR(INDEX(Накл!$C$9:$C$550,SMALL(IF(Накл!$B$9:$B$550=A353,ROW(Накл!$B$9:$B$550)-ROW(Накл!$B$9)+1),ROW(D359)-ROW(A353)+1)),"")," ",IFERROR(INDEX(Накл!$C$9:$C$550,SMALL(IF(Накл!$B$9:$B$550=A353,ROW(Накл!$B$9:$B$550)-ROW(Накл!$B$9)+1),ROW(D360)-ROW(A353)+1)),"")," ",IFERROR(INDEX(Накл!$C$9:$C$550,SMALL(IF(Накл!$B$9:$B$550=A353,ROW(Накл!$B$9:$B$550)-ROW(Накл!$B$9)+1),ROW(D361)-ROW(A353)+1)),"")," ",IFERROR(INDEX(Накл!$C$9:$C$550,SMALL(IF(Накл!$B$9:$B$550=A353,ROW(Накл!$B$9:$B$550)-ROW(Накл!$B$9)+1),ROW(D362)-ROW(A353)+1)),""))</f>
        <v xml:space="preserve">         </v>
      </c>
      <c r="E353" s="26" t="str">
        <f t="array" ref="E353">IF(LEN(D353)&lt;10,CONCATENATE(IFERROR(INDEX(Накл!$C$9:$C$550,SMALL(IF(Накл!$A$9:$A$550=VALUE(LEFT(A353,8)),ROW(Накл!$A$9:$A$550)-ROW(Накл!$A$9)+1),ROW(E353)-ROW(B353)+1)),"")," ",IFERROR(INDEX(Накл!$C$9:$C$550,SMALL(IF(Накл!$A$9:$A$550=VALUE(LEFT(A353,8)),ROW(Накл!$A$9:$A$550)-ROW(Накл!$A$9)+1),ROW(E354)-ROW(B353)+1)),"")," ",IFERROR(INDEX(Накл!$C$9:$C$550,SMALL(IF(Накл!$A$9:$A$550=VALUE(LEFT(A353,8)),ROW(Накл!$A$9:$A$550)-ROW(Накл!$A$9)+1),ROW(E355)-ROW(B353)+1)),"")," ",IFERROR(INDEX(Накл!$C$9:$C$550,SMALL(IF(Накл!$A$9:$A$550=VALUE(LEFT(A353,8)),ROW(Накл!$A$9:$A$550)-ROW(Накл!$A$9)+1),ROW(E356)-ROW(B353)+1)),"")),"")</f>
        <v xml:space="preserve">   </v>
      </c>
    </row>
    <row r="354" spans="1:5">
      <c r="A354" s="26" t="str">
        <f>IFERROR(CONCATENATE(VALUE(SUBSTITUTE(SUBSTITUTE(LEFT(Накл!G361,11),".",""),"-",""))," ",Накл!J361),"-")</f>
        <v>-</v>
      </c>
      <c r="B354" s="26" t="str">
        <f>IFERROR(VLOOKUP(VALUE(LEFT(A354,8)),Накл!$A$9:$D$550,4,0),"-")</f>
        <v>-</v>
      </c>
      <c r="C354" s="26">
        <f>Накл!J361</f>
        <v>0</v>
      </c>
      <c r="D354" s="33" t="str">
        <f t="array" ref="D354">CONCATENATE(IFERROR(INDEX(Накл!$C$9:$C$550,SMALL(IF(Накл!$B$9:$B$550=A354,ROW(Накл!$B$9:$B$550)-ROW(Накл!$B$9)+1),ROW(D354)-ROW(A354)+1)),"")," ",IFERROR(INDEX(Накл!$C$9:$C$550,SMALL(IF(Накл!$B$9:$B$550=A354,ROW(Накл!$B$9:$B$550)-ROW(Накл!$B$9)+1),ROW(D355)-ROW(A354)+1)),"")," ",IFERROR(INDEX(Накл!$C$9:$C$550,SMALL(IF(Накл!$B$9:$B$550=A354,ROW(Накл!$B$9:$B$550)-ROW(Накл!$B$9)+1),ROW(D356)-ROW(A354)+1)),"")," ",IFERROR(INDEX(Накл!$C$9:$C$550,SMALL(IF(Накл!$B$9:$B$550=A354,ROW(Накл!$B$9:$B$550)-ROW(Накл!$B$9)+1),ROW(D357)-ROW(A354)+1)),"")," ",IFERROR(INDEX(Накл!$C$9:$C$550,SMALL(IF(Накл!$B$9:$B$550=A354,ROW(Накл!$B$9:$B$550)-ROW(Накл!$B$9)+1),ROW(D358)-ROW(A354)+1)),"")," ",IFERROR(INDEX(Накл!$C$9:$C$550,SMALL(IF(Накл!$B$9:$B$550=A354,ROW(Накл!$B$9:$B$550)-ROW(Накл!$B$9)+1),ROW(D359)-ROW(A354)+1)),"")," ",IFERROR(INDEX(Накл!$C$9:$C$550,SMALL(IF(Накл!$B$9:$B$550=A354,ROW(Накл!$B$9:$B$550)-ROW(Накл!$B$9)+1),ROW(D360)-ROW(A354)+1)),"")," ",IFERROR(INDEX(Накл!$C$9:$C$550,SMALL(IF(Накл!$B$9:$B$550=A354,ROW(Накл!$B$9:$B$550)-ROW(Накл!$B$9)+1),ROW(D361)-ROW(A354)+1)),"")," ",IFERROR(INDEX(Накл!$C$9:$C$550,SMALL(IF(Накл!$B$9:$B$550=A354,ROW(Накл!$B$9:$B$550)-ROW(Накл!$B$9)+1),ROW(D362)-ROW(A354)+1)),"")," ",IFERROR(INDEX(Накл!$C$9:$C$550,SMALL(IF(Накл!$B$9:$B$550=A354,ROW(Накл!$B$9:$B$550)-ROW(Накл!$B$9)+1),ROW(D363)-ROW(A354)+1)),""))</f>
        <v xml:space="preserve">         </v>
      </c>
      <c r="E354" s="26" t="str">
        <f t="array" ref="E354">IF(LEN(D354)&lt;10,CONCATENATE(IFERROR(INDEX(Накл!$C$9:$C$550,SMALL(IF(Накл!$A$9:$A$550=VALUE(LEFT(A354,8)),ROW(Накл!$A$9:$A$550)-ROW(Накл!$A$9)+1),ROW(E354)-ROW(B354)+1)),"")," ",IFERROR(INDEX(Накл!$C$9:$C$550,SMALL(IF(Накл!$A$9:$A$550=VALUE(LEFT(A354,8)),ROW(Накл!$A$9:$A$550)-ROW(Накл!$A$9)+1),ROW(E355)-ROW(B354)+1)),"")," ",IFERROR(INDEX(Накл!$C$9:$C$550,SMALL(IF(Накл!$A$9:$A$550=VALUE(LEFT(A354,8)),ROW(Накл!$A$9:$A$550)-ROW(Накл!$A$9)+1),ROW(E356)-ROW(B354)+1)),"")," ",IFERROR(INDEX(Накл!$C$9:$C$550,SMALL(IF(Накл!$A$9:$A$550=VALUE(LEFT(A354,8)),ROW(Накл!$A$9:$A$550)-ROW(Накл!$A$9)+1),ROW(E357)-ROW(B354)+1)),"")),"")</f>
        <v xml:space="preserve">   </v>
      </c>
    </row>
    <row r="355" spans="1:5">
      <c r="A355" s="26" t="str">
        <f>IFERROR(CONCATENATE(VALUE(SUBSTITUTE(SUBSTITUTE(LEFT(Накл!G362,11),".",""),"-",""))," ",Накл!J362),"-")</f>
        <v>-</v>
      </c>
      <c r="B355" s="26" t="str">
        <f>IFERROR(VLOOKUP(VALUE(LEFT(A355,8)),Накл!$A$9:$D$550,4,0),"-")</f>
        <v>-</v>
      </c>
      <c r="C355" s="26">
        <f>Накл!J362</f>
        <v>0</v>
      </c>
      <c r="D355" s="33" t="str">
        <f t="array" ref="D355">CONCATENATE(IFERROR(INDEX(Накл!$C$9:$C$550,SMALL(IF(Накл!$B$9:$B$550=A355,ROW(Накл!$B$9:$B$550)-ROW(Накл!$B$9)+1),ROW(D355)-ROW(A355)+1)),"")," ",IFERROR(INDEX(Накл!$C$9:$C$550,SMALL(IF(Накл!$B$9:$B$550=A355,ROW(Накл!$B$9:$B$550)-ROW(Накл!$B$9)+1),ROW(D356)-ROW(A355)+1)),"")," ",IFERROR(INDEX(Накл!$C$9:$C$550,SMALL(IF(Накл!$B$9:$B$550=A355,ROW(Накл!$B$9:$B$550)-ROW(Накл!$B$9)+1),ROW(D357)-ROW(A355)+1)),"")," ",IFERROR(INDEX(Накл!$C$9:$C$550,SMALL(IF(Накл!$B$9:$B$550=A355,ROW(Накл!$B$9:$B$550)-ROW(Накл!$B$9)+1),ROW(D358)-ROW(A355)+1)),"")," ",IFERROR(INDEX(Накл!$C$9:$C$550,SMALL(IF(Накл!$B$9:$B$550=A355,ROW(Накл!$B$9:$B$550)-ROW(Накл!$B$9)+1),ROW(D359)-ROW(A355)+1)),"")," ",IFERROR(INDEX(Накл!$C$9:$C$550,SMALL(IF(Накл!$B$9:$B$550=A355,ROW(Накл!$B$9:$B$550)-ROW(Накл!$B$9)+1),ROW(D360)-ROW(A355)+1)),"")," ",IFERROR(INDEX(Накл!$C$9:$C$550,SMALL(IF(Накл!$B$9:$B$550=A355,ROW(Накл!$B$9:$B$550)-ROW(Накл!$B$9)+1),ROW(D361)-ROW(A355)+1)),"")," ",IFERROR(INDEX(Накл!$C$9:$C$550,SMALL(IF(Накл!$B$9:$B$550=A355,ROW(Накл!$B$9:$B$550)-ROW(Накл!$B$9)+1),ROW(D362)-ROW(A355)+1)),"")," ",IFERROR(INDEX(Накл!$C$9:$C$550,SMALL(IF(Накл!$B$9:$B$550=A355,ROW(Накл!$B$9:$B$550)-ROW(Накл!$B$9)+1),ROW(D363)-ROW(A355)+1)),"")," ",IFERROR(INDEX(Накл!$C$9:$C$550,SMALL(IF(Накл!$B$9:$B$550=A355,ROW(Накл!$B$9:$B$550)-ROW(Накл!$B$9)+1),ROW(D364)-ROW(A355)+1)),""))</f>
        <v xml:space="preserve">         </v>
      </c>
      <c r="E355" s="26" t="str">
        <f t="array" ref="E355">IF(LEN(D355)&lt;10,CONCATENATE(IFERROR(INDEX(Накл!$C$9:$C$550,SMALL(IF(Накл!$A$9:$A$550=VALUE(LEFT(A355,8)),ROW(Накл!$A$9:$A$550)-ROW(Накл!$A$9)+1),ROW(E355)-ROW(B355)+1)),"")," ",IFERROR(INDEX(Накл!$C$9:$C$550,SMALL(IF(Накл!$A$9:$A$550=VALUE(LEFT(A355,8)),ROW(Накл!$A$9:$A$550)-ROW(Накл!$A$9)+1),ROW(E356)-ROW(B355)+1)),"")," ",IFERROR(INDEX(Накл!$C$9:$C$550,SMALL(IF(Накл!$A$9:$A$550=VALUE(LEFT(A355,8)),ROW(Накл!$A$9:$A$550)-ROW(Накл!$A$9)+1),ROW(E357)-ROW(B355)+1)),"")," ",IFERROR(INDEX(Накл!$C$9:$C$550,SMALL(IF(Накл!$A$9:$A$550=VALUE(LEFT(A355,8)),ROW(Накл!$A$9:$A$550)-ROW(Накл!$A$9)+1),ROW(E358)-ROW(B355)+1)),"")),"")</f>
        <v xml:space="preserve">   </v>
      </c>
    </row>
    <row r="356" spans="1:5">
      <c r="A356" s="26" t="str">
        <f>IFERROR(CONCATENATE(VALUE(SUBSTITUTE(SUBSTITUTE(LEFT(Накл!G363,11),".",""),"-",""))," ",Накл!J363),"-")</f>
        <v>-</v>
      </c>
      <c r="B356" s="26" t="str">
        <f>IFERROR(VLOOKUP(VALUE(LEFT(A356,8)),Накл!$A$9:$D$550,4,0),"-")</f>
        <v>-</v>
      </c>
      <c r="C356" s="26">
        <f>Накл!J363</f>
        <v>0</v>
      </c>
      <c r="D356" s="33" t="str">
        <f t="array" ref="D356">CONCATENATE(IFERROR(INDEX(Накл!$C$9:$C$550,SMALL(IF(Накл!$B$9:$B$550=A356,ROW(Накл!$B$9:$B$550)-ROW(Накл!$B$9)+1),ROW(D356)-ROW(A356)+1)),"")," ",IFERROR(INDEX(Накл!$C$9:$C$550,SMALL(IF(Накл!$B$9:$B$550=A356,ROW(Накл!$B$9:$B$550)-ROW(Накл!$B$9)+1),ROW(D357)-ROW(A356)+1)),"")," ",IFERROR(INDEX(Накл!$C$9:$C$550,SMALL(IF(Накл!$B$9:$B$550=A356,ROW(Накл!$B$9:$B$550)-ROW(Накл!$B$9)+1),ROW(D358)-ROW(A356)+1)),"")," ",IFERROR(INDEX(Накл!$C$9:$C$550,SMALL(IF(Накл!$B$9:$B$550=A356,ROW(Накл!$B$9:$B$550)-ROW(Накл!$B$9)+1),ROW(D359)-ROW(A356)+1)),"")," ",IFERROR(INDEX(Накл!$C$9:$C$550,SMALL(IF(Накл!$B$9:$B$550=A356,ROW(Накл!$B$9:$B$550)-ROW(Накл!$B$9)+1),ROW(D360)-ROW(A356)+1)),"")," ",IFERROR(INDEX(Накл!$C$9:$C$550,SMALL(IF(Накл!$B$9:$B$550=A356,ROW(Накл!$B$9:$B$550)-ROW(Накл!$B$9)+1),ROW(D361)-ROW(A356)+1)),"")," ",IFERROR(INDEX(Накл!$C$9:$C$550,SMALL(IF(Накл!$B$9:$B$550=A356,ROW(Накл!$B$9:$B$550)-ROW(Накл!$B$9)+1),ROW(D362)-ROW(A356)+1)),"")," ",IFERROR(INDEX(Накл!$C$9:$C$550,SMALL(IF(Накл!$B$9:$B$550=A356,ROW(Накл!$B$9:$B$550)-ROW(Накл!$B$9)+1),ROW(D363)-ROW(A356)+1)),"")," ",IFERROR(INDEX(Накл!$C$9:$C$550,SMALL(IF(Накл!$B$9:$B$550=A356,ROW(Накл!$B$9:$B$550)-ROW(Накл!$B$9)+1),ROW(D364)-ROW(A356)+1)),"")," ",IFERROR(INDEX(Накл!$C$9:$C$550,SMALL(IF(Накл!$B$9:$B$550=A356,ROW(Накл!$B$9:$B$550)-ROW(Накл!$B$9)+1),ROW(D365)-ROW(A356)+1)),""))</f>
        <v xml:space="preserve">         </v>
      </c>
      <c r="E356" s="26" t="str">
        <f t="array" ref="E356">IF(LEN(D356)&lt;10,CONCATENATE(IFERROR(INDEX(Накл!$C$9:$C$550,SMALL(IF(Накл!$A$9:$A$550=VALUE(LEFT(A356,8)),ROW(Накл!$A$9:$A$550)-ROW(Накл!$A$9)+1),ROW(E356)-ROW(B356)+1)),"")," ",IFERROR(INDEX(Накл!$C$9:$C$550,SMALL(IF(Накл!$A$9:$A$550=VALUE(LEFT(A356,8)),ROW(Накл!$A$9:$A$550)-ROW(Накл!$A$9)+1),ROW(E357)-ROW(B356)+1)),"")," ",IFERROR(INDEX(Накл!$C$9:$C$550,SMALL(IF(Накл!$A$9:$A$550=VALUE(LEFT(A356,8)),ROW(Накл!$A$9:$A$550)-ROW(Накл!$A$9)+1),ROW(E358)-ROW(B356)+1)),"")," ",IFERROR(INDEX(Накл!$C$9:$C$550,SMALL(IF(Накл!$A$9:$A$550=VALUE(LEFT(A356,8)),ROW(Накл!$A$9:$A$550)-ROW(Накл!$A$9)+1),ROW(E359)-ROW(B356)+1)),"")),"")</f>
        <v xml:space="preserve">   </v>
      </c>
    </row>
    <row r="357" spans="1:5">
      <c r="A357" s="26" t="str">
        <f>IFERROR(CONCATENATE(VALUE(SUBSTITUTE(SUBSTITUTE(LEFT(Накл!G364,11),".",""),"-",""))," ",Накл!J364),"-")</f>
        <v>-</v>
      </c>
      <c r="B357" s="26" t="str">
        <f>IFERROR(VLOOKUP(VALUE(LEFT(A357,8)),Накл!$A$9:$D$550,4,0),"-")</f>
        <v>-</v>
      </c>
      <c r="C357" s="26">
        <f>Накл!J364</f>
        <v>0</v>
      </c>
      <c r="D357" s="33" t="str">
        <f t="array" ref="D357">CONCATENATE(IFERROR(INDEX(Накл!$C$9:$C$550,SMALL(IF(Накл!$B$9:$B$550=A357,ROW(Накл!$B$9:$B$550)-ROW(Накл!$B$9)+1),ROW(D357)-ROW(A357)+1)),"")," ",IFERROR(INDEX(Накл!$C$9:$C$550,SMALL(IF(Накл!$B$9:$B$550=A357,ROW(Накл!$B$9:$B$550)-ROW(Накл!$B$9)+1),ROW(D358)-ROW(A357)+1)),"")," ",IFERROR(INDEX(Накл!$C$9:$C$550,SMALL(IF(Накл!$B$9:$B$550=A357,ROW(Накл!$B$9:$B$550)-ROW(Накл!$B$9)+1),ROW(D359)-ROW(A357)+1)),"")," ",IFERROR(INDEX(Накл!$C$9:$C$550,SMALL(IF(Накл!$B$9:$B$550=A357,ROW(Накл!$B$9:$B$550)-ROW(Накл!$B$9)+1),ROW(D360)-ROW(A357)+1)),"")," ",IFERROR(INDEX(Накл!$C$9:$C$550,SMALL(IF(Накл!$B$9:$B$550=A357,ROW(Накл!$B$9:$B$550)-ROW(Накл!$B$9)+1),ROW(D361)-ROW(A357)+1)),"")," ",IFERROR(INDEX(Накл!$C$9:$C$550,SMALL(IF(Накл!$B$9:$B$550=A357,ROW(Накл!$B$9:$B$550)-ROW(Накл!$B$9)+1),ROW(D362)-ROW(A357)+1)),"")," ",IFERROR(INDEX(Накл!$C$9:$C$550,SMALL(IF(Накл!$B$9:$B$550=A357,ROW(Накл!$B$9:$B$550)-ROW(Накл!$B$9)+1),ROW(D363)-ROW(A357)+1)),"")," ",IFERROR(INDEX(Накл!$C$9:$C$550,SMALL(IF(Накл!$B$9:$B$550=A357,ROW(Накл!$B$9:$B$550)-ROW(Накл!$B$9)+1),ROW(D364)-ROW(A357)+1)),"")," ",IFERROR(INDEX(Накл!$C$9:$C$550,SMALL(IF(Накл!$B$9:$B$550=A357,ROW(Накл!$B$9:$B$550)-ROW(Накл!$B$9)+1),ROW(D365)-ROW(A357)+1)),"")," ",IFERROR(INDEX(Накл!$C$9:$C$550,SMALL(IF(Накл!$B$9:$B$550=A357,ROW(Накл!$B$9:$B$550)-ROW(Накл!$B$9)+1),ROW(D366)-ROW(A357)+1)),""))</f>
        <v xml:space="preserve">         </v>
      </c>
      <c r="E357" s="26" t="str">
        <f t="array" ref="E357">IF(LEN(D357)&lt;10,CONCATENATE(IFERROR(INDEX(Накл!$C$9:$C$550,SMALL(IF(Накл!$A$9:$A$550=VALUE(LEFT(A357,8)),ROW(Накл!$A$9:$A$550)-ROW(Накл!$A$9)+1),ROW(E357)-ROW(B357)+1)),"")," ",IFERROR(INDEX(Накл!$C$9:$C$550,SMALL(IF(Накл!$A$9:$A$550=VALUE(LEFT(A357,8)),ROW(Накл!$A$9:$A$550)-ROW(Накл!$A$9)+1),ROW(E358)-ROW(B357)+1)),"")," ",IFERROR(INDEX(Накл!$C$9:$C$550,SMALL(IF(Накл!$A$9:$A$550=VALUE(LEFT(A357,8)),ROW(Накл!$A$9:$A$550)-ROW(Накл!$A$9)+1),ROW(E359)-ROW(B357)+1)),"")," ",IFERROR(INDEX(Накл!$C$9:$C$550,SMALL(IF(Накл!$A$9:$A$550=VALUE(LEFT(A357,8)),ROW(Накл!$A$9:$A$550)-ROW(Накл!$A$9)+1),ROW(E360)-ROW(B357)+1)),"")),"")</f>
        <v xml:space="preserve">   </v>
      </c>
    </row>
    <row r="358" spans="1:5">
      <c r="A358" s="26" t="str">
        <f>IFERROR(CONCATENATE(VALUE(SUBSTITUTE(SUBSTITUTE(LEFT(Накл!G365,11),".",""),"-",""))," ",Накл!J365),"-")</f>
        <v>-</v>
      </c>
      <c r="B358" s="26" t="str">
        <f>IFERROR(VLOOKUP(VALUE(LEFT(A358,8)),Накл!$A$9:$D$550,4,0),"-")</f>
        <v>-</v>
      </c>
      <c r="C358" s="26">
        <f>Накл!J365</f>
        <v>0</v>
      </c>
      <c r="D358" s="33" t="str">
        <f t="array" ref="D358">CONCATENATE(IFERROR(INDEX(Накл!$C$9:$C$550,SMALL(IF(Накл!$B$9:$B$550=A358,ROW(Накл!$B$9:$B$550)-ROW(Накл!$B$9)+1),ROW(D358)-ROW(A358)+1)),"")," ",IFERROR(INDEX(Накл!$C$9:$C$550,SMALL(IF(Накл!$B$9:$B$550=A358,ROW(Накл!$B$9:$B$550)-ROW(Накл!$B$9)+1),ROW(D359)-ROW(A358)+1)),"")," ",IFERROR(INDEX(Накл!$C$9:$C$550,SMALL(IF(Накл!$B$9:$B$550=A358,ROW(Накл!$B$9:$B$550)-ROW(Накл!$B$9)+1),ROW(D360)-ROW(A358)+1)),"")," ",IFERROR(INDEX(Накл!$C$9:$C$550,SMALL(IF(Накл!$B$9:$B$550=A358,ROW(Накл!$B$9:$B$550)-ROW(Накл!$B$9)+1),ROW(D361)-ROW(A358)+1)),"")," ",IFERROR(INDEX(Накл!$C$9:$C$550,SMALL(IF(Накл!$B$9:$B$550=A358,ROW(Накл!$B$9:$B$550)-ROW(Накл!$B$9)+1),ROW(D362)-ROW(A358)+1)),"")," ",IFERROR(INDEX(Накл!$C$9:$C$550,SMALL(IF(Накл!$B$9:$B$550=A358,ROW(Накл!$B$9:$B$550)-ROW(Накл!$B$9)+1),ROW(D363)-ROW(A358)+1)),"")," ",IFERROR(INDEX(Накл!$C$9:$C$550,SMALL(IF(Накл!$B$9:$B$550=A358,ROW(Накл!$B$9:$B$550)-ROW(Накл!$B$9)+1),ROW(D364)-ROW(A358)+1)),"")," ",IFERROR(INDEX(Накл!$C$9:$C$550,SMALL(IF(Накл!$B$9:$B$550=A358,ROW(Накл!$B$9:$B$550)-ROW(Накл!$B$9)+1),ROW(D365)-ROW(A358)+1)),"")," ",IFERROR(INDEX(Накл!$C$9:$C$550,SMALL(IF(Накл!$B$9:$B$550=A358,ROW(Накл!$B$9:$B$550)-ROW(Накл!$B$9)+1),ROW(D366)-ROW(A358)+1)),"")," ",IFERROR(INDEX(Накл!$C$9:$C$550,SMALL(IF(Накл!$B$9:$B$550=A358,ROW(Накл!$B$9:$B$550)-ROW(Накл!$B$9)+1),ROW(D367)-ROW(A358)+1)),""))</f>
        <v xml:space="preserve">         </v>
      </c>
      <c r="E358" s="26" t="str">
        <f t="array" ref="E358">IF(LEN(D358)&lt;10,CONCATENATE(IFERROR(INDEX(Накл!$C$9:$C$550,SMALL(IF(Накл!$A$9:$A$550=VALUE(LEFT(A358,8)),ROW(Накл!$A$9:$A$550)-ROW(Накл!$A$9)+1),ROW(E358)-ROW(B358)+1)),"")," ",IFERROR(INDEX(Накл!$C$9:$C$550,SMALL(IF(Накл!$A$9:$A$550=VALUE(LEFT(A358,8)),ROW(Накл!$A$9:$A$550)-ROW(Накл!$A$9)+1),ROW(E359)-ROW(B358)+1)),"")," ",IFERROR(INDEX(Накл!$C$9:$C$550,SMALL(IF(Накл!$A$9:$A$550=VALUE(LEFT(A358,8)),ROW(Накл!$A$9:$A$550)-ROW(Накл!$A$9)+1),ROW(E360)-ROW(B358)+1)),"")," ",IFERROR(INDEX(Накл!$C$9:$C$550,SMALL(IF(Накл!$A$9:$A$550=VALUE(LEFT(A358,8)),ROW(Накл!$A$9:$A$550)-ROW(Накл!$A$9)+1),ROW(E361)-ROW(B358)+1)),"")),"")</f>
        <v xml:space="preserve">   </v>
      </c>
    </row>
    <row r="359" spans="1:5">
      <c r="A359" s="26" t="str">
        <f>IFERROR(CONCATENATE(VALUE(SUBSTITUTE(SUBSTITUTE(LEFT(Накл!G366,11),".",""),"-",""))," ",Накл!J366),"-")</f>
        <v>-</v>
      </c>
      <c r="B359" s="26" t="str">
        <f>IFERROR(VLOOKUP(VALUE(LEFT(A359,8)),Накл!$A$9:$D$550,4,0),"-")</f>
        <v>-</v>
      </c>
      <c r="C359" s="26">
        <f>Накл!J366</f>
        <v>0</v>
      </c>
      <c r="D359" s="33" t="str">
        <f t="array" ref="D359">CONCATENATE(IFERROR(INDEX(Накл!$C$9:$C$550,SMALL(IF(Накл!$B$9:$B$550=A359,ROW(Накл!$B$9:$B$550)-ROW(Накл!$B$9)+1),ROW(D359)-ROW(A359)+1)),"")," ",IFERROR(INDEX(Накл!$C$9:$C$550,SMALL(IF(Накл!$B$9:$B$550=A359,ROW(Накл!$B$9:$B$550)-ROW(Накл!$B$9)+1),ROW(D360)-ROW(A359)+1)),"")," ",IFERROR(INDEX(Накл!$C$9:$C$550,SMALL(IF(Накл!$B$9:$B$550=A359,ROW(Накл!$B$9:$B$550)-ROW(Накл!$B$9)+1),ROW(D361)-ROW(A359)+1)),"")," ",IFERROR(INDEX(Накл!$C$9:$C$550,SMALL(IF(Накл!$B$9:$B$550=A359,ROW(Накл!$B$9:$B$550)-ROW(Накл!$B$9)+1),ROW(D362)-ROW(A359)+1)),"")," ",IFERROR(INDEX(Накл!$C$9:$C$550,SMALL(IF(Накл!$B$9:$B$550=A359,ROW(Накл!$B$9:$B$550)-ROW(Накл!$B$9)+1),ROW(D363)-ROW(A359)+1)),"")," ",IFERROR(INDEX(Накл!$C$9:$C$550,SMALL(IF(Накл!$B$9:$B$550=A359,ROW(Накл!$B$9:$B$550)-ROW(Накл!$B$9)+1),ROW(D364)-ROW(A359)+1)),"")," ",IFERROR(INDEX(Накл!$C$9:$C$550,SMALL(IF(Накл!$B$9:$B$550=A359,ROW(Накл!$B$9:$B$550)-ROW(Накл!$B$9)+1),ROW(D365)-ROW(A359)+1)),"")," ",IFERROR(INDEX(Накл!$C$9:$C$550,SMALL(IF(Накл!$B$9:$B$550=A359,ROW(Накл!$B$9:$B$550)-ROW(Накл!$B$9)+1),ROW(D366)-ROW(A359)+1)),"")," ",IFERROR(INDEX(Накл!$C$9:$C$550,SMALL(IF(Накл!$B$9:$B$550=A359,ROW(Накл!$B$9:$B$550)-ROW(Накл!$B$9)+1),ROW(D367)-ROW(A359)+1)),"")," ",IFERROR(INDEX(Накл!$C$9:$C$550,SMALL(IF(Накл!$B$9:$B$550=A359,ROW(Накл!$B$9:$B$550)-ROW(Накл!$B$9)+1),ROW(D368)-ROW(A359)+1)),""))</f>
        <v xml:space="preserve">         </v>
      </c>
      <c r="E359" s="26" t="str">
        <f t="array" ref="E359">IF(LEN(D359)&lt;10,CONCATENATE(IFERROR(INDEX(Накл!$C$9:$C$550,SMALL(IF(Накл!$A$9:$A$550=VALUE(LEFT(A359,8)),ROW(Накл!$A$9:$A$550)-ROW(Накл!$A$9)+1),ROW(E359)-ROW(B359)+1)),"")," ",IFERROR(INDEX(Накл!$C$9:$C$550,SMALL(IF(Накл!$A$9:$A$550=VALUE(LEFT(A359,8)),ROW(Накл!$A$9:$A$550)-ROW(Накл!$A$9)+1),ROW(E360)-ROW(B359)+1)),"")," ",IFERROR(INDEX(Накл!$C$9:$C$550,SMALL(IF(Накл!$A$9:$A$550=VALUE(LEFT(A359,8)),ROW(Накл!$A$9:$A$550)-ROW(Накл!$A$9)+1),ROW(E361)-ROW(B359)+1)),"")," ",IFERROR(INDEX(Накл!$C$9:$C$550,SMALL(IF(Накл!$A$9:$A$550=VALUE(LEFT(A359,8)),ROW(Накл!$A$9:$A$550)-ROW(Накл!$A$9)+1),ROW(E362)-ROW(B359)+1)),"")),"")</f>
        <v xml:space="preserve">   </v>
      </c>
    </row>
    <row r="360" spans="1:5">
      <c r="A360" s="26" t="str">
        <f>IFERROR(CONCATENATE(VALUE(SUBSTITUTE(SUBSTITUTE(LEFT(Накл!G367,11),".",""),"-",""))," ",Накл!J367),"-")</f>
        <v>-</v>
      </c>
      <c r="B360" s="26" t="str">
        <f>IFERROR(VLOOKUP(VALUE(LEFT(A360,8)),Накл!$A$9:$D$550,4,0),"-")</f>
        <v>-</v>
      </c>
      <c r="C360" s="26">
        <f>Накл!J367</f>
        <v>0</v>
      </c>
      <c r="D360" s="33" t="str">
        <f t="array" ref="D360">CONCATENATE(IFERROR(INDEX(Накл!$C$9:$C$550,SMALL(IF(Накл!$B$9:$B$550=A360,ROW(Накл!$B$9:$B$550)-ROW(Накл!$B$9)+1),ROW(D360)-ROW(A360)+1)),"")," ",IFERROR(INDEX(Накл!$C$9:$C$550,SMALL(IF(Накл!$B$9:$B$550=A360,ROW(Накл!$B$9:$B$550)-ROW(Накл!$B$9)+1),ROW(D361)-ROW(A360)+1)),"")," ",IFERROR(INDEX(Накл!$C$9:$C$550,SMALL(IF(Накл!$B$9:$B$550=A360,ROW(Накл!$B$9:$B$550)-ROW(Накл!$B$9)+1),ROW(D362)-ROW(A360)+1)),"")," ",IFERROR(INDEX(Накл!$C$9:$C$550,SMALL(IF(Накл!$B$9:$B$550=A360,ROW(Накл!$B$9:$B$550)-ROW(Накл!$B$9)+1),ROW(D363)-ROW(A360)+1)),"")," ",IFERROR(INDEX(Накл!$C$9:$C$550,SMALL(IF(Накл!$B$9:$B$550=A360,ROW(Накл!$B$9:$B$550)-ROW(Накл!$B$9)+1),ROW(D364)-ROW(A360)+1)),"")," ",IFERROR(INDEX(Накл!$C$9:$C$550,SMALL(IF(Накл!$B$9:$B$550=A360,ROW(Накл!$B$9:$B$550)-ROW(Накл!$B$9)+1),ROW(D365)-ROW(A360)+1)),"")," ",IFERROR(INDEX(Накл!$C$9:$C$550,SMALL(IF(Накл!$B$9:$B$550=A360,ROW(Накл!$B$9:$B$550)-ROW(Накл!$B$9)+1),ROW(D366)-ROW(A360)+1)),"")," ",IFERROR(INDEX(Накл!$C$9:$C$550,SMALL(IF(Накл!$B$9:$B$550=A360,ROW(Накл!$B$9:$B$550)-ROW(Накл!$B$9)+1),ROW(D367)-ROW(A360)+1)),"")," ",IFERROR(INDEX(Накл!$C$9:$C$550,SMALL(IF(Накл!$B$9:$B$550=A360,ROW(Накл!$B$9:$B$550)-ROW(Накл!$B$9)+1),ROW(D368)-ROW(A360)+1)),"")," ",IFERROR(INDEX(Накл!$C$9:$C$550,SMALL(IF(Накл!$B$9:$B$550=A360,ROW(Накл!$B$9:$B$550)-ROW(Накл!$B$9)+1),ROW(D369)-ROW(A360)+1)),""))</f>
        <v xml:space="preserve">         </v>
      </c>
      <c r="E360" s="26" t="str">
        <f t="array" ref="E360">IF(LEN(D360)&lt;10,CONCATENATE(IFERROR(INDEX(Накл!$C$9:$C$550,SMALL(IF(Накл!$A$9:$A$550=VALUE(LEFT(A360,8)),ROW(Накл!$A$9:$A$550)-ROW(Накл!$A$9)+1),ROW(E360)-ROW(B360)+1)),"")," ",IFERROR(INDEX(Накл!$C$9:$C$550,SMALL(IF(Накл!$A$9:$A$550=VALUE(LEFT(A360,8)),ROW(Накл!$A$9:$A$550)-ROW(Накл!$A$9)+1),ROW(E361)-ROW(B360)+1)),"")," ",IFERROR(INDEX(Накл!$C$9:$C$550,SMALL(IF(Накл!$A$9:$A$550=VALUE(LEFT(A360,8)),ROW(Накл!$A$9:$A$550)-ROW(Накл!$A$9)+1),ROW(E362)-ROW(B360)+1)),"")," ",IFERROR(INDEX(Накл!$C$9:$C$550,SMALL(IF(Накл!$A$9:$A$550=VALUE(LEFT(A360,8)),ROW(Накл!$A$9:$A$550)-ROW(Накл!$A$9)+1),ROW(E363)-ROW(B360)+1)),"")),"")</f>
        <v xml:space="preserve">   </v>
      </c>
    </row>
    <row r="361" spans="1:5">
      <c r="A361" s="26" t="str">
        <f>IFERROR(CONCATENATE(VALUE(SUBSTITUTE(SUBSTITUTE(LEFT(Накл!G368,11),".",""),"-",""))," ",Накл!J368),"-")</f>
        <v>-</v>
      </c>
      <c r="B361" s="26" t="str">
        <f>IFERROR(VLOOKUP(VALUE(LEFT(A361,8)),Накл!$A$9:$D$550,4,0),"-")</f>
        <v>-</v>
      </c>
      <c r="C361" s="26">
        <f>Накл!J368</f>
        <v>0</v>
      </c>
      <c r="D361" s="33" t="str">
        <f t="array" ref="D361">CONCATENATE(IFERROR(INDEX(Накл!$C$9:$C$550,SMALL(IF(Накл!$B$9:$B$550=A361,ROW(Накл!$B$9:$B$550)-ROW(Накл!$B$9)+1),ROW(D361)-ROW(A361)+1)),"")," ",IFERROR(INDEX(Накл!$C$9:$C$550,SMALL(IF(Накл!$B$9:$B$550=A361,ROW(Накл!$B$9:$B$550)-ROW(Накл!$B$9)+1),ROW(D362)-ROW(A361)+1)),"")," ",IFERROR(INDEX(Накл!$C$9:$C$550,SMALL(IF(Накл!$B$9:$B$550=A361,ROW(Накл!$B$9:$B$550)-ROW(Накл!$B$9)+1),ROW(D363)-ROW(A361)+1)),"")," ",IFERROR(INDEX(Накл!$C$9:$C$550,SMALL(IF(Накл!$B$9:$B$550=A361,ROW(Накл!$B$9:$B$550)-ROW(Накл!$B$9)+1),ROW(D364)-ROW(A361)+1)),"")," ",IFERROR(INDEX(Накл!$C$9:$C$550,SMALL(IF(Накл!$B$9:$B$550=A361,ROW(Накл!$B$9:$B$550)-ROW(Накл!$B$9)+1),ROW(D365)-ROW(A361)+1)),"")," ",IFERROR(INDEX(Накл!$C$9:$C$550,SMALL(IF(Накл!$B$9:$B$550=A361,ROW(Накл!$B$9:$B$550)-ROW(Накл!$B$9)+1),ROW(D366)-ROW(A361)+1)),"")," ",IFERROR(INDEX(Накл!$C$9:$C$550,SMALL(IF(Накл!$B$9:$B$550=A361,ROW(Накл!$B$9:$B$550)-ROW(Накл!$B$9)+1),ROW(D367)-ROW(A361)+1)),"")," ",IFERROR(INDEX(Накл!$C$9:$C$550,SMALL(IF(Накл!$B$9:$B$550=A361,ROW(Накл!$B$9:$B$550)-ROW(Накл!$B$9)+1),ROW(D368)-ROW(A361)+1)),"")," ",IFERROR(INDEX(Накл!$C$9:$C$550,SMALL(IF(Накл!$B$9:$B$550=A361,ROW(Накл!$B$9:$B$550)-ROW(Накл!$B$9)+1),ROW(D369)-ROW(A361)+1)),"")," ",IFERROR(INDEX(Накл!$C$9:$C$550,SMALL(IF(Накл!$B$9:$B$550=A361,ROW(Накл!$B$9:$B$550)-ROW(Накл!$B$9)+1),ROW(D370)-ROW(A361)+1)),""))</f>
        <v xml:space="preserve">         </v>
      </c>
      <c r="E361" s="26" t="str">
        <f t="array" ref="E361">IF(LEN(D361)&lt;10,CONCATENATE(IFERROR(INDEX(Накл!$C$9:$C$550,SMALL(IF(Накл!$A$9:$A$550=VALUE(LEFT(A361,8)),ROW(Накл!$A$9:$A$550)-ROW(Накл!$A$9)+1),ROW(E361)-ROW(B361)+1)),"")," ",IFERROR(INDEX(Накл!$C$9:$C$550,SMALL(IF(Накл!$A$9:$A$550=VALUE(LEFT(A361,8)),ROW(Накл!$A$9:$A$550)-ROW(Накл!$A$9)+1),ROW(E362)-ROW(B361)+1)),"")," ",IFERROR(INDEX(Накл!$C$9:$C$550,SMALL(IF(Накл!$A$9:$A$550=VALUE(LEFT(A361,8)),ROW(Накл!$A$9:$A$550)-ROW(Накл!$A$9)+1),ROW(E363)-ROW(B361)+1)),"")," ",IFERROR(INDEX(Накл!$C$9:$C$550,SMALL(IF(Накл!$A$9:$A$550=VALUE(LEFT(A361,8)),ROW(Накл!$A$9:$A$550)-ROW(Накл!$A$9)+1),ROW(E364)-ROW(B361)+1)),"")),"")</f>
        <v xml:space="preserve">   </v>
      </c>
    </row>
    <row r="362" spans="1:5">
      <c r="A362" s="26" t="str">
        <f>IFERROR(CONCATENATE(VALUE(SUBSTITUTE(SUBSTITUTE(LEFT(Накл!G369,11),".",""),"-",""))," ",Накл!J369),"-")</f>
        <v>-</v>
      </c>
      <c r="B362" s="26" t="str">
        <f>IFERROR(VLOOKUP(VALUE(LEFT(A362,8)),Накл!$A$9:$D$550,4,0),"-")</f>
        <v>-</v>
      </c>
      <c r="C362" s="26">
        <f>Накл!J369</f>
        <v>0</v>
      </c>
      <c r="D362" s="33" t="str">
        <f t="array" ref="D362">CONCATENATE(IFERROR(INDEX(Накл!$C$9:$C$550,SMALL(IF(Накл!$B$9:$B$550=A362,ROW(Накл!$B$9:$B$550)-ROW(Накл!$B$9)+1),ROW(D362)-ROW(A362)+1)),"")," ",IFERROR(INDEX(Накл!$C$9:$C$550,SMALL(IF(Накл!$B$9:$B$550=A362,ROW(Накл!$B$9:$B$550)-ROW(Накл!$B$9)+1),ROW(D363)-ROW(A362)+1)),"")," ",IFERROR(INDEX(Накл!$C$9:$C$550,SMALL(IF(Накл!$B$9:$B$550=A362,ROW(Накл!$B$9:$B$550)-ROW(Накл!$B$9)+1),ROW(D364)-ROW(A362)+1)),"")," ",IFERROR(INDEX(Накл!$C$9:$C$550,SMALL(IF(Накл!$B$9:$B$550=A362,ROW(Накл!$B$9:$B$550)-ROW(Накл!$B$9)+1),ROW(D365)-ROW(A362)+1)),"")," ",IFERROR(INDEX(Накл!$C$9:$C$550,SMALL(IF(Накл!$B$9:$B$550=A362,ROW(Накл!$B$9:$B$550)-ROW(Накл!$B$9)+1),ROW(D366)-ROW(A362)+1)),"")," ",IFERROR(INDEX(Накл!$C$9:$C$550,SMALL(IF(Накл!$B$9:$B$550=A362,ROW(Накл!$B$9:$B$550)-ROW(Накл!$B$9)+1),ROW(D367)-ROW(A362)+1)),"")," ",IFERROR(INDEX(Накл!$C$9:$C$550,SMALL(IF(Накл!$B$9:$B$550=A362,ROW(Накл!$B$9:$B$550)-ROW(Накл!$B$9)+1),ROW(D368)-ROW(A362)+1)),"")," ",IFERROR(INDEX(Накл!$C$9:$C$550,SMALL(IF(Накл!$B$9:$B$550=A362,ROW(Накл!$B$9:$B$550)-ROW(Накл!$B$9)+1),ROW(D369)-ROW(A362)+1)),"")," ",IFERROR(INDEX(Накл!$C$9:$C$550,SMALL(IF(Накл!$B$9:$B$550=A362,ROW(Накл!$B$9:$B$550)-ROW(Накл!$B$9)+1),ROW(D370)-ROW(A362)+1)),"")," ",IFERROR(INDEX(Накл!$C$9:$C$550,SMALL(IF(Накл!$B$9:$B$550=A362,ROW(Накл!$B$9:$B$550)-ROW(Накл!$B$9)+1),ROW(D371)-ROW(A362)+1)),""))</f>
        <v xml:space="preserve">         </v>
      </c>
      <c r="E362" s="26" t="str">
        <f t="array" ref="E362">IF(LEN(D362)&lt;10,CONCATENATE(IFERROR(INDEX(Накл!$C$9:$C$550,SMALL(IF(Накл!$A$9:$A$550=VALUE(LEFT(A362,8)),ROW(Накл!$A$9:$A$550)-ROW(Накл!$A$9)+1),ROW(E362)-ROW(B362)+1)),"")," ",IFERROR(INDEX(Накл!$C$9:$C$550,SMALL(IF(Накл!$A$9:$A$550=VALUE(LEFT(A362,8)),ROW(Накл!$A$9:$A$550)-ROW(Накл!$A$9)+1),ROW(E363)-ROW(B362)+1)),"")," ",IFERROR(INDEX(Накл!$C$9:$C$550,SMALL(IF(Накл!$A$9:$A$550=VALUE(LEFT(A362,8)),ROW(Накл!$A$9:$A$550)-ROW(Накл!$A$9)+1),ROW(E364)-ROW(B362)+1)),"")," ",IFERROR(INDEX(Накл!$C$9:$C$550,SMALL(IF(Накл!$A$9:$A$550=VALUE(LEFT(A362,8)),ROW(Накл!$A$9:$A$550)-ROW(Накл!$A$9)+1),ROW(E365)-ROW(B362)+1)),"")),"")</f>
        <v xml:space="preserve">   </v>
      </c>
    </row>
    <row r="363" spans="1:5">
      <c r="A363" s="26" t="str">
        <f>IFERROR(CONCATENATE(VALUE(SUBSTITUTE(SUBSTITUTE(LEFT(Накл!G370,11),".",""),"-",""))," ",Накл!J370),"-")</f>
        <v>-</v>
      </c>
      <c r="B363" s="26" t="str">
        <f>IFERROR(VLOOKUP(VALUE(LEFT(A363,8)),Накл!$A$9:$D$550,4,0),"-")</f>
        <v>-</v>
      </c>
      <c r="C363" s="26">
        <f>Накл!J370</f>
        <v>0</v>
      </c>
      <c r="D363" s="33" t="str">
        <f t="array" ref="D363">CONCATENATE(IFERROR(INDEX(Накл!$C$9:$C$550,SMALL(IF(Накл!$B$9:$B$550=A363,ROW(Накл!$B$9:$B$550)-ROW(Накл!$B$9)+1),ROW(D363)-ROW(A363)+1)),"")," ",IFERROR(INDEX(Накл!$C$9:$C$550,SMALL(IF(Накл!$B$9:$B$550=A363,ROW(Накл!$B$9:$B$550)-ROW(Накл!$B$9)+1),ROW(D364)-ROW(A363)+1)),"")," ",IFERROR(INDEX(Накл!$C$9:$C$550,SMALL(IF(Накл!$B$9:$B$550=A363,ROW(Накл!$B$9:$B$550)-ROW(Накл!$B$9)+1),ROW(D365)-ROW(A363)+1)),"")," ",IFERROR(INDEX(Накл!$C$9:$C$550,SMALL(IF(Накл!$B$9:$B$550=A363,ROW(Накл!$B$9:$B$550)-ROW(Накл!$B$9)+1),ROW(D366)-ROW(A363)+1)),"")," ",IFERROR(INDEX(Накл!$C$9:$C$550,SMALL(IF(Накл!$B$9:$B$550=A363,ROW(Накл!$B$9:$B$550)-ROW(Накл!$B$9)+1),ROW(D367)-ROW(A363)+1)),"")," ",IFERROR(INDEX(Накл!$C$9:$C$550,SMALL(IF(Накл!$B$9:$B$550=A363,ROW(Накл!$B$9:$B$550)-ROW(Накл!$B$9)+1),ROW(D368)-ROW(A363)+1)),"")," ",IFERROR(INDEX(Накл!$C$9:$C$550,SMALL(IF(Накл!$B$9:$B$550=A363,ROW(Накл!$B$9:$B$550)-ROW(Накл!$B$9)+1),ROW(D369)-ROW(A363)+1)),"")," ",IFERROR(INDEX(Накл!$C$9:$C$550,SMALL(IF(Накл!$B$9:$B$550=A363,ROW(Накл!$B$9:$B$550)-ROW(Накл!$B$9)+1),ROW(D370)-ROW(A363)+1)),"")," ",IFERROR(INDEX(Накл!$C$9:$C$550,SMALL(IF(Накл!$B$9:$B$550=A363,ROW(Накл!$B$9:$B$550)-ROW(Накл!$B$9)+1),ROW(D371)-ROW(A363)+1)),"")," ",IFERROR(INDEX(Накл!$C$9:$C$550,SMALL(IF(Накл!$B$9:$B$550=A363,ROW(Накл!$B$9:$B$550)-ROW(Накл!$B$9)+1),ROW(D372)-ROW(A363)+1)),""))</f>
        <v xml:space="preserve">         </v>
      </c>
      <c r="E363" s="26" t="str">
        <f t="array" ref="E363">IF(LEN(D363)&lt;10,CONCATENATE(IFERROR(INDEX(Накл!$C$9:$C$550,SMALL(IF(Накл!$A$9:$A$550=VALUE(LEFT(A363,8)),ROW(Накл!$A$9:$A$550)-ROW(Накл!$A$9)+1),ROW(E363)-ROW(B363)+1)),"")," ",IFERROR(INDEX(Накл!$C$9:$C$550,SMALL(IF(Накл!$A$9:$A$550=VALUE(LEFT(A363,8)),ROW(Накл!$A$9:$A$550)-ROW(Накл!$A$9)+1),ROW(E364)-ROW(B363)+1)),"")," ",IFERROR(INDEX(Накл!$C$9:$C$550,SMALL(IF(Накл!$A$9:$A$550=VALUE(LEFT(A363,8)),ROW(Накл!$A$9:$A$550)-ROW(Накл!$A$9)+1),ROW(E365)-ROW(B363)+1)),"")," ",IFERROR(INDEX(Накл!$C$9:$C$550,SMALL(IF(Накл!$A$9:$A$550=VALUE(LEFT(A363,8)),ROW(Накл!$A$9:$A$550)-ROW(Накл!$A$9)+1),ROW(E366)-ROW(B363)+1)),"")),"")</f>
        <v xml:space="preserve">   </v>
      </c>
    </row>
    <row r="364" spans="1:5">
      <c r="A364" s="26" t="str">
        <f>IFERROR(CONCATENATE(VALUE(SUBSTITUTE(SUBSTITUTE(LEFT(Накл!G371,11),".",""),"-",""))," ",Накл!J371),"-")</f>
        <v>-</v>
      </c>
      <c r="B364" s="26" t="str">
        <f>IFERROR(VLOOKUP(VALUE(LEFT(A364,8)),Накл!$A$9:$D$550,4,0),"-")</f>
        <v>-</v>
      </c>
      <c r="C364" s="26">
        <f>Накл!J371</f>
        <v>0</v>
      </c>
      <c r="D364" s="33" t="str">
        <f t="array" ref="D364">CONCATENATE(IFERROR(INDEX(Накл!$C$9:$C$550,SMALL(IF(Накл!$B$9:$B$550=A364,ROW(Накл!$B$9:$B$550)-ROW(Накл!$B$9)+1),ROW(D364)-ROW(A364)+1)),"")," ",IFERROR(INDEX(Накл!$C$9:$C$550,SMALL(IF(Накл!$B$9:$B$550=A364,ROW(Накл!$B$9:$B$550)-ROW(Накл!$B$9)+1),ROW(D365)-ROW(A364)+1)),"")," ",IFERROR(INDEX(Накл!$C$9:$C$550,SMALL(IF(Накл!$B$9:$B$550=A364,ROW(Накл!$B$9:$B$550)-ROW(Накл!$B$9)+1),ROW(D366)-ROW(A364)+1)),"")," ",IFERROR(INDEX(Накл!$C$9:$C$550,SMALL(IF(Накл!$B$9:$B$550=A364,ROW(Накл!$B$9:$B$550)-ROW(Накл!$B$9)+1),ROW(D367)-ROW(A364)+1)),"")," ",IFERROR(INDEX(Накл!$C$9:$C$550,SMALL(IF(Накл!$B$9:$B$550=A364,ROW(Накл!$B$9:$B$550)-ROW(Накл!$B$9)+1),ROW(D368)-ROW(A364)+1)),"")," ",IFERROR(INDEX(Накл!$C$9:$C$550,SMALL(IF(Накл!$B$9:$B$550=A364,ROW(Накл!$B$9:$B$550)-ROW(Накл!$B$9)+1),ROW(D369)-ROW(A364)+1)),"")," ",IFERROR(INDEX(Накл!$C$9:$C$550,SMALL(IF(Накл!$B$9:$B$550=A364,ROW(Накл!$B$9:$B$550)-ROW(Накл!$B$9)+1),ROW(D370)-ROW(A364)+1)),"")," ",IFERROR(INDEX(Накл!$C$9:$C$550,SMALL(IF(Накл!$B$9:$B$550=A364,ROW(Накл!$B$9:$B$550)-ROW(Накл!$B$9)+1),ROW(D371)-ROW(A364)+1)),"")," ",IFERROR(INDEX(Накл!$C$9:$C$550,SMALL(IF(Накл!$B$9:$B$550=A364,ROW(Накл!$B$9:$B$550)-ROW(Накл!$B$9)+1),ROW(D372)-ROW(A364)+1)),"")," ",IFERROR(INDEX(Накл!$C$9:$C$550,SMALL(IF(Накл!$B$9:$B$550=A364,ROW(Накл!$B$9:$B$550)-ROW(Накл!$B$9)+1),ROW(D373)-ROW(A364)+1)),""))</f>
        <v xml:space="preserve">         </v>
      </c>
      <c r="E364" s="26" t="str">
        <f t="array" ref="E364">IF(LEN(D364)&lt;10,CONCATENATE(IFERROR(INDEX(Накл!$C$9:$C$550,SMALL(IF(Накл!$A$9:$A$550=VALUE(LEFT(A364,8)),ROW(Накл!$A$9:$A$550)-ROW(Накл!$A$9)+1),ROW(E364)-ROW(B364)+1)),"")," ",IFERROR(INDEX(Накл!$C$9:$C$550,SMALL(IF(Накл!$A$9:$A$550=VALUE(LEFT(A364,8)),ROW(Накл!$A$9:$A$550)-ROW(Накл!$A$9)+1),ROW(E365)-ROW(B364)+1)),"")," ",IFERROR(INDEX(Накл!$C$9:$C$550,SMALL(IF(Накл!$A$9:$A$550=VALUE(LEFT(A364,8)),ROW(Накл!$A$9:$A$550)-ROW(Накл!$A$9)+1),ROW(E366)-ROW(B364)+1)),"")," ",IFERROR(INDEX(Накл!$C$9:$C$550,SMALL(IF(Накл!$A$9:$A$550=VALUE(LEFT(A364,8)),ROW(Накл!$A$9:$A$550)-ROW(Накл!$A$9)+1),ROW(E367)-ROW(B364)+1)),"")),"")</f>
        <v xml:space="preserve">   </v>
      </c>
    </row>
    <row r="365" spans="1:5">
      <c r="A365" s="26" t="str">
        <f>IFERROR(CONCATENATE(VALUE(SUBSTITUTE(SUBSTITUTE(LEFT(Накл!G372,11),".",""),"-",""))," ",Накл!J372),"-")</f>
        <v>-</v>
      </c>
      <c r="B365" s="26" t="str">
        <f>IFERROR(VLOOKUP(VALUE(LEFT(A365,8)),Накл!$A$9:$D$550,4,0),"-")</f>
        <v>-</v>
      </c>
      <c r="C365" s="26">
        <f>Накл!J372</f>
        <v>0</v>
      </c>
      <c r="D365" s="33" t="str">
        <f t="array" ref="D365">CONCATENATE(IFERROR(INDEX(Накл!$C$9:$C$550,SMALL(IF(Накл!$B$9:$B$550=A365,ROW(Накл!$B$9:$B$550)-ROW(Накл!$B$9)+1),ROW(D365)-ROW(A365)+1)),"")," ",IFERROR(INDEX(Накл!$C$9:$C$550,SMALL(IF(Накл!$B$9:$B$550=A365,ROW(Накл!$B$9:$B$550)-ROW(Накл!$B$9)+1),ROW(D366)-ROW(A365)+1)),"")," ",IFERROR(INDEX(Накл!$C$9:$C$550,SMALL(IF(Накл!$B$9:$B$550=A365,ROW(Накл!$B$9:$B$550)-ROW(Накл!$B$9)+1),ROW(D367)-ROW(A365)+1)),"")," ",IFERROR(INDEX(Накл!$C$9:$C$550,SMALL(IF(Накл!$B$9:$B$550=A365,ROW(Накл!$B$9:$B$550)-ROW(Накл!$B$9)+1),ROW(D368)-ROW(A365)+1)),"")," ",IFERROR(INDEX(Накл!$C$9:$C$550,SMALL(IF(Накл!$B$9:$B$550=A365,ROW(Накл!$B$9:$B$550)-ROW(Накл!$B$9)+1),ROW(D369)-ROW(A365)+1)),"")," ",IFERROR(INDEX(Накл!$C$9:$C$550,SMALL(IF(Накл!$B$9:$B$550=A365,ROW(Накл!$B$9:$B$550)-ROW(Накл!$B$9)+1),ROW(D370)-ROW(A365)+1)),"")," ",IFERROR(INDEX(Накл!$C$9:$C$550,SMALL(IF(Накл!$B$9:$B$550=A365,ROW(Накл!$B$9:$B$550)-ROW(Накл!$B$9)+1),ROW(D371)-ROW(A365)+1)),"")," ",IFERROR(INDEX(Накл!$C$9:$C$550,SMALL(IF(Накл!$B$9:$B$550=A365,ROW(Накл!$B$9:$B$550)-ROW(Накл!$B$9)+1),ROW(D372)-ROW(A365)+1)),"")," ",IFERROR(INDEX(Накл!$C$9:$C$550,SMALL(IF(Накл!$B$9:$B$550=A365,ROW(Накл!$B$9:$B$550)-ROW(Накл!$B$9)+1),ROW(D373)-ROW(A365)+1)),"")," ",IFERROR(INDEX(Накл!$C$9:$C$550,SMALL(IF(Накл!$B$9:$B$550=A365,ROW(Накл!$B$9:$B$550)-ROW(Накл!$B$9)+1),ROW(D374)-ROW(A365)+1)),""))</f>
        <v xml:space="preserve">         </v>
      </c>
      <c r="E365" s="26" t="str">
        <f t="array" ref="E365">IF(LEN(D365)&lt;10,CONCATENATE(IFERROR(INDEX(Накл!$C$9:$C$550,SMALL(IF(Накл!$A$9:$A$550=VALUE(LEFT(A365,8)),ROW(Накл!$A$9:$A$550)-ROW(Накл!$A$9)+1),ROW(E365)-ROW(B365)+1)),"")," ",IFERROR(INDEX(Накл!$C$9:$C$550,SMALL(IF(Накл!$A$9:$A$550=VALUE(LEFT(A365,8)),ROW(Накл!$A$9:$A$550)-ROW(Накл!$A$9)+1),ROW(E366)-ROW(B365)+1)),"")," ",IFERROR(INDEX(Накл!$C$9:$C$550,SMALL(IF(Накл!$A$9:$A$550=VALUE(LEFT(A365,8)),ROW(Накл!$A$9:$A$550)-ROW(Накл!$A$9)+1),ROW(E367)-ROW(B365)+1)),"")," ",IFERROR(INDEX(Накл!$C$9:$C$550,SMALL(IF(Накл!$A$9:$A$550=VALUE(LEFT(A365,8)),ROW(Накл!$A$9:$A$550)-ROW(Накл!$A$9)+1),ROW(E368)-ROW(B365)+1)),"")),"")</f>
        <v xml:space="preserve">   </v>
      </c>
    </row>
    <row r="366" spans="1:5">
      <c r="A366" s="26" t="str">
        <f>IFERROR(CONCATENATE(VALUE(SUBSTITUTE(SUBSTITUTE(LEFT(Накл!G373,11),".",""),"-",""))," ",Накл!J373),"-")</f>
        <v>-</v>
      </c>
      <c r="B366" s="26" t="str">
        <f>IFERROR(VLOOKUP(VALUE(LEFT(A366,8)),Накл!$A$9:$D$550,4,0),"-")</f>
        <v>-</v>
      </c>
      <c r="C366" s="26">
        <f>Накл!J373</f>
        <v>0</v>
      </c>
      <c r="D366" s="33" t="str">
        <f t="array" ref="D366">CONCATENATE(IFERROR(INDEX(Накл!$C$9:$C$550,SMALL(IF(Накл!$B$9:$B$550=A366,ROW(Накл!$B$9:$B$550)-ROW(Накл!$B$9)+1),ROW(D366)-ROW(A366)+1)),"")," ",IFERROR(INDEX(Накл!$C$9:$C$550,SMALL(IF(Накл!$B$9:$B$550=A366,ROW(Накл!$B$9:$B$550)-ROW(Накл!$B$9)+1),ROW(D367)-ROW(A366)+1)),"")," ",IFERROR(INDEX(Накл!$C$9:$C$550,SMALL(IF(Накл!$B$9:$B$550=A366,ROW(Накл!$B$9:$B$550)-ROW(Накл!$B$9)+1),ROW(D368)-ROW(A366)+1)),"")," ",IFERROR(INDEX(Накл!$C$9:$C$550,SMALL(IF(Накл!$B$9:$B$550=A366,ROW(Накл!$B$9:$B$550)-ROW(Накл!$B$9)+1),ROW(D369)-ROW(A366)+1)),"")," ",IFERROR(INDEX(Накл!$C$9:$C$550,SMALL(IF(Накл!$B$9:$B$550=A366,ROW(Накл!$B$9:$B$550)-ROW(Накл!$B$9)+1),ROW(D370)-ROW(A366)+1)),"")," ",IFERROR(INDEX(Накл!$C$9:$C$550,SMALL(IF(Накл!$B$9:$B$550=A366,ROW(Накл!$B$9:$B$550)-ROW(Накл!$B$9)+1),ROW(D371)-ROW(A366)+1)),"")," ",IFERROR(INDEX(Накл!$C$9:$C$550,SMALL(IF(Накл!$B$9:$B$550=A366,ROW(Накл!$B$9:$B$550)-ROW(Накл!$B$9)+1),ROW(D372)-ROW(A366)+1)),"")," ",IFERROR(INDEX(Накл!$C$9:$C$550,SMALL(IF(Накл!$B$9:$B$550=A366,ROW(Накл!$B$9:$B$550)-ROW(Накл!$B$9)+1),ROW(D373)-ROW(A366)+1)),"")," ",IFERROR(INDEX(Накл!$C$9:$C$550,SMALL(IF(Накл!$B$9:$B$550=A366,ROW(Накл!$B$9:$B$550)-ROW(Накл!$B$9)+1),ROW(D374)-ROW(A366)+1)),"")," ",IFERROR(INDEX(Накл!$C$9:$C$550,SMALL(IF(Накл!$B$9:$B$550=A366,ROW(Накл!$B$9:$B$550)-ROW(Накл!$B$9)+1),ROW(D375)-ROW(A366)+1)),""))</f>
        <v xml:space="preserve">         </v>
      </c>
      <c r="E366" s="26" t="str">
        <f t="array" ref="E366">IF(LEN(D366)&lt;10,CONCATENATE(IFERROR(INDEX(Накл!$C$9:$C$550,SMALL(IF(Накл!$A$9:$A$550=VALUE(LEFT(A366,8)),ROW(Накл!$A$9:$A$550)-ROW(Накл!$A$9)+1),ROW(E366)-ROW(B366)+1)),"")," ",IFERROR(INDEX(Накл!$C$9:$C$550,SMALL(IF(Накл!$A$9:$A$550=VALUE(LEFT(A366,8)),ROW(Накл!$A$9:$A$550)-ROW(Накл!$A$9)+1),ROW(E367)-ROW(B366)+1)),"")," ",IFERROR(INDEX(Накл!$C$9:$C$550,SMALL(IF(Накл!$A$9:$A$550=VALUE(LEFT(A366,8)),ROW(Накл!$A$9:$A$550)-ROW(Накл!$A$9)+1),ROW(E368)-ROW(B366)+1)),"")," ",IFERROR(INDEX(Накл!$C$9:$C$550,SMALL(IF(Накл!$A$9:$A$550=VALUE(LEFT(A366,8)),ROW(Накл!$A$9:$A$550)-ROW(Накл!$A$9)+1),ROW(E369)-ROW(B366)+1)),"")),"")</f>
        <v xml:space="preserve">   </v>
      </c>
    </row>
    <row r="367" spans="1:5">
      <c r="A367" s="26" t="str">
        <f>IFERROR(CONCATENATE(VALUE(SUBSTITUTE(SUBSTITUTE(LEFT(Накл!G374,11),".",""),"-",""))," ",Накл!J374),"-")</f>
        <v>-</v>
      </c>
      <c r="B367" s="26" t="str">
        <f>IFERROR(VLOOKUP(VALUE(LEFT(A367,8)),Накл!$A$9:$D$550,4,0),"-")</f>
        <v>-</v>
      </c>
      <c r="C367" s="26">
        <f>Накл!J374</f>
        <v>0</v>
      </c>
      <c r="D367" s="33" t="str">
        <f t="array" ref="D367">CONCATENATE(IFERROR(INDEX(Накл!$C$9:$C$550,SMALL(IF(Накл!$B$9:$B$550=A367,ROW(Накл!$B$9:$B$550)-ROW(Накл!$B$9)+1),ROW(D367)-ROW(A367)+1)),"")," ",IFERROR(INDEX(Накл!$C$9:$C$550,SMALL(IF(Накл!$B$9:$B$550=A367,ROW(Накл!$B$9:$B$550)-ROW(Накл!$B$9)+1),ROW(D368)-ROW(A367)+1)),"")," ",IFERROR(INDEX(Накл!$C$9:$C$550,SMALL(IF(Накл!$B$9:$B$550=A367,ROW(Накл!$B$9:$B$550)-ROW(Накл!$B$9)+1),ROW(D369)-ROW(A367)+1)),"")," ",IFERROR(INDEX(Накл!$C$9:$C$550,SMALL(IF(Накл!$B$9:$B$550=A367,ROW(Накл!$B$9:$B$550)-ROW(Накл!$B$9)+1),ROW(D370)-ROW(A367)+1)),"")," ",IFERROR(INDEX(Накл!$C$9:$C$550,SMALL(IF(Накл!$B$9:$B$550=A367,ROW(Накл!$B$9:$B$550)-ROW(Накл!$B$9)+1),ROW(D371)-ROW(A367)+1)),"")," ",IFERROR(INDEX(Накл!$C$9:$C$550,SMALL(IF(Накл!$B$9:$B$550=A367,ROW(Накл!$B$9:$B$550)-ROW(Накл!$B$9)+1),ROW(D372)-ROW(A367)+1)),"")," ",IFERROR(INDEX(Накл!$C$9:$C$550,SMALL(IF(Накл!$B$9:$B$550=A367,ROW(Накл!$B$9:$B$550)-ROW(Накл!$B$9)+1),ROW(D373)-ROW(A367)+1)),"")," ",IFERROR(INDEX(Накл!$C$9:$C$550,SMALL(IF(Накл!$B$9:$B$550=A367,ROW(Накл!$B$9:$B$550)-ROW(Накл!$B$9)+1),ROW(D374)-ROW(A367)+1)),"")," ",IFERROR(INDEX(Накл!$C$9:$C$550,SMALL(IF(Накл!$B$9:$B$550=A367,ROW(Накл!$B$9:$B$550)-ROW(Накл!$B$9)+1),ROW(D375)-ROW(A367)+1)),"")," ",IFERROR(INDEX(Накл!$C$9:$C$550,SMALL(IF(Накл!$B$9:$B$550=A367,ROW(Накл!$B$9:$B$550)-ROW(Накл!$B$9)+1),ROW(D376)-ROW(A367)+1)),""))</f>
        <v xml:space="preserve">         </v>
      </c>
      <c r="E367" s="26" t="str">
        <f t="array" ref="E367">IF(LEN(D367)&lt;10,CONCATENATE(IFERROR(INDEX(Накл!$C$9:$C$550,SMALL(IF(Накл!$A$9:$A$550=VALUE(LEFT(A367,8)),ROW(Накл!$A$9:$A$550)-ROW(Накл!$A$9)+1),ROW(E367)-ROW(B367)+1)),"")," ",IFERROR(INDEX(Накл!$C$9:$C$550,SMALL(IF(Накл!$A$9:$A$550=VALUE(LEFT(A367,8)),ROW(Накл!$A$9:$A$550)-ROW(Накл!$A$9)+1),ROW(E368)-ROW(B367)+1)),"")," ",IFERROR(INDEX(Накл!$C$9:$C$550,SMALL(IF(Накл!$A$9:$A$550=VALUE(LEFT(A367,8)),ROW(Накл!$A$9:$A$550)-ROW(Накл!$A$9)+1),ROW(E369)-ROW(B367)+1)),"")," ",IFERROR(INDEX(Накл!$C$9:$C$550,SMALL(IF(Накл!$A$9:$A$550=VALUE(LEFT(A367,8)),ROW(Накл!$A$9:$A$550)-ROW(Накл!$A$9)+1),ROW(E370)-ROW(B367)+1)),"")),"")</f>
        <v xml:space="preserve">   </v>
      </c>
    </row>
    <row r="368" spans="1:5">
      <c r="A368" s="26" t="str">
        <f>IFERROR(CONCATENATE(VALUE(SUBSTITUTE(SUBSTITUTE(LEFT(Накл!G375,11),".",""),"-",""))," ",Накл!J375),"-")</f>
        <v>-</v>
      </c>
      <c r="B368" s="26" t="str">
        <f>IFERROR(VLOOKUP(VALUE(LEFT(A368,8)),Накл!$A$9:$D$550,4,0),"-")</f>
        <v>-</v>
      </c>
      <c r="C368" s="26">
        <f>Накл!J375</f>
        <v>0</v>
      </c>
      <c r="D368" s="33" t="str">
        <f t="array" ref="D368">CONCATENATE(IFERROR(INDEX(Накл!$C$9:$C$550,SMALL(IF(Накл!$B$9:$B$550=A368,ROW(Накл!$B$9:$B$550)-ROW(Накл!$B$9)+1),ROW(D368)-ROW(A368)+1)),"")," ",IFERROR(INDEX(Накл!$C$9:$C$550,SMALL(IF(Накл!$B$9:$B$550=A368,ROW(Накл!$B$9:$B$550)-ROW(Накл!$B$9)+1),ROW(D369)-ROW(A368)+1)),"")," ",IFERROR(INDEX(Накл!$C$9:$C$550,SMALL(IF(Накл!$B$9:$B$550=A368,ROW(Накл!$B$9:$B$550)-ROW(Накл!$B$9)+1),ROW(D370)-ROW(A368)+1)),"")," ",IFERROR(INDEX(Накл!$C$9:$C$550,SMALL(IF(Накл!$B$9:$B$550=A368,ROW(Накл!$B$9:$B$550)-ROW(Накл!$B$9)+1),ROW(D371)-ROW(A368)+1)),"")," ",IFERROR(INDEX(Накл!$C$9:$C$550,SMALL(IF(Накл!$B$9:$B$550=A368,ROW(Накл!$B$9:$B$550)-ROW(Накл!$B$9)+1),ROW(D372)-ROW(A368)+1)),"")," ",IFERROR(INDEX(Накл!$C$9:$C$550,SMALL(IF(Накл!$B$9:$B$550=A368,ROW(Накл!$B$9:$B$550)-ROW(Накл!$B$9)+1),ROW(D373)-ROW(A368)+1)),"")," ",IFERROR(INDEX(Накл!$C$9:$C$550,SMALL(IF(Накл!$B$9:$B$550=A368,ROW(Накл!$B$9:$B$550)-ROW(Накл!$B$9)+1),ROW(D374)-ROW(A368)+1)),"")," ",IFERROR(INDEX(Накл!$C$9:$C$550,SMALL(IF(Накл!$B$9:$B$550=A368,ROW(Накл!$B$9:$B$550)-ROW(Накл!$B$9)+1),ROW(D375)-ROW(A368)+1)),"")," ",IFERROR(INDEX(Накл!$C$9:$C$550,SMALL(IF(Накл!$B$9:$B$550=A368,ROW(Накл!$B$9:$B$550)-ROW(Накл!$B$9)+1),ROW(D376)-ROW(A368)+1)),"")," ",IFERROR(INDEX(Накл!$C$9:$C$550,SMALL(IF(Накл!$B$9:$B$550=A368,ROW(Накл!$B$9:$B$550)-ROW(Накл!$B$9)+1),ROW(D377)-ROW(A368)+1)),""))</f>
        <v xml:space="preserve">         </v>
      </c>
      <c r="E368" s="26" t="str">
        <f t="array" ref="E368">IF(LEN(D368)&lt;10,CONCATENATE(IFERROR(INDEX(Накл!$C$9:$C$550,SMALL(IF(Накл!$A$9:$A$550=VALUE(LEFT(A368,8)),ROW(Накл!$A$9:$A$550)-ROW(Накл!$A$9)+1),ROW(E368)-ROW(B368)+1)),"")," ",IFERROR(INDEX(Накл!$C$9:$C$550,SMALL(IF(Накл!$A$9:$A$550=VALUE(LEFT(A368,8)),ROW(Накл!$A$9:$A$550)-ROW(Накл!$A$9)+1),ROW(E369)-ROW(B368)+1)),"")," ",IFERROR(INDEX(Накл!$C$9:$C$550,SMALL(IF(Накл!$A$9:$A$550=VALUE(LEFT(A368,8)),ROW(Накл!$A$9:$A$550)-ROW(Накл!$A$9)+1),ROW(E370)-ROW(B368)+1)),"")," ",IFERROR(INDEX(Накл!$C$9:$C$550,SMALL(IF(Накл!$A$9:$A$550=VALUE(LEFT(A368,8)),ROW(Накл!$A$9:$A$550)-ROW(Накл!$A$9)+1),ROW(E371)-ROW(B368)+1)),"")),"")</f>
        <v xml:space="preserve">   </v>
      </c>
    </row>
    <row r="369" spans="1:5">
      <c r="A369" s="26" t="str">
        <f>IFERROR(CONCATENATE(VALUE(SUBSTITUTE(SUBSTITUTE(LEFT(Накл!G376,11),".",""),"-",""))," ",Накл!J376),"-")</f>
        <v>-</v>
      </c>
      <c r="B369" s="26" t="str">
        <f>IFERROR(VLOOKUP(VALUE(LEFT(A369,8)),Накл!$A$9:$D$550,4,0),"-")</f>
        <v>-</v>
      </c>
      <c r="C369" s="26">
        <f>Накл!J376</f>
        <v>0</v>
      </c>
      <c r="D369" s="33" t="str">
        <f t="array" ref="D369">CONCATENATE(IFERROR(INDEX(Накл!$C$9:$C$550,SMALL(IF(Накл!$B$9:$B$550=A369,ROW(Накл!$B$9:$B$550)-ROW(Накл!$B$9)+1),ROW(D369)-ROW(A369)+1)),"")," ",IFERROR(INDEX(Накл!$C$9:$C$550,SMALL(IF(Накл!$B$9:$B$550=A369,ROW(Накл!$B$9:$B$550)-ROW(Накл!$B$9)+1),ROW(D370)-ROW(A369)+1)),"")," ",IFERROR(INDEX(Накл!$C$9:$C$550,SMALL(IF(Накл!$B$9:$B$550=A369,ROW(Накл!$B$9:$B$550)-ROW(Накл!$B$9)+1),ROW(D371)-ROW(A369)+1)),"")," ",IFERROR(INDEX(Накл!$C$9:$C$550,SMALL(IF(Накл!$B$9:$B$550=A369,ROW(Накл!$B$9:$B$550)-ROW(Накл!$B$9)+1),ROW(D372)-ROW(A369)+1)),"")," ",IFERROR(INDEX(Накл!$C$9:$C$550,SMALL(IF(Накл!$B$9:$B$550=A369,ROW(Накл!$B$9:$B$550)-ROW(Накл!$B$9)+1),ROW(D373)-ROW(A369)+1)),"")," ",IFERROR(INDEX(Накл!$C$9:$C$550,SMALL(IF(Накл!$B$9:$B$550=A369,ROW(Накл!$B$9:$B$550)-ROW(Накл!$B$9)+1),ROW(D374)-ROW(A369)+1)),"")," ",IFERROR(INDEX(Накл!$C$9:$C$550,SMALL(IF(Накл!$B$9:$B$550=A369,ROW(Накл!$B$9:$B$550)-ROW(Накл!$B$9)+1),ROW(D375)-ROW(A369)+1)),"")," ",IFERROR(INDEX(Накл!$C$9:$C$550,SMALL(IF(Накл!$B$9:$B$550=A369,ROW(Накл!$B$9:$B$550)-ROW(Накл!$B$9)+1),ROW(D376)-ROW(A369)+1)),"")," ",IFERROR(INDEX(Накл!$C$9:$C$550,SMALL(IF(Накл!$B$9:$B$550=A369,ROW(Накл!$B$9:$B$550)-ROW(Накл!$B$9)+1),ROW(D377)-ROW(A369)+1)),"")," ",IFERROR(INDEX(Накл!$C$9:$C$550,SMALL(IF(Накл!$B$9:$B$550=A369,ROW(Накл!$B$9:$B$550)-ROW(Накл!$B$9)+1),ROW(D378)-ROW(A369)+1)),""))</f>
        <v xml:space="preserve">         </v>
      </c>
      <c r="E369" s="26" t="str">
        <f t="array" ref="E369">IF(LEN(D369)&lt;10,CONCATENATE(IFERROR(INDEX(Накл!$C$9:$C$550,SMALL(IF(Накл!$A$9:$A$550=VALUE(LEFT(A369,8)),ROW(Накл!$A$9:$A$550)-ROW(Накл!$A$9)+1),ROW(E369)-ROW(B369)+1)),"")," ",IFERROR(INDEX(Накл!$C$9:$C$550,SMALL(IF(Накл!$A$9:$A$550=VALUE(LEFT(A369,8)),ROW(Накл!$A$9:$A$550)-ROW(Накл!$A$9)+1),ROW(E370)-ROW(B369)+1)),"")," ",IFERROR(INDEX(Накл!$C$9:$C$550,SMALL(IF(Накл!$A$9:$A$550=VALUE(LEFT(A369,8)),ROW(Накл!$A$9:$A$550)-ROW(Накл!$A$9)+1),ROW(E371)-ROW(B369)+1)),"")," ",IFERROR(INDEX(Накл!$C$9:$C$550,SMALL(IF(Накл!$A$9:$A$550=VALUE(LEFT(A369,8)),ROW(Накл!$A$9:$A$550)-ROW(Накл!$A$9)+1),ROW(E372)-ROW(B369)+1)),"")),"")</f>
        <v xml:space="preserve">   </v>
      </c>
    </row>
    <row r="370" spans="1:5">
      <c r="A370" s="26" t="str">
        <f>IFERROR(CONCATENATE(VALUE(SUBSTITUTE(SUBSTITUTE(LEFT(Накл!G377,11),".",""),"-",""))," ",Накл!J377),"-")</f>
        <v>-</v>
      </c>
      <c r="B370" s="26" t="str">
        <f>IFERROR(VLOOKUP(VALUE(LEFT(A370,8)),Накл!$A$9:$D$550,4,0),"-")</f>
        <v>-</v>
      </c>
      <c r="C370" s="26">
        <f>Накл!J377</f>
        <v>0</v>
      </c>
      <c r="D370" s="33" t="str">
        <f t="array" ref="D370">CONCATENATE(IFERROR(INDEX(Накл!$C$9:$C$550,SMALL(IF(Накл!$B$9:$B$550=A370,ROW(Накл!$B$9:$B$550)-ROW(Накл!$B$9)+1),ROW(D370)-ROW(A370)+1)),"")," ",IFERROR(INDEX(Накл!$C$9:$C$550,SMALL(IF(Накл!$B$9:$B$550=A370,ROW(Накл!$B$9:$B$550)-ROW(Накл!$B$9)+1),ROW(D371)-ROW(A370)+1)),"")," ",IFERROR(INDEX(Накл!$C$9:$C$550,SMALL(IF(Накл!$B$9:$B$550=A370,ROW(Накл!$B$9:$B$550)-ROW(Накл!$B$9)+1),ROW(D372)-ROW(A370)+1)),"")," ",IFERROR(INDEX(Накл!$C$9:$C$550,SMALL(IF(Накл!$B$9:$B$550=A370,ROW(Накл!$B$9:$B$550)-ROW(Накл!$B$9)+1),ROW(D373)-ROW(A370)+1)),"")," ",IFERROR(INDEX(Накл!$C$9:$C$550,SMALL(IF(Накл!$B$9:$B$550=A370,ROW(Накл!$B$9:$B$550)-ROW(Накл!$B$9)+1),ROW(D374)-ROW(A370)+1)),"")," ",IFERROR(INDEX(Накл!$C$9:$C$550,SMALL(IF(Накл!$B$9:$B$550=A370,ROW(Накл!$B$9:$B$550)-ROW(Накл!$B$9)+1),ROW(D375)-ROW(A370)+1)),"")," ",IFERROR(INDEX(Накл!$C$9:$C$550,SMALL(IF(Накл!$B$9:$B$550=A370,ROW(Накл!$B$9:$B$550)-ROW(Накл!$B$9)+1),ROW(D376)-ROW(A370)+1)),"")," ",IFERROR(INDEX(Накл!$C$9:$C$550,SMALL(IF(Накл!$B$9:$B$550=A370,ROW(Накл!$B$9:$B$550)-ROW(Накл!$B$9)+1),ROW(D377)-ROW(A370)+1)),"")," ",IFERROR(INDEX(Накл!$C$9:$C$550,SMALL(IF(Накл!$B$9:$B$550=A370,ROW(Накл!$B$9:$B$550)-ROW(Накл!$B$9)+1),ROW(D378)-ROW(A370)+1)),"")," ",IFERROR(INDEX(Накл!$C$9:$C$550,SMALL(IF(Накл!$B$9:$B$550=A370,ROW(Накл!$B$9:$B$550)-ROW(Накл!$B$9)+1),ROW(D379)-ROW(A370)+1)),""))</f>
        <v xml:space="preserve">         </v>
      </c>
      <c r="E370" s="26" t="str">
        <f t="array" ref="E370">IF(LEN(D370)&lt;10,CONCATENATE(IFERROR(INDEX(Накл!$C$9:$C$550,SMALL(IF(Накл!$A$9:$A$550=VALUE(LEFT(A370,8)),ROW(Накл!$A$9:$A$550)-ROW(Накл!$A$9)+1),ROW(E370)-ROW(B370)+1)),"")," ",IFERROR(INDEX(Накл!$C$9:$C$550,SMALL(IF(Накл!$A$9:$A$550=VALUE(LEFT(A370,8)),ROW(Накл!$A$9:$A$550)-ROW(Накл!$A$9)+1),ROW(E371)-ROW(B370)+1)),"")," ",IFERROR(INDEX(Накл!$C$9:$C$550,SMALL(IF(Накл!$A$9:$A$550=VALUE(LEFT(A370,8)),ROW(Накл!$A$9:$A$550)-ROW(Накл!$A$9)+1),ROW(E372)-ROW(B370)+1)),"")," ",IFERROR(INDEX(Накл!$C$9:$C$550,SMALL(IF(Накл!$A$9:$A$550=VALUE(LEFT(A370,8)),ROW(Накл!$A$9:$A$550)-ROW(Накл!$A$9)+1),ROW(E373)-ROW(B370)+1)),"")),"")</f>
        <v xml:space="preserve">   </v>
      </c>
    </row>
    <row r="371" spans="1:5">
      <c r="A371" s="26" t="str">
        <f>IFERROR(CONCATENATE(VALUE(SUBSTITUTE(SUBSTITUTE(LEFT(Накл!G378,11),".",""),"-",""))," ",Накл!J378),"-")</f>
        <v>-</v>
      </c>
      <c r="B371" s="26" t="str">
        <f>IFERROR(VLOOKUP(VALUE(LEFT(A371,8)),Накл!$A$9:$D$550,4,0),"-")</f>
        <v>-</v>
      </c>
      <c r="C371" s="26">
        <f>Накл!J378</f>
        <v>0</v>
      </c>
      <c r="D371" s="33" t="str">
        <f t="array" ref="D371">CONCATENATE(IFERROR(INDEX(Накл!$C$9:$C$550,SMALL(IF(Накл!$B$9:$B$550=A371,ROW(Накл!$B$9:$B$550)-ROW(Накл!$B$9)+1),ROW(D371)-ROW(A371)+1)),"")," ",IFERROR(INDEX(Накл!$C$9:$C$550,SMALL(IF(Накл!$B$9:$B$550=A371,ROW(Накл!$B$9:$B$550)-ROW(Накл!$B$9)+1),ROW(D372)-ROW(A371)+1)),"")," ",IFERROR(INDEX(Накл!$C$9:$C$550,SMALL(IF(Накл!$B$9:$B$550=A371,ROW(Накл!$B$9:$B$550)-ROW(Накл!$B$9)+1),ROW(D373)-ROW(A371)+1)),"")," ",IFERROR(INDEX(Накл!$C$9:$C$550,SMALL(IF(Накл!$B$9:$B$550=A371,ROW(Накл!$B$9:$B$550)-ROW(Накл!$B$9)+1),ROW(D374)-ROW(A371)+1)),"")," ",IFERROR(INDEX(Накл!$C$9:$C$550,SMALL(IF(Накл!$B$9:$B$550=A371,ROW(Накл!$B$9:$B$550)-ROW(Накл!$B$9)+1),ROW(D375)-ROW(A371)+1)),"")," ",IFERROR(INDEX(Накл!$C$9:$C$550,SMALL(IF(Накл!$B$9:$B$550=A371,ROW(Накл!$B$9:$B$550)-ROW(Накл!$B$9)+1),ROW(D376)-ROW(A371)+1)),"")," ",IFERROR(INDEX(Накл!$C$9:$C$550,SMALL(IF(Накл!$B$9:$B$550=A371,ROW(Накл!$B$9:$B$550)-ROW(Накл!$B$9)+1),ROW(D377)-ROW(A371)+1)),"")," ",IFERROR(INDEX(Накл!$C$9:$C$550,SMALL(IF(Накл!$B$9:$B$550=A371,ROW(Накл!$B$9:$B$550)-ROW(Накл!$B$9)+1),ROW(D378)-ROW(A371)+1)),"")," ",IFERROR(INDEX(Накл!$C$9:$C$550,SMALL(IF(Накл!$B$9:$B$550=A371,ROW(Накл!$B$9:$B$550)-ROW(Накл!$B$9)+1),ROW(D379)-ROW(A371)+1)),"")," ",IFERROR(INDEX(Накл!$C$9:$C$550,SMALL(IF(Накл!$B$9:$B$550=A371,ROW(Накл!$B$9:$B$550)-ROW(Накл!$B$9)+1),ROW(D380)-ROW(A371)+1)),""))</f>
        <v xml:space="preserve">         </v>
      </c>
      <c r="E371" s="26" t="str">
        <f t="array" ref="E371">IF(LEN(D371)&lt;10,CONCATENATE(IFERROR(INDEX(Накл!$C$9:$C$550,SMALL(IF(Накл!$A$9:$A$550=VALUE(LEFT(A371,8)),ROW(Накл!$A$9:$A$550)-ROW(Накл!$A$9)+1),ROW(E371)-ROW(B371)+1)),"")," ",IFERROR(INDEX(Накл!$C$9:$C$550,SMALL(IF(Накл!$A$9:$A$550=VALUE(LEFT(A371,8)),ROW(Накл!$A$9:$A$550)-ROW(Накл!$A$9)+1),ROW(E372)-ROW(B371)+1)),"")," ",IFERROR(INDEX(Накл!$C$9:$C$550,SMALL(IF(Накл!$A$9:$A$550=VALUE(LEFT(A371,8)),ROW(Накл!$A$9:$A$550)-ROW(Накл!$A$9)+1),ROW(E373)-ROW(B371)+1)),"")," ",IFERROR(INDEX(Накл!$C$9:$C$550,SMALL(IF(Накл!$A$9:$A$550=VALUE(LEFT(A371,8)),ROW(Накл!$A$9:$A$550)-ROW(Накл!$A$9)+1),ROW(E374)-ROW(B371)+1)),"")),"")</f>
        <v xml:space="preserve">   </v>
      </c>
    </row>
    <row r="372" spans="1:5">
      <c r="A372" s="26" t="str">
        <f>IFERROR(CONCATENATE(VALUE(SUBSTITUTE(SUBSTITUTE(LEFT(Накл!G379,11),".",""),"-",""))," ",Накл!J379),"-")</f>
        <v>-</v>
      </c>
      <c r="B372" s="26" t="str">
        <f>IFERROR(VLOOKUP(VALUE(LEFT(A372,8)),Накл!$A$9:$D$550,4,0),"-")</f>
        <v>-</v>
      </c>
      <c r="C372" s="26">
        <f>Накл!J379</f>
        <v>0</v>
      </c>
      <c r="D372" s="33" t="str">
        <f t="array" ref="D372">CONCATENATE(IFERROR(INDEX(Накл!$C$9:$C$550,SMALL(IF(Накл!$B$9:$B$550=A372,ROW(Накл!$B$9:$B$550)-ROW(Накл!$B$9)+1),ROW(D372)-ROW(A372)+1)),"")," ",IFERROR(INDEX(Накл!$C$9:$C$550,SMALL(IF(Накл!$B$9:$B$550=A372,ROW(Накл!$B$9:$B$550)-ROW(Накл!$B$9)+1),ROW(D373)-ROW(A372)+1)),"")," ",IFERROR(INDEX(Накл!$C$9:$C$550,SMALL(IF(Накл!$B$9:$B$550=A372,ROW(Накл!$B$9:$B$550)-ROW(Накл!$B$9)+1),ROW(D374)-ROW(A372)+1)),"")," ",IFERROR(INDEX(Накл!$C$9:$C$550,SMALL(IF(Накл!$B$9:$B$550=A372,ROW(Накл!$B$9:$B$550)-ROW(Накл!$B$9)+1),ROW(D375)-ROW(A372)+1)),"")," ",IFERROR(INDEX(Накл!$C$9:$C$550,SMALL(IF(Накл!$B$9:$B$550=A372,ROW(Накл!$B$9:$B$550)-ROW(Накл!$B$9)+1),ROW(D376)-ROW(A372)+1)),"")," ",IFERROR(INDEX(Накл!$C$9:$C$550,SMALL(IF(Накл!$B$9:$B$550=A372,ROW(Накл!$B$9:$B$550)-ROW(Накл!$B$9)+1),ROW(D377)-ROW(A372)+1)),"")," ",IFERROR(INDEX(Накл!$C$9:$C$550,SMALL(IF(Накл!$B$9:$B$550=A372,ROW(Накл!$B$9:$B$550)-ROW(Накл!$B$9)+1),ROW(D378)-ROW(A372)+1)),"")," ",IFERROR(INDEX(Накл!$C$9:$C$550,SMALL(IF(Накл!$B$9:$B$550=A372,ROW(Накл!$B$9:$B$550)-ROW(Накл!$B$9)+1),ROW(D379)-ROW(A372)+1)),"")," ",IFERROR(INDEX(Накл!$C$9:$C$550,SMALL(IF(Накл!$B$9:$B$550=A372,ROW(Накл!$B$9:$B$550)-ROW(Накл!$B$9)+1),ROW(D380)-ROW(A372)+1)),"")," ",IFERROR(INDEX(Накл!$C$9:$C$550,SMALL(IF(Накл!$B$9:$B$550=A372,ROW(Накл!$B$9:$B$550)-ROW(Накл!$B$9)+1),ROW(D381)-ROW(A372)+1)),""))</f>
        <v xml:space="preserve">         </v>
      </c>
      <c r="E372" s="26" t="str">
        <f t="array" ref="E372">IF(LEN(D372)&lt;10,CONCATENATE(IFERROR(INDEX(Накл!$C$9:$C$550,SMALL(IF(Накл!$A$9:$A$550=VALUE(LEFT(A372,8)),ROW(Накл!$A$9:$A$550)-ROW(Накл!$A$9)+1),ROW(E372)-ROW(B372)+1)),"")," ",IFERROR(INDEX(Накл!$C$9:$C$550,SMALL(IF(Накл!$A$9:$A$550=VALUE(LEFT(A372,8)),ROW(Накл!$A$9:$A$550)-ROW(Накл!$A$9)+1),ROW(E373)-ROW(B372)+1)),"")," ",IFERROR(INDEX(Накл!$C$9:$C$550,SMALL(IF(Накл!$A$9:$A$550=VALUE(LEFT(A372,8)),ROW(Накл!$A$9:$A$550)-ROW(Накл!$A$9)+1),ROW(E374)-ROW(B372)+1)),"")," ",IFERROR(INDEX(Накл!$C$9:$C$550,SMALL(IF(Накл!$A$9:$A$550=VALUE(LEFT(A372,8)),ROW(Накл!$A$9:$A$550)-ROW(Накл!$A$9)+1),ROW(E375)-ROW(B372)+1)),"")),"")</f>
        <v xml:space="preserve">   </v>
      </c>
    </row>
    <row r="373" spans="1:5">
      <c r="A373" s="26" t="str">
        <f>IFERROR(CONCATENATE(VALUE(SUBSTITUTE(SUBSTITUTE(LEFT(Накл!G380,11),".",""),"-",""))," ",Накл!J380),"-")</f>
        <v>-</v>
      </c>
      <c r="B373" s="26" t="str">
        <f>IFERROR(VLOOKUP(VALUE(LEFT(A373,8)),Накл!$A$9:$D$550,4,0),"-")</f>
        <v>-</v>
      </c>
      <c r="C373" s="26">
        <f>Накл!J380</f>
        <v>0</v>
      </c>
      <c r="D373" s="33" t="str">
        <f t="array" ref="D373">CONCATENATE(IFERROR(INDEX(Накл!$C$9:$C$550,SMALL(IF(Накл!$B$9:$B$550=A373,ROW(Накл!$B$9:$B$550)-ROW(Накл!$B$9)+1),ROW(D373)-ROW(A373)+1)),"")," ",IFERROR(INDEX(Накл!$C$9:$C$550,SMALL(IF(Накл!$B$9:$B$550=A373,ROW(Накл!$B$9:$B$550)-ROW(Накл!$B$9)+1),ROW(D374)-ROW(A373)+1)),"")," ",IFERROR(INDEX(Накл!$C$9:$C$550,SMALL(IF(Накл!$B$9:$B$550=A373,ROW(Накл!$B$9:$B$550)-ROW(Накл!$B$9)+1),ROW(D375)-ROW(A373)+1)),"")," ",IFERROR(INDEX(Накл!$C$9:$C$550,SMALL(IF(Накл!$B$9:$B$550=A373,ROW(Накл!$B$9:$B$550)-ROW(Накл!$B$9)+1),ROW(D376)-ROW(A373)+1)),"")," ",IFERROR(INDEX(Накл!$C$9:$C$550,SMALL(IF(Накл!$B$9:$B$550=A373,ROW(Накл!$B$9:$B$550)-ROW(Накл!$B$9)+1),ROW(D377)-ROW(A373)+1)),"")," ",IFERROR(INDEX(Накл!$C$9:$C$550,SMALL(IF(Накл!$B$9:$B$550=A373,ROW(Накл!$B$9:$B$550)-ROW(Накл!$B$9)+1),ROW(D378)-ROW(A373)+1)),"")," ",IFERROR(INDEX(Накл!$C$9:$C$550,SMALL(IF(Накл!$B$9:$B$550=A373,ROW(Накл!$B$9:$B$550)-ROW(Накл!$B$9)+1),ROW(D379)-ROW(A373)+1)),"")," ",IFERROR(INDEX(Накл!$C$9:$C$550,SMALL(IF(Накл!$B$9:$B$550=A373,ROW(Накл!$B$9:$B$550)-ROW(Накл!$B$9)+1),ROW(D380)-ROW(A373)+1)),"")," ",IFERROR(INDEX(Накл!$C$9:$C$550,SMALL(IF(Накл!$B$9:$B$550=A373,ROW(Накл!$B$9:$B$550)-ROW(Накл!$B$9)+1),ROW(D381)-ROW(A373)+1)),"")," ",IFERROR(INDEX(Накл!$C$9:$C$550,SMALL(IF(Накл!$B$9:$B$550=A373,ROW(Накл!$B$9:$B$550)-ROW(Накл!$B$9)+1),ROW(D382)-ROW(A373)+1)),""))</f>
        <v xml:space="preserve">         </v>
      </c>
      <c r="E373" s="26" t="str">
        <f t="array" ref="E373">IF(LEN(D373)&lt;10,CONCATENATE(IFERROR(INDEX(Накл!$C$9:$C$550,SMALL(IF(Накл!$A$9:$A$550=VALUE(LEFT(A373,8)),ROW(Накл!$A$9:$A$550)-ROW(Накл!$A$9)+1),ROW(E373)-ROW(B373)+1)),"")," ",IFERROR(INDEX(Накл!$C$9:$C$550,SMALL(IF(Накл!$A$9:$A$550=VALUE(LEFT(A373,8)),ROW(Накл!$A$9:$A$550)-ROW(Накл!$A$9)+1),ROW(E374)-ROW(B373)+1)),"")," ",IFERROR(INDEX(Накл!$C$9:$C$550,SMALL(IF(Накл!$A$9:$A$550=VALUE(LEFT(A373,8)),ROW(Накл!$A$9:$A$550)-ROW(Накл!$A$9)+1),ROW(E375)-ROW(B373)+1)),"")," ",IFERROR(INDEX(Накл!$C$9:$C$550,SMALL(IF(Накл!$A$9:$A$550=VALUE(LEFT(A373,8)),ROW(Накл!$A$9:$A$550)-ROW(Накл!$A$9)+1),ROW(E376)-ROW(B373)+1)),"")),"")</f>
        <v xml:space="preserve">   </v>
      </c>
    </row>
    <row r="374" spans="1:5">
      <c r="A374" s="26" t="str">
        <f>IFERROR(CONCATENATE(VALUE(SUBSTITUTE(SUBSTITUTE(LEFT(Накл!G381,11),".",""),"-",""))," ",Накл!J381),"-")</f>
        <v>-</v>
      </c>
      <c r="B374" s="26" t="str">
        <f>IFERROR(VLOOKUP(VALUE(LEFT(A374,8)),Накл!$A$9:$D$550,4,0),"-")</f>
        <v>-</v>
      </c>
      <c r="C374" s="26">
        <f>Накл!J381</f>
        <v>0</v>
      </c>
      <c r="D374" s="33" t="str">
        <f t="array" ref="D374">CONCATENATE(IFERROR(INDEX(Накл!$C$9:$C$550,SMALL(IF(Накл!$B$9:$B$550=A374,ROW(Накл!$B$9:$B$550)-ROW(Накл!$B$9)+1),ROW(D374)-ROW(A374)+1)),"")," ",IFERROR(INDEX(Накл!$C$9:$C$550,SMALL(IF(Накл!$B$9:$B$550=A374,ROW(Накл!$B$9:$B$550)-ROW(Накл!$B$9)+1),ROW(D375)-ROW(A374)+1)),"")," ",IFERROR(INDEX(Накл!$C$9:$C$550,SMALL(IF(Накл!$B$9:$B$550=A374,ROW(Накл!$B$9:$B$550)-ROW(Накл!$B$9)+1),ROW(D376)-ROW(A374)+1)),"")," ",IFERROR(INDEX(Накл!$C$9:$C$550,SMALL(IF(Накл!$B$9:$B$550=A374,ROW(Накл!$B$9:$B$550)-ROW(Накл!$B$9)+1),ROW(D377)-ROW(A374)+1)),"")," ",IFERROR(INDEX(Накл!$C$9:$C$550,SMALL(IF(Накл!$B$9:$B$550=A374,ROW(Накл!$B$9:$B$550)-ROW(Накл!$B$9)+1),ROW(D378)-ROW(A374)+1)),"")," ",IFERROR(INDEX(Накл!$C$9:$C$550,SMALL(IF(Накл!$B$9:$B$550=A374,ROW(Накл!$B$9:$B$550)-ROW(Накл!$B$9)+1),ROW(D379)-ROW(A374)+1)),"")," ",IFERROR(INDEX(Накл!$C$9:$C$550,SMALL(IF(Накл!$B$9:$B$550=A374,ROW(Накл!$B$9:$B$550)-ROW(Накл!$B$9)+1),ROW(D380)-ROW(A374)+1)),"")," ",IFERROR(INDEX(Накл!$C$9:$C$550,SMALL(IF(Накл!$B$9:$B$550=A374,ROW(Накл!$B$9:$B$550)-ROW(Накл!$B$9)+1),ROW(D381)-ROW(A374)+1)),"")," ",IFERROR(INDEX(Накл!$C$9:$C$550,SMALL(IF(Накл!$B$9:$B$550=A374,ROW(Накл!$B$9:$B$550)-ROW(Накл!$B$9)+1),ROW(D382)-ROW(A374)+1)),"")," ",IFERROR(INDEX(Накл!$C$9:$C$550,SMALL(IF(Накл!$B$9:$B$550=A374,ROW(Накл!$B$9:$B$550)-ROW(Накл!$B$9)+1),ROW(D383)-ROW(A374)+1)),""))</f>
        <v xml:space="preserve">         </v>
      </c>
      <c r="E374" s="26" t="str">
        <f t="array" ref="E374">IF(LEN(D374)&lt;10,CONCATENATE(IFERROR(INDEX(Накл!$C$9:$C$550,SMALL(IF(Накл!$A$9:$A$550=VALUE(LEFT(A374,8)),ROW(Накл!$A$9:$A$550)-ROW(Накл!$A$9)+1),ROW(E374)-ROW(B374)+1)),"")," ",IFERROR(INDEX(Накл!$C$9:$C$550,SMALL(IF(Накл!$A$9:$A$550=VALUE(LEFT(A374,8)),ROW(Накл!$A$9:$A$550)-ROW(Накл!$A$9)+1),ROW(E375)-ROW(B374)+1)),"")," ",IFERROR(INDEX(Накл!$C$9:$C$550,SMALL(IF(Накл!$A$9:$A$550=VALUE(LEFT(A374,8)),ROW(Накл!$A$9:$A$550)-ROW(Накл!$A$9)+1),ROW(E376)-ROW(B374)+1)),"")," ",IFERROR(INDEX(Накл!$C$9:$C$550,SMALL(IF(Накл!$A$9:$A$550=VALUE(LEFT(A374,8)),ROW(Накл!$A$9:$A$550)-ROW(Накл!$A$9)+1),ROW(E377)-ROW(B374)+1)),"")),"")</f>
        <v xml:space="preserve">   </v>
      </c>
    </row>
    <row r="375" spans="1:5">
      <c r="A375" s="26" t="str">
        <f>IFERROR(CONCATENATE(VALUE(SUBSTITUTE(SUBSTITUTE(LEFT(Накл!G382,11),".",""),"-",""))," ",Накл!J382),"-")</f>
        <v>-</v>
      </c>
      <c r="B375" s="26" t="str">
        <f>IFERROR(VLOOKUP(VALUE(LEFT(A375,8)),Накл!$A$9:$D$550,4,0),"-")</f>
        <v>-</v>
      </c>
      <c r="C375" s="26">
        <f>Накл!J382</f>
        <v>0</v>
      </c>
      <c r="D375" s="33" t="str">
        <f t="array" ref="D375">CONCATENATE(IFERROR(INDEX(Накл!$C$9:$C$550,SMALL(IF(Накл!$B$9:$B$550=A375,ROW(Накл!$B$9:$B$550)-ROW(Накл!$B$9)+1),ROW(D375)-ROW(A375)+1)),"")," ",IFERROR(INDEX(Накл!$C$9:$C$550,SMALL(IF(Накл!$B$9:$B$550=A375,ROW(Накл!$B$9:$B$550)-ROW(Накл!$B$9)+1),ROW(D376)-ROW(A375)+1)),"")," ",IFERROR(INDEX(Накл!$C$9:$C$550,SMALL(IF(Накл!$B$9:$B$550=A375,ROW(Накл!$B$9:$B$550)-ROW(Накл!$B$9)+1),ROW(D377)-ROW(A375)+1)),"")," ",IFERROR(INDEX(Накл!$C$9:$C$550,SMALL(IF(Накл!$B$9:$B$550=A375,ROW(Накл!$B$9:$B$550)-ROW(Накл!$B$9)+1),ROW(D378)-ROW(A375)+1)),"")," ",IFERROR(INDEX(Накл!$C$9:$C$550,SMALL(IF(Накл!$B$9:$B$550=A375,ROW(Накл!$B$9:$B$550)-ROW(Накл!$B$9)+1),ROW(D379)-ROW(A375)+1)),"")," ",IFERROR(INDEX(Накл!$C$9:$C$550,SMALL(IF(Накл!$B$9:$B$550=A375,ROW(Накл!$B$9:$B$550)-ROW(Накл!$B$9)+1),ROW(D380)-ROW(A375)+1)),"")," ",IFERROR(INDEX(Накл!$C$9:$C$550,SMALL(IF(Накл!$B$9:$B$550=A375,ROW(Накл!$B$9:$B$550)-ROW(Накл!$B$9)+1),ROW(D381)-ROW(A375)+1)),"")," ",IFERROR(INDEX(Накл!$C$9:$C$550,SMALL(IF(Накл!$B$9:$B$550=A375,ROW(Накл!$B$9:$B$550)-ROW(Накл!$B$9)+1),ROW(D382)-ROW(A375)+1)),"")," ",IFERROR(INDEX(Накл!$C$9:$C$550,SMALL(IF(Накл!$B$9:$B$550=A375,ROW(Накл!$B$9:$B$550)-ROW(Накл!$B$9)+1),ROW(D383)-ROW(A375)+1)),"")," ",IFERROR(INDEX(Накл!$C$9:$C$550,SMALL(IF(Накл!$B$9:$B$550=A375,ROW(Накл!$B$9:$B$550)-ROW(Накл!$B$9)+1),ROW(D384)-ROW(A375)+1)),""))</f>
        <v xml:space="preserve">         </v>
      </c>
      <c r="E375" s="26" t="str">
        <f t="array" ref="E375">IF(LEN(D375)&lt;10,CONCATENATE(IFERROR(INDEX(Накл!$C$9:$C$550,SMALL(IF(Накл!$A$9:$A$550=VALUE(LEFT(A375,8)),ROW(Накл!$A$9:$A$550)-ROW(Накл!$A$9)+1),ROW(E375)-ROW(B375)+1)),"")," ",IFERROR(INDEX(Накл!$C$9:$C$550,SMALL(IF(Накл!$A$9:$A$550=VALUE(LEFT(A375,8)),ROW(Накл!$A$9:$A$550)-ROW(Накл!$A$9)+1),ROW(E376)-ROW(B375)+1)),"")," ",IFERROR(INDEX(Накл!$C$9:$C$550,SMALL(IF(Накл!$A$9:$A$550=VALUE(LEFT(A375,8)),ROW(Накл!$A$9:$A$550)-ROW(Накл!$A$9)+1),ROW(E377)-ROW(B375)+1)),"")," ",IFERROR(INDEX(Накл!$C$9:$C$550,SMALL(IF(Накл!$A$9:$A$550=VALUE(LEFT(A375,8)),ROW(Накл!$A$9:$A$550)-ROW(Накл!$A$9)+1),ROW(E378)-ROW(B375)+1)),"")),"")</f>
        <v xml:space="preserve">   </v>
      </c>
    </row>
    <row r="376" spans="1:5">
      <c r="A376" s="26" t="str">
        <f>IFERROR(CONCATENATE(VALUE(SUBSTITUTE(SUBSTITUTE(LEFT(Накл!G383,11),".",""),"-",""))," ",Накл!J383),"-")</f>
        <v>-</v>
      </c>
      <c r="B376" s="26" t="str">
        <f>IFERROR(VLOOKUP(VALUE(LEFT(A376,8)),Накл!$A$9:$D$550,4,0),"-")</f>
        <v>-</v>
      </c>
      <c r="C376" s="26">
        <f>Накл!J383</f>
        <v>0</v>
      </c>
      <c r="D376" s="33" t="str">
        <f t="array" ref="D376">CONCATENATE(IFERROR(INDEX(Накл!$C$9:$C$550,SMALL(IF(Накл!$B$9:$B$550=A376,ROW(Накл!$B$9:$B$550)-ROW(Накл!$B$9)+1),ROW(D376)-ROW(A376)+1)),"")," ",IFERROR(INDEX(Накл!$C$9:$C$550,SMALL(IF(Накл!$B$9:$B$550=A376,ROW(Накл!$B$9:$B$550)-ROW(Накл!$B$9)+1),ROW(D377)-ROW(A376)+1)),"")," ",IFERROR(INDEX(Накл!$C$9:$C$550,SMALL(IF(Накл!$B$9:$B$550=A376,ROW(Накл!$B$9:$B$550)-ROW(Накл!$B$9)+1),ROW(D378)-ROW(A376)+1)),"")," ",IFERROR(INDEX(Накл!$C$9:$C$550,SMALL(IF(Накл!$B$9:$B$550=A376,ROW(Накл!$B$9:$B$550)-ROW(Накл!$B$9)+1),ROW(D379)-ROW(A376)+1)),"")," ",IFERROR(INDEX(Накл!$C$9:$C$550,SMALL(IF(Накл!$B$9:$B$550=A376,ROW(Накл!$B$9:$B$550)-ROW(Накл!$B$9)+1),ROW(D380)-ROW(A376)+1)),"")," ",IFERROR(INDEX(Накл!$C$9:$C$550,SMALL(IF(Накл!$B$9:$B$550=A376,ROW(Накл!$B$9:$B$550)-ROW(Накл!$B$9)+1),ROW(D381)-ROW(A376)+1)),"")," ",IFERROR(INDEX(Накл!$C$9:$C$550,SMALL(IF(Накл!$B$9:$B$550=A376,ROW(Накл!$B$9:$B$550)-ROW(Накл!$B$9)+1),ROW(D382)-ROW(A376)+1)),"")," ",IFERROR(INDEX(Накл!$C$9:$C$550,SMALL(IF(Накл!$B$9:$B$550=A376,ROW(Накл!$B$9:$B$550)-ROW(Накл!$B$9)+1),ROW(D383)-ROW(A376)+1)),"")," ",IFERROR(INDEX(Накл!$C$9:$C$550,SMALL(IF(Накл!$B$9:$B$550=A376,ROW(Накл!$B$9:$B$550)-ROW(Накл!$B$9)+1),ROW(D384)-ROW(A376)+1)),"")," ",IFERROR(INDEX(Накл!$C$9:$C$550,SMALL(IF(Накл!$B$9:$B$550=A376,ROW(Накл!$B$9:$B$550)-ROW(Накл!$B$9)+1),ROW(D385)-ROW(A376)+1)),""))</f>
        <v xml:space="preserve">         </v>
      </c>
      <c r="E376" s="26" t="str">
        <f t="array" ref="E376">IF(LEN(D376)&lt;10,CONCATENATE(IFERROR(INDEX(Накл!$C$9:$C$550,SMALL(IF(Накл!$A$9:$A$550=VALUE(LEFT(A376,8)),ROW(Накл!$A$9:$A$550)-ROW(Накл!$A$9)+1),ROW(E376)-ROW(B376)+1)),"")," ",IFERROR(INDEX(Накл!$C$9:$C$550,SMALL(IF(Накл!$A$9:$A$550=VALUE(LEFT(A376,8)),ROW(Накл!$A$9:$A$550)-ROW(Накл!$A$9)+1),ROW(E377)-ROW(B376)+1)),"")," ",IFERROR(INDEX(Накл!$C$9:$C$550,SMALL(IF(Накл!$A$9:$A$550=VALUE(LEFT(A376,8)),ROW(Накл!$A$9:$A$550)-ROW(Накл!$A$9)+1),ROW(E378)-ROW(B376)+1)),"")," ",IFERROR(INDEX(Накл!$C$9:$C$550,SMALL(IF(Накл!$A$9:$A$550=VALUE(LEFT(A376,8)),ROW(Накл!$A$9:$A$550)-ROW(Накл!$A$9)+1),ROW(E379)-ROW(B376)+1)),"")),"")</f>
        <v xml:space="preserve">   </v>
      </c>
    </row>
    <row r="377" spans="1:5">
      <c r="A377" s="26" t="str">
        <f>IFERROR(CONCATENATE(VALUE(SUBSTITUTE(SUBSTITUTE(LEFT(Накл!G384,11),".",""),"-",""))," ",Накл!J384),"-")</f>
        <v>-</v>
      </c>
      <c r="B377" s="26" t="str">
        <f>IFERROR(VLOOKUP(VALUE(LEFT(A377,8)),Накл!$A$9:$D$550,4,0),"-")</f>
        <v>-</v>
      </c>
      <c r="C377" s="26">
        <f>Накл!J384</f>
        <v>0</v>
      </c>
      <c r="D377" s="33" t="str">
        <f t="array" ref="D377">CONCATENATE(IFERROR(INDEX(Накл!$C$9:$C$550,SMALL(IF(Накл!$B$9:$B$550=A377,ROW(Накл!$B$9:$B$550)-ROW(Накл!$B$9)+1),ROW(D377)-ROW(A377)+1)),"")," ",IFERROR(INDEX(Накл!$C$9:$C$550,SMALL(IF(Накл!$B$9:$B$550=A377,ROW(Накл!$B$9:$B$550)-ROW(Накл!$B$9)+1),ROW(D378)-ROW(A377)+1)),"")," ",IFERROR(INDEX(Накл!$C$9:$C$550,SMALL(IF(Накл!$B$9:$B$550=A377,ROW(Накл!$B$9:$B$550)-ROW(Накл!$B$9)+1),ROW(D379)-ROW(A377)+1)),"")," ",IFERROR(INDEX(Накл!$C$9:$C$550,SMALL(IF(Накл!$B$9:$B$550=A377,ROW(Накл!$B$9:$B$550)-ROW(Накл!$B$9)+1),ROW(D380)-ROW(A377)+1)),"")," ",IFERROR(INDEX(Накл!$C$9:$C$550,SMALL(IF(Накл!$B$9:$B$550=A377,ROW(Накл!$B$9:$B$550)-ROW(Накл!$B$9)+1),ROW(D381)-ROW(A377)+1)),"")," ",IFERROR(INDEX(Накл!$C$9:$C$550,SMALL(IF(Накл!$B$9:$B$550=A377,ROW(Накл!$B$9:$B$550)-ROW(Накл!$B$9)+1),ROW(D382)-ROW(A377)+1)),"")," ",IFERROR(INDEX(Накл!$C$9:$C$550,SMALL(IF(Накл!$B$9:$B$550=A377,ROW(Накл!$B$9:$B$550)-ROW(Накл!$B$9)+1),ROW(D383)-ROW(A377)+1)),"")," ",IFERROR(INDEX(Накл!$C$9:$C$550,SMALL(IF(Накл!$B$9:$B$550=A377,ROW(Накл!$B$9:$B$550)-ROW(Накл!$B$9)+1),ROW(D384)-ROW(A377)+1)),"")," ",IFERROR(INDEX(Накл!$C$9:$C$550,SMALL(IF(Накл!$B$9:$B$550=A377,ROW(Накл!$B$9:$B$550)-ROW(Накл!$B$9)+1),ROW(D385)-ROW(A377)+1)),"")," ",IFERROR(INDEX(Накл!$C$9:$C$550,SMALL(IF(Накл!$B$9:$B$550=A377,ROW(Накл!$B$9:$B$550)-ROW(Накл!$B$9)+1),ROW(D386)-ROW(A377)+1)),""))</f>
        <v xml:space="preserve">         </v>
      </c>
      <c r="E377" s="26" t="str">
        <f t="array" ref="E377">IF(LEN(D377)&lt;10,CONCATENATE(IFERROR(INDEX(Накл!$C$9:$C$550,SMALL(IF(Накл!$A$9:$A$550=VALUE(LEFT(A377,8)),ROW(Накл!$A$9:$A$550)-ROW(Накл!$A$9)+1),ROW(E377)-ROW(B377)+1)),"")," ",IFERROR(INDEX(Накл!$C$9:$C$550,SMALL(IF(Накл!$A$9:$A$550=VALUE(LEFT(A377,8)),ROW(Накл!$A$9:$A$550)-ROW(Накл!$A$9)+1),ROW(E378)-ROW(B377)+1)),"")," ",IFERROR(INDEX(Накл!$C$9:$C$550,SMALL(IF(Накл!$A$9:$A$550=VALUE(LEFT(A377,8)),ROW(Накл!$A$9:$A$550)-ROW(Накл!$A$9)+1),ROW(E379)-ROW(B377)+1)),"")," ",IFERROR(INDEX(Накл!$C$9:$C$550,SMALL(IF(Накл!$A$9:$A$550=VALUE(LEFT(A377,8)),ROW(Накл!$A$9:$A$550)-ROW(Накл!$A$9)+1),ROW(E380)-ROW(B377)+1)),"")),"")</f>
        <v xml:space="preserve">   </v>
      </c>
    </row>
    <row r="378" spans="1:5">
      <c r="A378" s="26" t="str">
        <f>IFERROR(CONCATENATE(VALUE(SUBSTITUTE(SUBSTITUTE(LEFT(Накл!G385,11),".",""),"-",""))," ",Накл!J385),"-")</f>
        <v>-</v>
      </c>
      <c r="B378" s="26" t="str">
        <f>IFERROR(VLOOKUP(VALUE(LEFT(A378,8)),Накл!$A$9:$D$550,4,0),"-")</f>
        <v>-</v>
      </c>
      <c r="C378" s="26">
        <f>Накл!J385</f>
        <v>0</v>
      </c>
      <c r="D378" s="33" t="str">
        <f t="array" ref="D378">CONCATENATE(IFERROR(INDEX(Накл!$C$9:$C$550,SMALL(IF(Накл!$B$9:$B$550=A378,ROW(Накл!$B$9:$B$550)-ROW(Накл!$B$9)+1),ROW(D378)-ROW(A378)+1)),"")," ",IFERROR(INDEX(Накл!$C$9:$C$550,SMALL(IF(Накл!$B$9:$B$550=A378,ROW(Накл!$B$9:$B$550)-ROW(Накл!$B$9)+1),ROW(D379)-ROW(A378)+1)),"")," ",IFERROR(INDEX(Накл!$C$9:$C$550,SMALL(IF(Накл!$B$9:$B$550=A378,ROW(Накл!$B$9:$B$550)-ROW(Накл!$B$9)+1),ROW(D380)-ROW(A378)+1)),"")," ",IFERROR(INDEX(Накл!$C$9:$C$550,SMALL(IF(Накл!$B$9:$B$550=A378,ROW(Накл!$B$9:$B$550)-ROW(Накл!$B$9)+1),ROW(D381)-ROW(A378)+1)),"")," ",IFERROR(INDEX(Накл!$C$9:$C$550,SMALL(IF(Накл!$B$9:$B$550=A378,ROW(Накл!$B$9:$B$550)-ROW(Накл!$B$9)+1),ROW(D382)-ROW(A378)+1)),"")," ",IFERROR(INDEX(Накл!$C$9:$C$550,SMALL(IF(Накл!$B$9:$B$550=A378,ROW(Накл!$B$9:$B$550)-ROW(Накл!$B$9)+1),ROW(D383)-ROW(A378)+1)),"")," ",IFERROR(INDEX(Накл!$C$9:$C$550,SMALL(IF(Накл!$B$9:$B$550=A378,ROW(Накл!$B$9:$B$550)-ROW(Накл!$B$9)+1),ROW(D384)-ROW(A378)+1)),"")," ",IFERROR(INDEX(Накл!$C$9:$C$550,SMALL(IF(Накл!$B$9:$B$550=A378,ROW(Накл!$B$9:$B$550)-ROW(Накл!$B$9)+1),ROW(D385)-ROW(A378)+1)),"")," ",IFERROR(INDEX(Накл!$C$9:$C$550,SMALL(IF(Накл!$B$9:$B$550=A378,ROW(Накл!$B$9:$B$550)-ROW(Накл!$B$9)+1),ROW(D386)-ROW(A378)+1)),"")," ",IFERROR(INDEX(Накл!$C$9:$C$550,SMALL(IF(Накл!$B$9:$B$550=A378,ROW(Накл!$B$9:$B$550)-ROW(Накл!$B$9)+1),ROW(D387)-ROW(A378)+1)),""))</f>
        <v xml:space="preserve">         </v>
      </c>
      <c r="E378" s="26" t="str">
        <f t="array" ref="E378">IF(LEN(D378)&lt;10,CONCATENATE(IFERROR(INDEX(Накл!$C$9:$C$550,SMALL(IF(Накл!$A$9:$A$550=VALUE(LEFT(A378,8)),ROW(Накл!$A$9:$A$550)-ROW(Накл!$A$9)+1),ROW(E378)-ROW(B378)+1)),"")," ",IFERROR(INDEX(Накл!$C$9:$C$550,SMALL(IF(Накл!$A$9:$A$550=VALUE(LEFT(A378,8)),ROW(Накл!$A$9:$A$550)-ROW(Накл!$A$9)+1),ROW(E379)-ROW(B378)+1)),"")," ",IFERROR(INDEX(Накл!$C$9:$C$550,SMALL(IF(Накл!$A$9:$A$550=VALUE(LEFT(A378,8)),ROW(Накл!$A$9:$A$550)-ROW(Накл!$A$9)+1),ROW(E380)-ROW(B378)+1)),"")," ",IFERROR(INDEX(Накл!$C$9:$C$550,SMALL(IF(Накл!$A$9:$A$550=VALUE(LEFT(A378,8)),ROW(Накл!$A$9:$A$550)-ROW(Накл!$A$9)+1),ROW(E381)-ROW(B378)+1)),"")),"")</f>
        <v xml:space="preserve">   </v>
      </c>
    </row>
    <row r="379" spans="1:5">
      <c r="A379" s="26" t="str">
        <f>IFERROR(CONCATENATE(VALUE(SUBSTITUTE(SUBSTITUTE(LEFT(Накл!G386,11),".",""),"-",""))," ",Накл!J386),"-")</f>
        <v>-</v>
      </c>
      <c r="B379" s="26" t="str">
        <f>IFERROR(VLOOKUP(VALUE(LEFT(A379,8)),Накл!$A$9:$D$550,4,0),"-")</f>
        <v>-</v>
      </c>
      <c r="C379" s="26">
        <f>Накл!J386</f>
        <v>0</v>
      </c>
      <c r="D379" s="33" t="str">
        <f t="array" ref="D379">CONCATENATE(IFERROR(INDEX(Накл!$C$9:$C$550,SMALL(IF(Накл!$B$9:$B$550=A379,ROW(Накл!$B$9:$B$550)-ROW(Накл!$B$9)+1),ROW(D379)-ROW(A379)+1)),"")," ",IFERROR(INDEX(Накл!$C$9:$C$550,SMALL(IF(Накл!$B$9:$B$550=A379,ROW(Накл!$B$9:$B$550)-ROW(Накл!$B$9)+1),ROW(D380)-ROW(A379)+1)),"")," ",IFERROR(INDEX(Накл!$C$9:$C$550,SMALL(IF(Накл!$B$9:$B$550=A379,ROW(Накл!$B$9:$B$550)-ROW(Накл!$B$9)+1),ROW(D381)-ROW(A379)+1)),"")," ",IFERROR(INDEX(Накл!$C$9:$C$550,SMALL(IF(Накл!$B$9:$B$550=A379,ROW(Накл!$B$9:$B$550)-ROW(Накл!$B$9)+1),ROW(D382)-ROW(A379)+1)),"")," ",IFERROR(INDEX(Накл!$C$9:$C$550,SMALL(IF(Накл!$B$9:$B$550=A379,ROW(Накл!$B$9:$B$550)-ROW(Накл!$B$9)+1),ROW(D383)-ROW(A379)+1)),"")," ",IFERROR(INDEX(Накл!$C$9:$C$550,SMALL(IF(Накл!$B$9:$B$550=A379,ROW(Накл!$B$9:$B$550)-ROW(Накл!$B$9)+1),ROW(D384)-ROW(A379)+1)),"")," ",IFERROR(INDEX(Накл!$C$9:$C$550,SMALL(IF(Накл!$B$9:$B$550=A379,ROW(Накл!$B$9:$B$550)-ROW(Накл!$B$9)+1),ROW(D385)-ROW(A379)+1)),"")," ",IFERROR(INDEX(Накл!$C$9:$C$550,SMALL(IF(Накл!$B$9:$B$550=A379,ROW(Накл!$B$9:$B$550)-ROW(Накл!$B$9)+1),ROW(D386)-ROW(A379)+1)),"")," ",IFERROR(INDEX(Накл!$C$9:$C$550,SMALL(IF(Накл!$B$9:$B$550=A379,ROW(Накл!$B$9:$B$550)-ROW(Накл!$B$9)+1),ROW(D387)-ROW(A379)+1)),"")," ",IFERROR(INDEX(Накл!$C$9:$C$550,SMALL(IF(Накл!$B$9:$B$550=A379,ROW(Накл!$B$9:$B$550)-ROW(Накл!$B$9)+1),ROW(D388)-ROW(A379)+1)),""))</f>
        <v xml:space="preserve">         </v>
      </c>
      <c r="E379" s="26" t="str">
        <f t="array" ref="E379">IF(LEN(D379)&lt;10,CONCATENATE(IFERROR(INDEX(Накл!$C$9:$C$550,SMALL(IF(Накл!$A$9:$A$550=VALUE(LEFT(A379,8)),ROW(Накл!$A$9:$A$550)-ROW(Накл!$A$9)+1),ROW(E379)-ROW(B379)+1)),"")," ",IFERROR(INDEX(Накл!$C$9:$C$550,SMALL(IF(Накл!$A$9:$A$550=VALUE(LEFT(A379,8)),ROW(Накл!$A$9:$A$550)-ROW(Накл!$A$9)+1),ROW(E380)-ROW(B379)+1)),"")," ",IFERROR(INDEX(Накл!$C$9:$C$550,SMALL(IF(Накл!$A$9:$A$550=VALUE(LEFT(A379,8)),ROW(Накл!$A$9:$A$550)-ROW(Накл!$A$9)+1),ROW(E381)-ROW(B379)+1)),"")," ",IFERROR(INDEX(Накл!$C$9:$C$550,SMALL(IF(Накл!$A$9:$A$550=VALUE(LEFT(A379,8)),ROW(Накл!$A$9:$A$550)-ROW(Накл!$A$9)+1),ROW(E382)-ROW(B379)+1)),"")),"")</f>
        <v xml:space="preserve">   </v>
      </c>
    </row>
    <row r="380" spans="1:5">
      <c r="A380" s="26" t="str">
        <f>IFERROR(CONCATENATE(VALUE(SUBSTITUTE(SUBSTITUTE(LEFT(Накл!G387,11),".",""),"-",""))," ",Накл!J387),"-")</f>
        <v>-</v>
      </c>
      <c r="B380" s="26" t="str">
        <f>IFERROR(VLOOKUP(VALUE(LEFT(A380,8)),Накл!$A$9:$D$550,4,0),"-")</f>
        <v>-</v>
      </c>
      <c r="C380" s="26">
        <f>Накл!J387</f>
        <v>0</v>
      </c>
      <c r="D380" s="33" t="str">
        <f t="array" ref="D380">CONCATENATE(IFERROR(INDEX(Накл!$C$9:$C$550,SMALL(IF(Накл!$B$9:$B$550=A380,ROW(Накл!$B$9:$B$550)-ROW(Накл!$B$9)+1),ROW(D380)-ROW(A380)+1)),"")," ",IFERROR(INDEX(Накл!$C$9:$C$550,SMALL(IF(Накл!$B$9:$B$550=A380,ROW(Накл!$B$9:$B$550)-ROW(Накл!$B$9)+1),ROW(D381)-ROW(A380)+1)),"")," ",IFERROR(INDEX(Накл!$C$9:$C$550,SMALL(IF(Накл!$B$9:$B$550=A380,ROW(Накл!$B$9:$B$550)-ROW(Накл!$B$9)+1),ROW(D382)-ROW(A380)+1)),"")," ",IFERROR(INDEX(Накл!$C$9:$C$550,SMALL(IF(Накл!$B$9:$B$550=A380,ROW(Накл!$B$9:$B$550)-ROW(Накл!$B$9)+1),ROW(D383)-ROW(A380)+1)),"")," ",IFERROR(INDEX(Накл!$C$9:$C$550,SMALL(IF(Накл!$B$9:$B$550=A380,ROW(Накл!$B$9:$B$550)-ROW(Накл!$B$9)+1),ROW(D384)-ROW(A380)+1)),"")," ",IFERROR(INDEX(Накл!$C$9:$C$550,SMALL(IF(Накл!$B$9:$B$550=A380,ROW(Накл!$B$9:$B$550)-ROW(Накл!$B$9)+1),ROW(D385)-ROW(A380)+1)),"")," ",IFERROR(INDEX(Накл!$C$9:$C$550,SMALL(IF(Накл!$B$9:$B$550=A380,ROW(Накл!$B$9:$B$550)-ROW(Накл!$B$9)+1),ROW(D386)-ROW(A380)+1)),"")," ",IFERROR(INDEX(Накл!$C$9:$C$550,SMALL(IF(Накл!$B$9:$B$550=A380,ROW(Накл!$B$9:$B$550)-ROW(Накл!$B$9)+1),ROW(D387)-ROW(A380)+1)),"")," ",IFERROR(INDEX(Накл!$C$9:$C$550,SMALL(IF(Накл!$B$9:$B$550=A380,ROW(Накл!$B$9:$B$550)-ROW(Накл!$B$9)+1),ROW(D388)-ROW(A380)+1)),"")," ",IFERROR(INDEX(Накл!$C$9:$C$550,SMALL(IF(Накл!$B$9:$B$550=A380,ROW(Накл!$B$9:$B$550)-ROW(Накл!$B$9)+1),ROW(D389)-ROW(A380)+1)),""))</f>
        <v xml:space="preserve">         </v>
      </c>
      <c r="E380" s="26" t="str">
        <f t="array" ref="E380">IF(LEN(D380)&lt;10,CONCATENATE(IFERROR(INDEX(Накл!$C$9:$C$550,SMALL(IF(Накл!$A$9:$A$550=VALUE(LEFT(A380,8)),ROW(Накл!$A$9:$A$550)-ROW(Накл!$A$9)+1),ROW(E380)-ROW(B380)+1)),"")," ",IFERROR(INDEX(Накл!$C$9:$C$550,SMALL(IF(Накл!$A$9:$A$550=VALUE(LEFT(A380,8)),ROW(Накл!$A$9:$A$550)-ROW(Накл!$A$9)+1),ROW(E381)-ROW(B380)+1)),"")," ",IFERROR(INDEX(Накл!$C$9:$C$550,SMALL(IF(Накл!$A$9:$A$550=VALUE(LEFT(A380,8)),ROW(Накл!$A$9:$A$550)-ROW(Накл!$A$9)+1),ROW(E382)-ROW(B380)+1)),"")," ",IFERROR(INDEX(Накл!$C$9:$C$550,SMALL(IF(Накл!$A$9:$A$550=VALUE(LEFT(A380,8)),ROW(Накл!$A$9:$A$550)-ROW(Накл!$A$9)+1),ROW(E383)-ROW(B380)+1)),"")),"")</f>
        <v xml:space="preserve">   </v>
      </c>
    </row>
    <row r="381" spans="1:5">
      <c r="A381" s="26" t="str">
        <f>IFERROR(CONCATENATE(VALUE(SUBSTITUTE(SUBSTITUTE(LEFT(Накл!G388,11),".",""),"-",""))," ",Накл!J388),"-")</f>
        <v>-</v>
      </c>
      <c r="B381" s="26" t="str">
        <f>IFERROR(VLOOKUP(VALUE(LEFT(A381,8)),Накл!$A$9:$D$550,4,0),"-")</f>
        <v>-</v>
      </c>
      <c r="C381" s="26">
        <f>Накл!J388</f>
        <v>0</v>
      </c>
      <c r="D381" s="33" t="str">
        <f t="array" ref="D381">CONCATENATE(IFERROR(INDEX(Накл!$C$9:$C$550,SMALL(IF(Накл!$B$9:$B$550=A381,ROW(Накл!$B$9:$B$550)-ROW(Накл!$B$9)+1),ROW(D381)-ROW(A381)+1)),"")," ",IFERROR(INDEX(Накл!$C$9:$C$550,SMALL(IF(Накл!$B$9:$B$550=A381,ROW(Накл!$B$9:$B$550)-ROW(Накл!$B$9)+1),ROW(D382)-ROW(A381)+1)),"")," ",IFERROR(INDEX(Накл!$C$9:$C$550,SMALL(IF(Накл!$B$9:$B$550=A381,ROW(Накл!$B$9:$B$550)-ROW(Накл!$B$9)+1),ROW(D383)-ROW(A381)+1)),"")," ",IFERROR(INDEX(Накл!$C$9:$C$550,SMALL(IF(Накл!$B$9:$B$550=A381,ROW(Накл!$B$9:$B$550)-ROW(Накл!$B$9)+1),ROW(D384)-ROW(A381)+1)),"")," ",IFERROR(INDEX(Накл!$C$9:$C$550,SMALL(IF(Накл!$B$9:$B$550=A381,ROW(Накл!$B$9:$B$550)-ROW(Накл!$B$9)+1),ROW(D385)-ROW(A381)+1)),"")," ",IFERROR(INDEX(Накл!$C$9:$C$550,SMALL(IF(Накл!$B$9:$B$550=A381,ROW(Накл!$B$9:$B$550)-ROW(Накл!$B$9)+1),ROW(D386)-ROW(A381)+1)),"")," ",IFERROR(INDEX(Накл!$C$9:$C$550,SMALL(IF(Накл!$B$9:$B$550=A381,ROW(Накл!$B$9:$B$550)-ROW(Накл!$B$9)+1),ROW(D387)-ROW(A381)+1)),"")," ",IFERROR(INDEX(Накл!$C$9:$C$550,SMALL(IF(Накл!$B$9:$B$550=A381,ROW(Накл!$B$9:$B$550)-ROW(Накл!$B$9)+1),ROW(D388)-ROW(A381)+1)),"")," ",IFERROR(INDEX(Накл!$C$9:$C$550,SMALL(IF(Накл!$B$9:$B$550=A381,ROW(Накл!$B$9:$B$550)-ROW(Накл!$B$9)+1),ROW(D389)-ROW(A381)+1)),"")," ",IFERROR(INDEX(Накл!$C$9:$C$550,SMALL(IF(Накл!$B$9:$B$550=A381,ROW(Накл!$B$9:$B$550)-ROW(Накл!$B$9)+1),ROW(D390)-ROW(A381)+1)),""))</f>
        <v xml:space="preserve">         </v>
      </c>
      <c r="E381" s="26" t="str">
        <f t="array" ref="E381">IF(LEN(D381)&lt;10,CONCATENATE(IFERROR(INDEX(Накл!$C$9:$C$550,SMALL(IF(Накл!$A$9:$A$550=VALUE(LEFT(A381,8)),ROW(Накл!$A$9:$A$550)-ROW(Накл!$A$9)+1),ROW(E381)-ROW(B381)+1)),"")," ",IFERROR(INDEX(Накл!$C$9:$C$550,SMALL(IF(Накл!$A$9:$A$550=VALUE(LEFT(A381,8)),ROW(Накл!$A$9:$A$550)-ROW(Накл!$A$9)+1),ROW(E382)-ROW(B381)+1)),"")," ",IFERROR(INDEX(Накл!$C$9:$C$550,SMALL(IF(Накл!$A$9:$A$550=VALUE(LEFT(A381,8)),ROW(Накл!$A$9:$A$550)-ROW(Накл!$A$9)+1),ROW(E383)-ROW(B381)+1)),"")," ",IFERROR(INDEX(Накл!$C$9:$C$550,SMALL(IF(Накл!$A$9:$A$550=VALUE(LEFT(A381,8)),ROW(Накл!$A$9:$A$550)-ROW(Накл!$A$9)+1),ROW(E384)-ROW(B381)+1)),"")),"")</f>
        <v xml:space="preserve">   </v>
      </c>
    </row>
    <row r="382" spans="1:5">
      <c r="A382" s="26" t="str">
        <f>IFERROR(CONCATENATE(VALUE(SUBSTITUTE(SUBSTITUTE(LEFT(Накл!G389,11),".",""),"-",""))," ",Накл!J389),"-")</f>
        <v>-</v>
      </c>
      <c r="B382" s="26" t="str">
        <f>IFERROR(VLOOKUP(VALUE(LEFT(A382,8)),Накл!$A$9:$D$550,4,0),"-")</f>
        <v>-</v>
      </c>
      <c r="C382" s="26">
        <f>Накл!J389</f>
        <v>0</v>
      </c>
      <c r="D382" s="33" t="str">
        <f t="array" ref="D382">CONCATENATE(IFERROR(INDEX(Накл!$C$9:$C$550,SMALL(IF(Накл!$B$9:$B$550=A382,ROW(Накл!$B$9:$B$550)-ROW(Накл!$B$9)+1),ROW(D382)-ROW(A382)+1)),"")," ",IFERROR(INDEX(Накл!$C$9:$C$550,SMALL(IF(Накл!$B$9:$B$550=A382,ROW(Накл!$B$9:$B$550)-ROW(Накл!$B$9)+1),ROW(D383)-ROW(A382)+1)),"")," ",IFERROR(INDEX(Накл!$C$9:$C$550,SMALL(IF(Накл!$B$9:$B$550=A382,ROW(Накл!$B$9:$B$550)-ROW(Накл!$B$9)+1),ROW(D384)-ROW(A382)+1)),"")," ",IFERROR(INDEX(Накл!$C$9:$C$550,SMALL(IF(Накл!$B$9:$B$550=A382,ROW(Накл!$B$9:$B$550)-ROW(Накл!$B$9)+1),ROW(D385)-ROW(A382)+1)),"")," ",IFERROR(INDEX(Накл!$C$9:$C$550,SMALL(IF(Накл!$B$9:$B$550=A382,ROW(Накл!$B$9:$B$550)-ROW(Накл!$B$9)+1),ROW(D386)-ROW(A382)+1)),"")," ",IFERROR(INDEX(Накл!$C$9:$C$550,SMALL(IF(Накл!$B$9:$B$550=A382,ROW(Накл!$B$9:$B$550)-ROW(Накл!$B$9)+1),ROW(D387)-ROW(A382)+1)),"")," ",IFERROR(INDEX(Накл!$C$9:$C$550,SMALL(IF(Накл!$B$9:$B$550=A382,ROW(Накл!$B$9:$B$550)-ROW(Накл!$B$9)+1),ROW(D388)-ROW(A382)+1)),"")," ",IFERROR(INDEX(Накл!$C$9:$C$550,SMALL(IF(Накл!$B$9:$B$550=A382,ROW(Накл!$B$9:$B$550)-ROW(Накл!$B$9)+1),ROW(D389)-ROW(A382)+1)),"")," ",IFERROR(INDEX(Накл!$C$9:$C$550,SMALL(IF(Накл!$B$9:$B$550=A382,ROW(Накл!$B$9:$B$550)-ROW(Накл!$B$9)+1),ROW(D390)-ROW(A382)+1)),"")," ",IFERROR(INDEX(Накл!$C$9:$C$550,SMALL(IF(Накл!$B$9:$B$550=A382,ROW(Накл!$B$9:$B$550)-ROW(Накл!$B$9)+1),ROW(D391)-ROW(A382)+1)),""))</f>
        <v xml:space="preserve">         </v>
      </c>
      <c r="E382" s="26" t="str">
        <f t="array" ref="E382">IF(LEN(D382)&lt;10,CONCATENATE(IFERROR(INDEX(Накл!$C$9:$C$550,SMALL(IF(Накл!$A$9:$A$550=VALUE(LEFT(A382,8)),ROW(Накл!$A$9:$A$550)-ROW(Накл!$A$9)+1),ROW(E382)-ROW(B382)+1)),"")," ",IFERROR(INDEX(Накл!$C$9:$C$550,SMALL(IF(Накл!$A$9:$A$550=VALUE(LEFT(A382,8)),ROW(Накл!$A$9:$A$550)-ROW(Накл!$A$9)+1),ROW(E383)-ROW(B382)+1)),"")," ",IFERROR(INDEX(Накл!$C$9:$C$550,SMALL(IF(Накл!$A$9:$A$550=VALUE(LEFT(A382,8)),ROW(Накл!$A$9:$A$550)-ROW(Накл!$A$9)+1),ROW(E384)-ROW(B382)+1)),"")," ",IFERROR(INDEX(Накл!$C$9:$C$550,SMALL(IF(Накл!$A$9:$A$550=VALUE(LEFT(A382,8)),ROW(Накл!$A$9:$A$550)-ROW(Накл!$A$9)+1),ROW(E385)-ROW(B382)+1)),"")),"")</f>
        <v xml:space="preserve">   </v>
      </c>
    </row>
    <row r="383" spans="1:5">
      <c r="A383" s="26" t="str">
        <f>IFERROR(CONCATENATE(VALUE(SUBSTITUTE(SUBSTITUTE(LEFT(Накл!G390,11),".",""),"-",""))," ",Накл!J390),"-")</f>
        <v>-</v>
      </c>
      <c r="B383" s="26" t="str">
        <f>IFERROR(VLOOKUP(VALUE(LEFT(A383,8)),Накл!$A$9:$D$550,4,0),"-")</f>
        <v>-</v>
      </c>
      <c r="C383" s="26">
        <f>Накл!J390</f>
        <v>0</v>
      </c>
      <c r="D383" s="33" t="str">
        <f t="array" ref="D383">CONCATENATE(IFERROR(INDEX(Накл!$C$9:$C$550,SMALL(IF(Накл!$B$9:$B$550=A383,ROW(Накл!$B$9:$B$550)-ROW(Накл!$B$9)+1),ROW(D383)-ROW(A383)+1)),"")," ",IFERROR(INDEX(Накл!$C$9:$C$550,SMALL(IF(Накл!$B$9:$B$550=A383,ROW(Накл!$B$9:$B$550)-ROW(Накл!$B$9)+1),ROW(D384)-ROW(A383)+1)),"")," ",IFERROR(INDEX(Накл!$C$9:$C$550,SMALL(IF(Накл!$B$9:$B$550=A383,ROW(Накл!$B$9:$B$550)-ROW(Накл!$B$9)+1),ROW(D385)-ROW(A383)+1)),"")," ",IFERROR(INDEX(Накл!$C$9:$C$550,SMALL(IF(Накл!$B$9:$B$550=A383,ROW(Накл!$B$9:$B$550)-ROW(Накл!$B$9)+1),ROW(D386)-ROW(A383)+1)),"")," ",IFERROR(INDEX(Накл!$C$9:$C$550,SMALL(IF(Накл!$B$9:$B$550=A383,ROW(Накл!$B$9:$B$550)-ROW(Накл!$B$9)+1),ROW(D387)-ROW(A383)+1)),"")," ",IFERROR(INDEX(Накл!$C$9:$C$550,SMALL(IF(Накл!$B$9:$B$550=A383,ROW(Накл!$B$9:$B$550)-ROW(Накл!$B$9)+1),ROW(D388)-ROW(A383)+1)),"")," ",IFERROR(INDEX(Накл!$C$9:$C$550,SMALL(IF(Накл!$B$9:$B$550=A383,ROW(Накл!$B$9:$B$550)-ROW(Накл!$B$9)+1),ROW(D389)-ROW(A383)+1)),"")," ",IFERROR(INDEX(Накл!$C$9:$C$550,SMALL(IF(Накл!$B$9:$B$550=A383,ROW(Накл!$B$9:$B$550)-ROW(Накл!$B$9)+1),ROW(D390)-ROW(A383)+1)),"")," ",IFERROR(INDEX(Накл!$C$9:$C$550,SMALL(IF(Накл!$B$9:$B$550=A383,ROW(Накл!$B$9:$B$550)-ROW(Накл!$B$9)+1),ROW(D391)-ROW(A383)+1)),"")," ",IFERROR(INDEX(Накл!$C$9:$C$550,SMALL(IF(Накл!$B$9:$B$550=A383,ROW(Накл!$B$9:$B$550)-ROW(Накл!$B$9)+1),ROW(D392)-ROW(A383)+1)),""))</f>
        <v xml:space="preserve">         </v>
      </c>
      <c r="E383" s="26" t="str">
        <f t="array" ref="E383">IF(LEN(D383)&lt;10,CONCATENATE(IFERROR(INDEX(Накл!$C$9:$C$550,SMALL(IF(Накл!$A$9:$A$550=VALUE(LEFT(A383,8)),ROW(Накл!$A$9:$A$550)-ROW(Накл!$A$9)+1),ROW(E383)-ROW(B383)+1)),"")," ",IFERROR(INDEX(Накл!$C$9:$C$550,SMALL(IF(Накл!$A$9:$A$550=VALUE(LEFT(A383,8)),ROW(Накл!$A$9:$A$550)-ROW(Накл!$A$9)+1),ROW(E384)-ROW(B383)+1)),"")," ",IFERROR(INDEX(Накл!$C$9:$C$550,SMALL(IF(Накл!$A$9:$A$550=VALUE(LEFT(A383,8)),ROW(Накл!$A$9:$A$550)-ROW(Накл!$A$9)+1),ROW(E385)-ROW(B383)+1)),"")," ",IFERROR(INDEX(Накл!$C$9:$C$550,SMALL(IF(Накл!$A$9:$A$550=VALUE(LEFT(A383,8)),ROW(Накл!$A$9:$A$550)-ROW(Накл!$A$9)+1),ROW(E386)-ROW(B383)+1)),"")),"")</f>
        <v xml:space="preserve">   </v>
      </c>
    </row>
    <row r="384" spans="1:5">
      <c r="A384" s="26" t="str">
        <f>IFERROR(CONCATENATE(VALUE(SUBSTITUTE(SUBSTITUTE(LEFT(Накл!G391,11),".",""),"-",""))," ",Накл!J391),"-")</f>
        <v>-</v>
      </c>
      <c r="B384" s="26" t="str">
        <f>IFERROR(VLOOKUP(VALUE(LEFT(A384,8)),Накл!$A$9:$D$550,4,0),"-")</f>
        <v>-</v>
      </c>
      <c r="C384" s="26">
        <f>Накл!J391</f>
        <v>0</v>
      </c>
      <c r="D384" s="33" t="str">
        <f t="array" ref="D384">CONCATENATE(IFERROR(INDEX(Накл!$C$9:$C$550,SMALL(IF(Накл!$B$9:$B$550=A384,ROW(Накл!$B$9:$B$550)-ROW(Накл!$B$9)+1),ROW(D384)-ROW(A384)+1)),"")," ",IFERROR(INDEX(Накл!$C$9:$C$550,SMALL(IF(Накл!$B$9:$B$550=A384,ROW(Накл!$B$9:$B$550)-ROW(Накл!$B$9)+1),ROW(D385)-ROW(A384)+1)),"")," ",IFERROR(INDEX(Накл!$C$9:$C$550,SMALL(IF(Накл!$B$9:$B$550=A384,ROW(Накл!$B$9:$B$550)-ROW(Накл!$B$9)+1),ROW(D386)-ROW(A384)+1)),"")," ",IFERROR(INDEX(Накл!$C$9:$C$550,SMALL(IF(Накл!$B$9:$B$550=A384,ROW(Накл!$B$9:$B$550)-ROW(Накл!$B$9)+1),ROW(D387)-ROW(A384)+1)),"")," ",IFERROR(INDEX(Накл!$C$9:$C$550,SMALL(IF(Накл!$B$9:$B$550=A384,ROW(Накл!$B$9:$B$550)-ROW(Накл!$B$9)+1),ROW(D388)-ROW(A384)+1)),"")," ",IFERROR(INDEX(Накл!$C$9:$C$550,SMALL(IF(Накл!$B$9:$B$550=A384,ROW(Накл!$B$9:$B$550)-ROW(Накл!$B$9)+1),ROW(D389)-ROW(A384)+1)),"")," ",IFERROR(INDEX(Накл!$C$9:$C$550,SMALL(IF(Накл!$B$9:$B$550=A384,ROW(Накл!$B$9:$B$550)-ROW(Накл!$B$9)+1),ROW(D390)-ROW(A384)+1)),"")," ",IFERROR(INDEX(Накл!$C$9:$C$550,SMALL(IF(Накл!$B$9:$B$550=A384,ROW(Накл!$B$9:$B$550)-ROW(Накл!$B$9)+1),ROW(D391)-ROW(A384)+1)),"")," ",IFERROR(INDEX(Накл!$C$9:$C$550,SMALL(IF(Накл!$B$9:$B$550=A384,ROW(Накл!$B$9:$B$550)-ROW(Накл!$B$9)+1),ROW(D392)-ROW(A384)+1)),"")," ",IFERROR(INDEX(Накл!$C$9:$C$550,SMALL(IF(Накл!$B$9:$B$550=A384,ROW(Накл!$B$9:$B$550)-ROW(Накл!$B$9)+1),ROW(D393)-ROW(A384)+1)),""))</f>
        <v xml:space="preserve">         </v>
      </c>
      <c r="E384" s="26" t="str">
        <f t="array" ref="E384">IF(LEN(D384)&lt;10,CONCATENATE(IFERROR(INDEX(Накл!$C$9:$C$550,SMALL(IF(Накл!$A$9:$A$550=VALUE(LEFT(A384,8)),ROW(Накл!$A$9:$A$550)-ROW(Накл!$A$9)+1),ROW(E384)-ROW(B384)+1)),"")," ",IFERROR(INDEX(Накл!$C$9:$C$550,SMALL(IF(Накл!$A$9:$A$550=VALUE(LEFT(A384,8)),ROW(Накл!$A$9:$A$550)-ROW(Накл!$A$9)+1),ROW(E385)-ROW(B384)+1)),"")," ",IFERROR(INDEX(Накл!$C$9:$C$550,SMALL(IF(Накл!$A$9:$A$550=VALUE(LEFT(A384,8)),ROW(Накл!$A$9:$A$550)-ROW(Накл!$A$9)+1),ROW(E386)-ROW(B384)+1)),"")," ",IFERROR(INDEX(Накл!$C$9:$C$550,SMALL(IF(Накл!$A$9:$A$550=VALUE(LEFT(A384,8)),ROW(Накл!$A$9:$A$550)-ROW(Накл!$A$9)+1),ROW(E387)-ROW(B384)+1)),"")),"")</f>
        <v xml:space="preserve">   </v>
      </c>
    </row>
    <row r="385" spans="1:5">
      <c r="A385" s="26" t="str">
        <f>IFERROR(CONCATENATE(VALUE(SUBSTITUTE(SUBSTITUTE(LEFT(Накл!G392,11),".",""),"-",""))," ",Накл!J392),"-")</f>
        <v>-</v>
      </c>
      <c r="B385" s="26" t="str">
        <f>IFERROR(VLOOKUP(VALUE(LEFT(A385,8)),Накл!$A$9:$D$550,4,0),"-")</f>
        <v>-</v>
      </c>
      <c r="C385" s="26">
        <f>Накл!J392</f>
        <v>0</v>
      </c>
      <c r="D385" s="33" t="str">
        <f t="array" ref="D385">CONCATENATE(IFERROR(INDEX(Накл!$C$9:$C$550,SMALL(IF(Накл!$B$9:$B$550=A385,ROW(Накл!$B$9:$B$550)-ROW(Накл!$B$9)+1),ROW(D385)-ROW(A385)+1)),"")," ",IFERROR(INDEX(Накл!$C$9:$C$550,SMALL(IF(Накл!$B$9:$B$550=A385,ROW(Накл!$B$9:$B$550)-ROW(Накл!$B$9)+1),ROW(D386)-ROW(A385)+1)),"")," ",IFERROR(INDEX(Накл!$C$9:$C$550,SMALL(IF(Накл!$B$9:$B$550=A385,ROW(Накл!$B$9:$B$550)-ROW(Накл!$B$9)+1),ROW(D387)-ROW(A385)+1)),"")," ",IFERROR(INDEX(Накл!$C$9:$C$550,SMALL(IF(Накл!$B$9:$B$550=A385,ROW(Накл!$B$9:$B$550)-ROW(Накл!$B$9)+1),ROW(D388)-ROW(A385)+1)),"")," ",IFERROR(INDEX(Накл!$C$9:$C$550,SMALL(IF(Накл!$B$9:$B$550=A385,ROW(Накл!$B$9:$B$550)-ROW(Накл!$B$9)+1),ROW(D389)-ROW(A385)+1)),"")," ",IFERROR(INDEX(Накл!$C$9:$C$550,SMALL(IF(Накл!$B$9:$B$550=A385,ROW(Накл!$B$9:$B$550)-ROW(Накл!$B$9)+1),ROW(D390)-ROW(A385)+1)),"")," ",IFERROR(INDEX(Накл!$C$9:$C$550,SMALL(IF(Накл!$B$9:$B$550=A385,ROW(Накл!$B$9:$B$550)-ROW(Накл!$B$9)+1),ROW(D391)-ROW(A385)+1)),"")," ",IFERROR(INDEX(Накл!$C$9:$C$550,SMALL(IF(Накл!$B$9:$B$550=A385,ROW(Накл!$B$9:$B$550)-ROW(Накл!$B$9)+1),ROW(D392)-ROW(A385)+1)),"")," ",IFERROR(INDEX(Накл!$C$9:$C$550,SMALL(IF(Накл!$B$9:$B$550=A385,ROW(Накл!$B$9:$B$550)-ROW(Накл!$B$9)+1),ROW(D393)-ROW(A385)+1)),"")," ",IFERROR(INDEX(Накл!$C$9:$C$550,SMALL(IF(Накл!$B$9:$B$550=A385,ROW(Накл!$B$9:$B$550)-ROW(Накл!$B$9)+1),ROW(D394)-ROW(A385)+1)),""))</f>
        <v xml:space="preserve">         </v>
      </c>
      <c r="E385" s="26" t="str">
        <f t="array" ref="E385">IF(LEN(D385)&lt;10,CONCATENATE(IFERROR(INDEX(Накл!$C$9:$C$550,SMALL(IF(Накл!$A$9:$A$550=VALUE(LEFT(A385,8)),ROW(Накл!$A$9:$A$550)-ROW(Накл!$A$9)+1),ROW(E385)-ROW(B385)+1)),"")," ",IFERROR(INDEX(Накл!$C$9:$C$550,SMALL(IF(Накл!$A$9:$A$550=VALUE(LEFT(A385,8)),ROW(Накл!$A$9:$A$550)-ROW(Накл!$A$9)+1),ROW(E386)-ROW(B385)+1)),"")," ",IFERROR(INDEX(Накл!$C$9:$C$550,SMALL(IF(Накл!$A$9:$A$550=VALUE(LEFT(A385,8)),ROW(Накл!$A$9:$A$550)-ROW(Накл!$A$9)+1),ROW(E387)-ROW(B385)+1)),"")," ",IFERROR(INDEX(Накл!$C$9:$C$550,SMALL(IF(Накл!$A$9:$A$550=VALUE(LEFT(A385,8)),ROW(Накл!$A$9:$A$550)-ROW(Накл!$A$9)+1),ROW(E388)-ROW(B385)+1)),"")),"")</f>
        <v xml:space="preserve">   </v>
      </c>
    </row>
    <row r="386" spans="1:5">
      <c r="A386" s="26" t="str">
        <f>IFERROR(CONCATENATE(VALUE(SUBSTITUTE(SUBSTITUTE(LEFT(Накл!G393,11),".",""),"-",""))," ",Накл!J393),"-")</f>
        <v>-</v>
      </c>
      <c r="B386" s="26" t="str">
        <f>IFERROR(VLOOKUP(VALUE(LEFT(A386,8)),Накл!$A$9:$D$550,4,0),"-")</f>
        <v>-</v>
      </c>
      <c r="C386" s="26">
        <f>Накл!J393</f>
        <v>0</v>
      </c>
      <c r="D386" s="33" t="str">
        <f t="array" ref="D386">CONCATENATE(IFERROR(INDEX(Накл!$C$9:$C$550,SMALL(IF(Накл!$B$9:$B$550=A386,ROW(Накл!$B$9:$B$550)-ROW(Накл!$B$9)+1),ROW(D386)-ROW(A386)+1)),"")," ",IFERROR(INDEX(Накл!$C$9:$C$550,SMALL(IF(Накл!$B$9:$B$550=A386,ROW(Накл!$B$9:$B$550)-ROW(Накл!$B$9)+1),ROW(D387)-ROW(A386)+1)),"")," ",IFERROR(INDEX(Накл!$C$9:$C$550,SMALL(IF(Накл!$B$9:$B$550=A386,ROW(Накл!$B$9:$B$550)-ROW(Накл!$B$9)+1),ROW(D388)-ROW(A386)+1)),"")," ",IFERROR(INDEX(Накл!$C$9:$C$550,SMALL(IF(Накл!$B$9:$B$550=A386,ROW(Накл!$B$9:$B$550)-ROW(Накл!$B$9)+1),ROW(D389)-ROW(A386)+1)),"")," ",IFERROR(INDEX(Накл!$C$9:$C$550,SMALL(IF(Накл!$B$9:$B$550=A386,ROW(Накл!$B$9:$B$550)-ROW(Накл!$B$9)+1),ROW(D390)-ROW(A386)+1)),"")," ",IFERROR(INDEX(Накл!$C$9:$C$550,SMALL(IF(Накл!$B$9:$B$550=A386,ROW(Накл!$B$9:$B$550)-ROW(Накл!$B$9)+1),ROW(D391)-ROW(A386)+1)),"")," ",IFERROR(INDEX(Накл!$C$9:$C$550,SMALL(IF(Накл!$B$9:$B$550=A386,ROW(Накл!$B$9:$B$550)-ROW(Накл!$B$9)+1),ROW(D392)-ROW(A386)+1)),"")," ",IFERROR(INDEX(Накл!$C$9:$C$550,SMALL(IF(Накл!$B$9:$B$550=A386,ROW(Накл!$B$9:$B$550)-ROW(Накл!$B$9)+1),ROW(D393)-ROW(A386)+1)),"")," ",IFERROR(INDEX(Накл!$C$9:$C$550,SMALL(IF(Накл!$B$9:$B$550=A386,ROW(Накл!$B$9:$B$550)-ROW(Накл!$B$9)+1),ROW(D394)-ROW(A386)+1)),"")," ",IFERROR(INDEX(Накл!$C$9:$C$550,SMALL(IF(Накл!$B$9:$B$550=A386,ROW(Накл!$B$9:$B$550)-ROW(Накл!$B$9)+1),ROW(D395)-ROW(A386)+1)),""))</f>
        <v xml:space="preserve">         </v>
      </c>
      <c r="E386" s="26" t="str">
        <f t="array" ref="E386">IF(LEN(D386)&lt;10,CONCATENATE(IFERROR(INDEX(Накл!$C$9:$C$550,SMALL(IF(Накл!$A$9:$A$550=VALUE(LEFT(A386,8)),ROW(Накл!$A$9:$A$550)-ROW(Накл!$A$9)+1),ROW(E386)-ROW(B386)+1)),"")," ",IFERROR(INDEX(Накл!$C$9:$C$550,SMALL(IF(Накл!$A$9:$A$550=VALUE(LEFT(A386,8)),ROW(Накл!$A$9:$A$550)-ROW(Накл!$A$9)+1),ROW(E387)-ROW(B386)+1)),"")," ",IFERROR(INDEX(Накл!$C$9:$C$550,SMALL(IF(Накл!$A$9:$A$550=VALUE(LEFT(A386,8)),ROW(Накл!$A$9:$A$550)-ROW(Накл!$A$9)+1),ROW(E388)-ROW(B386)+1)),"")," ",IFERROR(INDEX(Накл!$C$9:$C$550,SMALL(IF(Накл!$A$9:$A$550=VALUE(LEFT(A386,8)),ROW(Накл!$A$9:$A$550)-ROW(Накл!$A$9)+1),ROW(E389)-ROW(B386)+1)),"")),"")</f>
        <v xml:space="preserve">   </v>
      </c>
    </row>
    <row r="387" spans="1:5">
      <c r="A387" s="26" t="str">
        <f>IFERROR(CONCATENATE(VALUE(SUBSTITUTE(SUBSTITUTE(LEFT(Накл!G394,11),".",""),"-",""))," ",Накл!J394),"-")</f>
        <v>-</v>
      </c>
      <c r="B387" s="26" t="str">
        <f>IFERROR(VLOOKUP(VALUE(LEFT(A387,8)),Накл!$A$9:$D$550,4,0),"-")</f>
        <v>-</v>
      </c>
      <c r="C387" s="26">
        <f>Накл!J394</f>
        <v>0</v>
      </c>
      <c r="D387" s="33" t="str">
        <f t="array" ref="D387">CONCATENATE(IFERROR(INDEX(Накл!$C$9:$C$550,SMALL(IF(Накл!$B$9:$B$550=A387,ROW(Накл!$B$9:$B$550)-ROW(Накл!$B$9)+1),ROW(D387)-ROW(A387)+1)),"")," ",IFERROR(INDEX(Накл!$C$9:$C$550,SMALL(IF(Накл!$B$9:$B$550=A387,ROW(Накл!$B$9:$B$550)-ROW(Накл!$B$9)+1),ROW(D388)-ROW(A387)+1)),"")," ",IFERROR(INDEX(Накл!$C$9:$C$550,SMALL(IF(Накл!$B$9:$B$550=A387,ROW(Накл!$B$9:$B$550)-ROW(Накл!$B$9)+1),ROW(D389)-ROW(A387)+1)),"")," ",IFERROR(INDEX(Накл!$C$9:$C$550,SMALL(IF(Накл!$B$9:$B$550=A387,ROW(Накл!$B$9:$B$550)-ROW(Накл!$B$9)+1),ROW(D390)-ROW(A387)+1)),"")," ",IFERROR(INDEX(Накл!$C$9:$C$550,SMALL(IF(Накл!$B$9:$B$550=A387,ROW(Накл!$B$9:$B$550)-ROW(Накл!$B$9)+1),ROW(D391)-ROW(A387)+1)),"")," ",IFERROR(INDEX(Накл!$C$9:$C$550,SMALL(IF(Накл!$B$9:$B$550=A387,ROW(Накл!$B$9:$B$550)-ROW(Накл!$B$9)+1),ROW(D392)-ROW(A387)+1)),"")," ",IFERROR(INDEX(Накл!$C$9:$C$550,SMALL(IF(Накл!$B$9:$B$550=A387,ROW(Накл!$B$9:$B$550)-ROW(Накл!$B$9)+1),ROW(D393)-ROW(A387)+1)),"")," ",IFERROR(INDEX(Накл!$C$9:$C$550,SMALL(IF(Накл!$B$9:$B$550=A387,ROW(Накл!$B$9:$B$550)-ROW(Накл!$B$9)+1),ROW(D394)-ROW(A387)+1)),"")," ",IFERROR(INDEX(Накл!$C$9:$C$550,SMALL(IF(Накл!$B$9:$B$550=A387,ROW(Накл!$B$9:$B$550)-ROW(Накл!$B$9)+1),ROW(D395)-ROW(A387)+1)),"")," ",IFERROR(INDEX(Накл!$C$9:$C$550,SMALL(IF(Накл!$B$9:$B$550=A387,ROW(Накл!$B$9:$B$550)-ROW(Накл!$B$9)+1),ROW(D396)-ROW(A387)+1)),""))</f>
        <v xml:space="preserve">         </v>
      </c>
      <c r="E387" s="26" t="str">
        <f t="array" ref="E387">IF(LEN(D387)&lt;10,CONCATENATE(IFERROR(INDEX(Накл!$C$9:$C$550,SMALL(IF(Накл!$A$9:$A$550=VALUE(LEFT(A387,8)),ROW(Накл!$A$9:$A$550)-ROW(Накл!$A$9)+1),ROW(E387)-ROW(B387)+1)),"")," ",IFERROR(INDEX(Накл!$C$9:$C$550,SMALL(IF(Накл!$A$9:$A$550=VALUE(LEFT(A387,8)),ROW(Накл!$A$9:$A$550)-ROW(Накл!$A$9)+1),ROW(E388)-ROW(B387)+1)),"")," ",IFERROR(INDEX(Накл!$C$9:$C$550,SMALL(IF(Накл!$A$9:$A$550=VALUE(LEFT(A387,8)),ROW(Накл!$A$9:$A$550)-ROW(Накл!$A$9)+1),ROW(E389)-ROW(B387)+1)),"")," ",IFERROR(INDEX(Накл!$C$9:$C$550,SMALL(IF(Накл!$A$9:$A$550=VALUE(LEFT(A387,8)),ROW(Накл!$A$9:$A$550)-ROW(Накл!$A$9)+1),ROW(E390)-ROW(B387)+1)),"")),"")</f>
        <v xml:space="preserve">   </v>
      </c>
    </row>
    <row r="388" spans="1:5">
      <c r="A388" s="26" t="str">
        <f>IFERROR(CONCATENATE(VALUE(SUBSTITUTE(SUBSTITUTE(LEFT(Накл!G395,11),".",""),"-",""))," ",Накл!J395),"-")</f>
        <v>-</v>
      </c>
      <c r="B388" s="26" t="str">
        <f>IFERROR(VLOOKUP(VALUE(LEFT(A388,8)),Накл!$A$9:$D$550,4,0),"-")</f>
        <v>-</v>
      </c>
      <c r="C388" s="26">
        <f>Накл!J395</f>
        <v>0</v>
      </c>
      <c r="D388" s="33" t="str">
        <f t="array" ref="D388">CONCATENATE(IFERROR(INDEX(Накл!$C$9:$C$550,SMALL(IF(Накл!$B$9:$B$550=A388,ROW(Накл!$B$9:$B$550)-ROW(Накл!$B$9)+1),ROW(D388)-ROW(A388)+1)),"")," ",IFERROR(INDEX(Накл!$C$9:$C$550,SMALL(IF(Накл!$B$9:$B$550=A388,ROW(Накл!$B$9:$B$550)-ROW(Накл!$B$9)+1),ROW(D389)-ROW(A388)+1)),"")," ",IFERROR(INDEX(Накл!$C$9:$C$550,SMALL(IF(Накл!$B$9:$B$550=A388,ROW(Накл!$B$9:$B$550)-ROW(Накл!$B$9)+1),ROW(D390)-ROW(A388)+1)),"")," ",IFERROR(INDEX(Накл!$C$9:$C$550,SMALL(IF(Накл!$B$9:$B$550=A388,ROW(Накл!$B$9:$B$550)-ROW(Накл!$B$9)+1),ROW(D391)-ROW(A388)+1)),"")," ",IFERROR(INDEX(Накл!$C$9:$C$550,SMALL(IF(Накл!$B$9:$B$550=A388,ROW(Накл!$B$9:$B$550)-ROW(Накл!$B$9)+1),ROW(D392)-ROW(A388)+1)),"")," ",IFERROR(INDEX(Накл!$C$9:$C$550,SMALL(IF(Накл!$B$9:$B$550=A388,ROW(Накл!$B$9:$B$550)-ROW(Накл!$B$9)+1),ROW(D393)-ROW(A388)+1)),"")," ",IFERROR(INDEX(Накл!$C$9:$C$550,SMALL(IF(Накл!$B$9:$B$550=A388,ROW(Накл!$B$9:$B$550)-ROW(Накл!$B$9)+1),ROW(D394)-ROW(A388)+1)),"")," ",IFERROR(INDEX(Накл!$C$9:$C$550,SMALL(IF(Накл!$B$9:$B$550=A388,ROW(Накл!$B$9:$B$550)-ROW(Накл!$B$9)+1),ROW(D395)-ROW(A388)+1)),"")," ",IFERROR(INDEX(Накл!$C$9:$C$550,SMALL(IF(Накл!$B$9:$B$550=A388,ROW(Накл!$B$9:$B$550)-ROW(Накл!$B$9)+1),ROW(D396)-ROW(A388)+1)),"")," ",IFERROR(INDEX(Накл!$C$9:$C$550,SMALL(IF(Накл!$B$9:$B$550=A388,ROW(Накл!$B$9:$B$550)-ROW(Накл!$B$9)+1),ROW(D397)-ROW(A388)+1)),""))</f>
        <v xml:space="preserve">         </v>
      </c>
      <c r="E388" s="26" t="str">
        <f t="array" ref="E388">IF(LEN(D388)&lt;10,CONCATENATE(IFERROR(INDEX(Накл!$C$9:$C$550,SMALL(IF(Накл!$A$9:$A$550=VALUE(LEFT(A388,8)),ROW(Накл!$A$9:$A$550)-ROW(Накл!$A$9)+1),ROW(E388)-ROW(B388)+1)),"")," ",IFERROR(INDEX(Накл!$C$9:$C$550,SMALL(IF(Накл!$A$9:$A$550=VALUE(LEFT(A388,8)),ROW(Накл!$A$9:$A$550)-ROW(Накл!$A$9)+1),ROW(E389)-ROW(B388)+1)),"")," ",IFERROR(INDEX(Накл!$C$9:$C$550,SMALL(IF(Накл!$A$9:$A$550=VALUE(LEFT(A388,8)),ROW(Накл!$A$9:$A$550)-ROW(Накл!$A$9)+1),ROW(E390)-ROW(B388)+1)),"")," ",IFERROR(INDEX(Накл!$C$9:$C$550,SMALL(IF(Накл!$A$9:$A$550=VALUE(LEFT(A388,8)),ROW(Накл!$A$9:$A$550)-ROW(Накл!$A$9)+1),ROW(E391)-ROW(B388)+1)),"")),"")</f>
        <v xml:space="preserve">   </v>
      </c>
    </row>
    <row r="389" spans="1:5">
      <c r="A389" s="26" t="str">
        <f>IFERROR(CONCATENATE(VALUE(SUBSTITUTE(SUBSTITUTE(LEFT(Накл!G396,11),".",""),"-",""))," ",Накл!J396),"-")</f>
        <v>-</v>
      </c>
      <c r="B389" s="26" t="str">
        <f>IFERROR(VLOOKUP(VALUE(LEFT(A389,8)),Накл!$A$9:$D$550,4,0),"-")</f>
        <v>-</v>
      </c>
      <c r="C389" s="26">
        <f>Накл!J396</f>
        <v>0</v>
      </c>
      <c r="D389" s="33" t="str">
        <f t="array" ref="D389">CONCATENATE(IFERROR(INDEX(Накл!$C$9:$C$550,SMALL(IF(Накл!$B$9:$B$550=A389,ROW(Накл!$B$9:$B$550)-ROW(Накл!$B$9)+1),ROW(D389)-ROW(A389)+1)),"")," ",IFERROR(INDEX(Накл!$C$9:$C$550,SMALL(IF(Накл!$B$9:$B$550=A389,ROW(Накл!$B$9:$B$550)-ROW(Накл!$B$9)+1),ROW(D390)-ROW(A389)+1)),"")," ",IFERROR(INDEX(Накл!$C$9:$C$550,SMALL(IF(Накл!$B$9:$B$550=A389,ROW(Накл!$B$9:$B$550)-ROW(Накл!$B$9)+1),ROW(D391)-ROW(A389)+1)),"")," ",IFERROR(INDEX(Накл!$C$9:$C$550,SMALL(IF(Накл!$B$9:$B$550=A389,ROW(Накл!$B$9:$B$550)-ROW(Накл!$B$9)+1),ROW(D392)-ROW(A389)+1)),"")," ",IFERROR(INDEX(Накл!$C$9:$C$550,SMALL(IF(Накл!$B$9:$B$550=A389,ROW(Накл!$B$9:$B$550)-ROW(Накл!$B$9)+1),ROW(D393)-ROW(A389)+1)),"")," ",IFERROR(INDEX(Накл!$C$9:$C$550,SMALL(IF(Накл!$B$9:$B$550=A389,ROW(Накл!$B$9:$B$550)-ROW(Накл!$B$9)+1),ROW(D394)-ROW(A389)+1)),"")," ",IFERROR(INDEX(Накл!$C$9:$C$550,SMALL(IF(Накл!$B$9:$B$550=A389,ROW(Накл!$B$9:$B$550)-ROW(Накл!$B$9)+1),ROW(D395)-ROW(A389)+1)),"")," ",IFERROR(INDEX(Накл!$C$9:$C$550,SMALL(IF(Накл!$B$9:$B$550=A389,ROW(Накл!$B$9:$B$550)-ROW(Накл!$B$9)+1),ROW(D396)-ROW(A389)+1)),"")," ",IFERROR(INDEX(Накл!$C$9:$C$550,SMALL(IF(Накл!$B$9:$B$550=A389,ROW(Накл!$B$9:$B$550)-ROW(Накл!$B$9)+1),ROW(D397)-ROW(A389)+1)),"")," ",IFERROR(INDEX(Накл!$C$9:$C$550,SMALL(IF(Накл!$B$9:$B$550=A389,ROW(Накл!$B$9:$B$550)-ROW(Накл!$B$9)+1),ROW(D398)-ROW(A389)+1)),""))</f>
        <v xml:space="preserve">         </v>
      </c>
      <c r="E389" s="26" t="str">
        <f t="array" ref="E389">IF(LEN(D389)&lt;10,CONCATENATE(IFERROR(INDEX(Накл!$C$9:$C$550,SMALL(IF(Накл!$A$9:$A$550=VALUE(LEFT(A389,8)),ROW(Накл!$A$9:$A$550)-ROW(Накл!$A$9)+1),ROW(E389)-ROW(B389)+1)),"")," ",IFERROR(INDEX(Накл!$C$9:$C$550,SMALL(IF(Накл!$A$9:$A$550=VALUE(LEFT(A389,8)),ROW(Накл!$A$9:$A$550)-ROW(Накл!$A$9)+1),ROW(E390)-ROW(B389)+1)),"")," ",IFERROR(INDEX(Накл!$C$9:$C$550,SMALL(IF(Накл!$A$9:$A$550=VALUE(LEFT(A389,8)),ROW(Накл!$A$9:$A$550)-ROW(Накл!$A$9)+1),ROW(E391)-ROW(B389)+1)),"")," ",IFERROR(INDEX(Накл!$C$9:$C$550,SMALL(IF(Накл!$A$9:$A$550=VALUE(LEFT(A389,8)),ROW(Накл!$A$9:$A$550)-ROW(Накл!$A$9)+1),ROW(E392)-ROW(B389)+1)),"")),"")</f>
        <v xml:space="preserve">   </v>
      </c>
    </row>
    <row r="390" spans="1:5">
      <c r="A390" s="26" t="str">
        <f>IFERROR(CONCATENATE(VALUE(SUBSTITUTE(SUBSTITUTE(LEFT(Накл!G397,11),".",""),"-",""))," ",Накл!J397),"-")</f>
        <v>-</v>
      </c>
      <c r="B390" s="26" t="str">
        <f>IFERROR(VLOOKUP(VALUE(LEFT(A390,8)),Накл!$A$9:$D$550,4,0),"-")</f>
        <v>-</v>
      </c>
      <c r="C390" s="26">
        <f>Накл!J397</f>
        <v>0</v>
      </c>
      <c r="D390" s="33" t="str">
        <f t="array" ref="D390">CONCATENATE(IFERROR(INDEX(Накл!$C$9:$C$550,SMALL(IF(Накл!$B$9:$B$550=A390,ROW(Накл!$B$9:$B$550)-ROW(Накл!$B$9)+1),ROW(D390)-ROW(A390)+1)),"")," ",IFERROR(INDEX(Накл!$C$9:$C$550,SMALL(IF(Накл!$B$9:$B$550=A390,ROW(Накл!$B$9:$B$550)-ROW(Накл!$B$9)+1),ROW(D391)-ROW(A390)+1)),"")," ",IFERROR(INDEX(Накл!$C$9:$C$550,SMALL(IF(Накл!$B$9:$B$550=A390,ROW(Накл!$B$9:$B$550)-ROW(Накл!$B$9)+1),ROW(D392)-ROW(A390)+1)),"")," ",IFERROR(INDEX(Накл!$C$9:$C$550,SMALL(IF(Накл!$B$9:$B$550=A390,ROW(Накл!$B$9:$B$550)-ROW(Накл!$B$9)+1),ROW(D393)-ROW(A390)+1)),"")," ",IFERROR(INDEX(Накл!$C$9:$C$550,SMALL(IF(Накл!$B$9:$B$550=A390,ROW(Накл!$B$9:$B$550)-ROW(Накл!$B$9)+1),ROW(D394)-ROW(A390)+1)),"")," ",IFERROR(INDEX(Накл!$C$9:$C$550,SMALL(IF(Накл!$B$9:$B$550=A390,ROW(Накл!$B$9:$B$550)-ROW(Накл!$B$9)+1),ROW(D395)-ROW(A390)+1)),"")," ",IFERROR(INDEX(Накл!$C$9:$C$550,SMALL(IF(Накл!$B$9:$B$550=A390,ROW(Накл!$B$9:$B$550)-ROW(Накл!$B$9)+1),ROW(D396)-ROW(A390)+1)),"")," ",IFERROR(INDEX(Накл!$C$9:$C$550,SMALL(IF(Накл!$B$9:$B$550=A390,ROW(Накл!$B$9:$B$550)-ROW(Накл!$B$9)+1),ROW(D397)-ROW(A390)+1)),"")," ",IFERROR(INDEX(Накл!$C$9:$C$550,SMALL(IF(Накл!$B$9:$B$550=A390,ROW(Накл!$B$9:$B$550)-ROW(Накл!$B$9)+1),ROW(D398)-ROW(A390)+1)),"")," ",IFERROR(INDEX(Накл!$C$9:$C$550,SMALL(IF(Накл!$B$9:$B$550=A390,ROW(Накл!$B$9:$B$550)-ROW(Накл!$B$9)+1),ROW(D399)-ROW(A390)+1)),""))</f>
        <v xml:space="preserve">         </v>
      </c>
      <c r="E390" s="26" t="str">
        <f t="array" ref="E390">IF(LEN(D390)&lt;10,CONCATENATE(IFERROR(INDEX(Накл!$C$9:$C$550,SMALL(IF(Накл!$A$9:$A$550=VALUE(LEFT(A390,8)),ROW(Накл!$A$9:$A$550)-ROW(Накл!$A$9)+1),ROW(E390)-ROW(B390)+1)),"")," ",IFERROR(INDEX(Накл!$C$9:$C$550,SMALL(IF(Накл!$A$9:$A$550=VALUE(LEFT(A390,8)),ROW(Накл!$A$9:$A$550)-ROW(Накл!$A$9)+1),ROW(E391)-ROW(B390)+1)),"")," ",IFERROR(INDEX(Накл!$C$9:$C$550,SMALL(IF(Накл!$A$9:$A$550=VALUE(LEFT(A390,8)),ROW(Накл!$A$9:$A$550)-ROW(Накл!$A$9)+1),ROW(E392)-ROW(B390)+1)),"")," ",IFERROR(INDEX(Накл!$C$9:$C$550,SMALL(IF(Накл!$A$9:$A$550=VALUE(LEFT(A390,8)),ROW(Накл!$A$9:$A$550)-ROW(Накл!$A$9)+1),ROW(E393)-ROW(B390)+1)),"")),"")</f>
        <v xml:space="preserve">   </v>
      </c>
    </row>
    <row r="391" spans="1:5">
      <c r="A391" s="26" t="str">
        <f>IFERROR(CONCATENATE(VALUE(SUBSTITUTE(SUBSTITUTE(LEFT(Накл!G398,11),".",""),"-",""))," ",Накл!J398),"-")</f>
        <v>-</v>
      </c>
      <c r="B391" s="26" t="str">
        <f>IFERROR(VLOOKUP(VALUE(LEFT(A391,8)),Накл!$A$9:$D$550,4,0),"-")</f>
        <v>-</v>
      </c>
      <c r="C391" s="26">
        <f>Накл!J398</f>
        <v>0</v>
      </c>
      <c r="D391" s="33" t="str">
        <f t="array" ref="D391">CONCATENATE(IFERROR(INDEX(Накл!$C$9:$C$550,SMALL(IF(Накл!$B$9:$B$550=A391,ROW(Накл!$B$9:$B$550)-ROW(Накл!$B$9)+1),ROW(D391)-ROW(A391)+1)),"")," ",IFERROR(INDEX(Накл!$C$9:$C$550,SMALL(IF(Накл!$B$9:$B$550=A391,ROW(Накл!$B$9:$B$550)-ROW(Накл!$B$9)+1),ROW(D392)-ROW(A391)+1)),"")," ",IFERROR(INDEX(Накл!$C$9:$C$550,SMALL(IF(Накл!$B$9:$B$550=A391,ROW(Накл!$B$9:$B$550)-ROW(Накл!$B$9)+1),ROW(D393)-ROW(A391)+1)),"")," ",IFERROR(INDEX(Накл!$C$9:$C$550,SMALL(IF(Накл!$B$9:$B$550=A391,ROW(Накл!$B$9:$B$550)-ROW(Накл!$B$9)+1),ROW(D394)-ROW(A391)+1)),"")," ",IFERROR(INDEX(Накл!$C$9:$C$550,SMALL(IF(Накл!$B$9:$B$550=A391,ROW(Накл!$B$9:$B$550)-ROW(Накл!$B$9)+1),ROW(D395)-ROW(A391)+1)),"")," ",IFERROR(INDEX(Накл!$C$9:$C$550,SMALL(IF(Накл!$B$9:$B$550=A391,ROW(Накл!$B$9:$B$550)-ROW(Накл!$B$9)+1),ROW(D396)-ROW(A391)+1)),"")," ",IFERROR(INDEX(Накл!$C$9:$C$550,SMALL(IF(Накл!$B$9:$B$550=A391,ROW(Накл!$B$9:$B$550)-ROW(Накл!$B$9)+1),ROW(D397)-ROW(A391)+1)),"")," ",IFERROR(INDEX(Накл!$C$9:$C$550,SMALL(IF(Накл!$B$9:$B$550=A391,ROW(Накл!$B$9:$B$550)-ROW(Накл!$B$9)+1),ROW(D398)-ROW(A391)+1)),"")," ",IFERROR(INDEX(Накл!$C$9:$C$550,SMALL(IF(Накл!$B$9:$B$550=A391,ROW(Накл!$B$9:$B$550)-ROW(Накл!$B$9)+1),ROW(D399)-ROW(A391)+1)),"")," ",IFERROR(INDEX(Накл!$C$9:$C$550,SMALL(IF(Накл!$B$9:$B$550=A391,ROW(Накл!$B$9:$B$550)-ROW(Накл!$B$9)+1),ROW(D400)-ROW(A391)+1)),""))</f>
        <v xml:space="preserve">         </v>
      </c>
      <c r="E391" s="26" t="str">
        <f t="array" ref="E391">IF(LEN(D391)&lt;10,CONCATENATE(IFERROR(INDEX(Накл!$C$9:$C$550,SMALL(IF(Накл!$A$9:$A$550=VALUE(LEFT(A391,8)),ROW(Накл!$A$9:$A$550)-ROW(Накл!$A$9)+1),ROW(E391)-ROW(B391)+1)),"")," ",IFERROR(INDEX(Накл!$C$9:$C$550,SMALL(IF(Накл!$A$9:$A$550=VALUE(LEFT(A391,8)),ROW(Накл!$A$9:$A$550)-ROW(Накл!$A$9)+1),ROW(E392)-ROW(B391)+1)),"")," ",IFERROR(INDEX(Накл!$C$9:$C$550,SMALL(IF(Накл!$A$9:$A$550=VALUE(LEFT(A391,8)),ROW(Накл!$A$9:$A$550)-ROW(Накл!$A$9)+1),ROW(E393)-ROW(B391)+1)),"")," ",IFERROR(INDEX(Накл!$C$9:$C$550,SMALL(IF(Накл!$A$9:$A$550=VALUE(LEFT(A391,8)),ROW(Накл!$A$9:$A$550)-ROW(Накл!$A$9)+1),ROW(E394)-ROW(B391)+1)),"")),"")</f>
        <v xml:space="preserve">   </v>
      </c>
    </row>
    <row r="392" spans="1:5">
      <c r="A392" s="26" t="str">
        <f>IFERROR(CONCATENATE(VALUE(SUBSTITUTE(SUBSTITUTE(LEFT(Накл!G399,11),".",""),"-",""))," ",Накл!J399),"-")</f>
        <v>-</v>
      </c>
      <c r="B392" s="26" t="str">
        <f>IFERROR(VLOOKUP(VALUE(LEFT(A392,8)),Накл!$A$9:$D$550,4,0),"-")</f>
        <v>-</v>
      </c>
      <c r="C392" s="26">
        <f>Накл!J399</f>
        <v>0</v>
      </c>
      <c r="D392" s="33" t="str">
        <f t="array" ref="D392">CONCATENATE(IFERROR(INDEX(Накл!$C$9:$C$550,SMALL(IF(Накл!$B$9:$B$550=A392,ROW(Накл!$B$9:$B$550)-ROW(Накл!$B$9)+1),ROW(D392)-ROW(A392)+1)),"")," ",IFERROR(INDEX(Накл!$C$9:$C$550,SMALL(IF(Накл!$B$9:$B$550=A392,ROW(Накл!$B$9:$B$550)-ROW(Накл!$B$9)+1),ROW(D393)-ROW(A392)+1)),"")," ",IFERROR(INDEX(Накл!$C$9:$C$550,SMALL(IF(Накл!$B$9:$B$550=A392,ROW(Накл!$B$9:$B$550)-ROW(Накл!$B$9)+1),ROW(D394)-ROW(A392)+1)),"")," ",IFERROR(INDEX(Накл!$C$9:$C$550,SMALL(IF(Накл!$B$9:$B$550=A392,ROW(Накл!$B$9:$B$550)-ROW(Накл!$B$9)+1),ROW(D395)-ROW(A392)+1)),"")," ",IFERROR(INDEX(Накл!$C$9:$C$550,SMALL(IF(Накл!$B$9:$B$550=A392,ROW(Накл!$B$9:$B$550)-ROW(Накл!$B$9)+1),ROW(D396)-ROW(A392)+1)),"")," ",IFERROR(INDEX(Накл!$C$9:$C$550,SMALL(IF(Накл!$B$9:$B$550=A392,ROW(Накл!$B$9:$B$550)-ROW(Накл!$B$9)+1),ROW(D397)-ROW(A392)+1)),"")," ",IFERROR(INDEX(Накл!$C$9:$C$550,SMALL(IF(Накл!$B$9:$B$550=A392,ROW(Накл!$B$9:$B$550)-ROW(Накл!$B$9)+1),ROW(D398)-ROW(A392)+1)),"")," ",IFERROR(INDEX(Накл!$C$9:$C$550,SMALL(IF(Накл!$B$9:$B$550=A392,ROW(Накл!$B$9:$B$550)-ROW(Накл!$B$9)+1),ROW(D399)-ROW(A392)+1)),"")," ",IFERROR(INDEX(Накл!$C$9:$C$550,SMALL(IF(Накл!$B$9:$B$550=A392,ROW(Накл!$B$9:$B$550)-ROW(Накл!$B$9)+1),ROW(D400)-ROW(A392)+1)),"")," ",IFERROR(INDEX(Накл!$C$9:$C$550,SMALL(IF(Накл!$B$9:$B$550=A392,ROW(Накл!$B$9:$B$550)-ROW(Накл!$B$9)+1),ROW(D401)-ROW(A392)+1)),""))</f>
        <v xml:space="preserve">         </v>
      </c>
      <c r="E392" s="26" t="str">
        <f t="array" ref="E392">IF(LEN(D392)&lt;10,CONCATENATE(IFERROR(INDEX(Накл!$C$9:$C$550,SMALL(IF(Накл!$A$9:$A$550=VALUE(LEFT(A392,8)),ROW(Накл!$A$9:$A$550)-ROW(Накл!$A$9)+1),ROW(E392)-ROW(B392)+1)),"")," ",IFERROR(INDEX(Накл!$C$9:$C$550,SMALL(IF(Накл!$A$9:$A$550=VALUE(LEFT(A392,8)),ROW(Накл!$A$9:$A$550)-ROW(Накл!$A$9)+1),ROW(E393)-ROW(B392)+1)),"")," ",IFERROR(INDEX(Накл!$C$9:$C$550,SMALL(IF(Накл!$A$9:$A$550=VALUE(LEFT(A392,8)),ROW(Накл!$A$9:$A$550)-ROW(Накл!$A$9)+1),ROW(E394)-ROW(B392)+1)),"")," ",IFERROR(INDEX(Накл!$C$9:$C$550,SMALL(IF(Накл!$A$9:$A$550=VALUE(LEFT(A392,8)),ROW(Накл!$A$9:$A$550)-ROW(Накл!$A$9)+1),ROW(E395)-ROW(B392)+1)),"")),"")</f>
        <v xml:space="preserve">   </v>
      </c>
    </row>
    <row r="393" spans="1:5">
      <c r="A393" s="26" t="str">
        <f>IFERROR(CONCATENATE(VALUE(SUBSTITUTE(SUBSTITUTE(LEFT(Накл!G400,11),".",""),"-",""))," ",Накл!J400),"-")</f>
        <v>-</v>
      </c>
      <c r="B393" s="26" t="str">
        <f>IFERROR(VLOOKUP(VALUE(LEFT(A393,8)),Накл!$A$9:$D$550,4,0),"-")</f>
        <v>-</v>
      </c>
      <c r="C393" s="26">
        <f>Накл!J400</f>
        <v>0</v>
      </c>
      <c r="D393" s="33" t="str">
        <f t="array" ref="D393">CONCATENATE(IFERROR(INDEX(Накл!$C$9:$C$550,SMALL(IF(Накл!$B$9:$B$550=A393,ROW(Накл!$B$9:$B$550)-ROW(Накл!$B$9)+1),ROW(D393)-ROW(A393)+1)),"")," ",IFERROR(INDEX(Накл!$C$9:$C$550,SMALL(IF(Накл!$B$9:$B$550=A393,ROW(Накл!$B$9:$B$550)-ROW(Накл!$B$9)+1),ROW(D394)-ROW(A393)+1)),"")," ",IFERROR(INDEX(Накл!$C$9:$C$550,SMALL(IF(Накл!$B$9:$B$550=A393,ROW(Накл!$B$9:$B$550)-ROW(Накл!$B$9)+1),ROW(D395)-ROW(A393)+1)),"")," ",IFERROR(INDEX(Накл!$C$9:$C$550,SMALL(IF(Накл!$B$9:$B$550=A393,ROW(Накл!$B$9:$B$550)-ROW(Накл!$B$9)+1),ROW(D396)-ROW(A393)+1)),"")," ",IFERROR(INDEX(Накл!$C$9:$C$550,SMALL(IF(Накл!$B$9:$B$550=A393,ROW(Накл!$B$9:$B$550)-ROW(Накл!$B$9)+1),ROW(D397)-ROW(A393)+1)),"")," ",IFERROR(INDEX(Накл!$C$9:$C$550,SMALL(IF(Накл!$B$9:$B$550=A393,ROW(Накл!$B$9:$B$550)-ROW(Накл!$B$9)+1),ROW(D398)-ROW(A393)+1)),"")," ",IFERROR(INDEX(Накл!$C$9:$C$550,SMALL(IF(Накл!$B$9:$B$550=A393,ROW(Накл!$B$9:$B$550)-ROW(Накл!$B$9)+1),ROW(D399)-ROW(A393)+1)),"")," ",IFERROR(INDEX(Накл!$C$9:$C$550,SMALL(IF(Накл!$B$9:$B$550=A393,ROW(Накл!$B$9:$B$550)-ROW(Накл!$B$9)+1),ROW(D400)-ROW(A393)+1)),"")," ",IFERROR(INDEX(Накл!$C$9:$C$550,SMALL(IF(Накл!$B$9:$B$550=A393,ROW(Накл!$B$9:$B$550)-ROW(Накл!$B$9)+1),ROW(D401)-ROW(A393)+1)),"")," ",IFERROR(INDEX(Накл!$C$9:$C$550,SMALL(IF(Накл!$B$9:$B$550=A393,ROW(Накл!$B$9:$B$550)-ROW(Накл!$B$9)+1),ROW(D402)-ROW(A393)+1)),""))</f>
        <v xml:space="preserve">         </v>
      </c>
      <c r="E393" s="26" t="str">
        <f t="array" ref="E393">IF(LEN(D393)&lt;10,CONCATENATE(IFERROR(INDEX(Накл!$C$9:$C$550,SMALL(IF(Накл!$A$9:$A$550=VALUE(LEFT(A393,8)),ROW(Накл!$A$9:$A$550)-ROW(Накл!$A$9)+1),ROW(E393)-ROW(B393)+1)),"")," ",IFERROR(INDEX(Накл!$C$9:$C$550,SMALL(IF(Накл!$A$9:$A$550=VALUE(LEFT(A393,8)),ROW(Накл!$A$9:$A$550)-ROW(Накл!$A$9)+1),ROW(E394)-ROW(B393)+1)),"")," ",IFERROR(INDEX(Накл!$C$9:$C$550,SMALL(IF(Накл!$A$9:$A$550=VALUE(LEFT(A393,8)),ROW(Накл!$A$9:$A$550)-ROW(Накл!$A$9)+1),ROW(E395)-ROW(B393)+1)),"")," ",IFERROR(INDEX(Накл!$C$9:$C$550,SMALL(IF(Накл!$A$9:$A$550=VALUE(LEFT(A393,8)),ROW(Накл!$A$9:$A$550)-ROW(Накл!$A$9)+1),ROW(E396)-ROW(B393)+1)),"")),"")</f>
        <v xml:space="preserve">   </v>
      </c>
    </row>
    <row r="394" spans="1:5">
      <c r="A394" s="26" t="str">
        <f>IFERROR(CONCATENATE(VALUE(SUBSTITUTE(SUBSTITUTE(LEFT(Накл!G401,11),".",""),"-",""))," ",Накл!J401),"-")</f>
        <v>-</v>
      </c>
      <c r="B394" s="26" t="str">
        <f>IFERROR(VLOOKUP(VALUE(LEFT(A394,8)),Накл!$A$9:$D$550,4,0),"-")</f>
        <v>-</v>
      </c>
      <c r="C394" s="26">
        <f>Накл!J401</f>
        <v>0</v>
      </c>
      <c r="D394" s="33" t="str">
        <f t="array" ref="D394">CONCATENATE(IFERROR(INDEX(Накл!$C$9:$C$550,SMALL(IF(Накл!$B$9:$B$550=A394,ROW(Накл!$B$9:$B$550)-ROW(Накл!$B$9)+1),ROW(D394)-ROW(A394)+1)),"")," ",IFERROR(INDEX(Накл!$C$9:$C$550,SMALL(IF(Накл!$B$9:$B$550=A394,ROW(Накл!$B$9:$B$550)-ROW(Накл!$B$9)+1),ROW(D395)-ROW(A394)+1)),"")," ",IFERROR(INDEX(Накл!$C$9:$C$550,SMALL(IF(Накл!$B$9:$B$550=A394,ROW(Накл!$B$9:$B$550)-ROW(Накл!$B$9)+1),ROW(D396)-ROW(A394)+1)),"")," ",IFERROR(INDEX(Накл!$C$9:$C$550,SMALL(IF(Накл!$B$9:$B$550=A394,ROW(Накл!$B$9:$B$550)-ROW(Накл!$B$9)+1),ROW(D397)-ROW(A394)+1)),"")," ",IFERROR(INDEX(Накл!$C$9:$C$550,SMALL(IF(Накл!$B$9:$B$550=A394,ROW(Накл!$B$9:$B$550)-ROW(Накл!$B$9)+1),ROW(D398)-ROW(A394)+1)),"")," ",IFERROR(INDEX(Накл!$C$9:$C$550,SMALL(IF(Накл!$B$9:$B$550=A394,ROW(Накл!$B$9:$B$550)-ROW(Накл!$B$9)+1),ROW(D399)-ROW(A394)+1)),"")," ",IFERROR(INDEX(Накл!$C$9:$C$550,SMALL(IF(Накл!$B$9:$B$550=A394,ROW(Накл!$B$9:$B$550)-ROW(Накл!$B$9)+1),ROW(D400)-ROW(A394)+1)),"")," ",IFERROR(INDEX(Накл!$C$9:$C$550,SMALL(IF(Накл!$B$9:$B$550=A394,ROW(Накл!$B$9:$B$550)-ROW(Накл!$B$9)+1),ROW(D401)-ROW(A394)+1)),"")," ",IFERROR(INDEX(Накл!$C$9:$C$550,SMALL(IF(Накл!$B$9:$B$550=A394,ROW(Накл!$B$9:$B$550)-ROW(Накл!$B$9)+1),ROW(D402)-ROW(A394)+1)),"")," ",IFERROR(INDEX(Накл!$C$9:$C$550,SMALL(IF(Накл!$B$9:$B$550=A394,ROW(Накл!$B$9:$B$550)-ROW(Накл!$B$9)+1),ROW(D403)-ROW(A394)+1)),""))</f>
        <v xml:space="preserve">         </v>
      </c>
      <c r="E394" s="26" t="str">
        <f t="array" ref="E394">IF(LEN(D394)&lt;10,CONCATENATE(IFERROR(INDEX(Накл!$C$9:$C$550,SMALL(IF(Накл!$A$9:$A$550=VALUE(LEFT(A394,8)),ROW(Накл!$A$9:$A$550)-ROW(Накл!$A$9)+1),ROW(E394)-ROW(B394)+1)),"")," ",IFERROR(INDEX(Накл!$C$9:$C$550,SMALL(IF(Накл!$A$9:$A$550=VALUE(LEFT(A394,8)),ROW(Накл!$A$9:$A$550)-ROW(Накл!$A$9)+1),ROW(E395)-ROW(B394)+1)),"")," ",IFERROR(INDEX(Накл!$C$9:$C$550,SMALL(IF(Накл!$A$9:$A$550=VALUE(LEFT(A394,8)),ROW(Накл!$A$9:$A$550)-ROW(Накл!$A$9)+1),ROW(E396)-ROW(B394)+1)),"")," ",IFERROR(INDEX(Накл!$C$9:$C$550,SMALL(IF(Накл!$A$9:$A$550=VALUE(LEFT(A394,8)),ROW(Накл!$A$9:$A$550)-ROW(Накл!$A$9)+1),ROW(E397)-ROW(B394)+1)),"")),"")</f>
        <v xml:space="preserve">   </v>
      </c>
    </row>
    <row r="395" spans="1:5">
      <c r="A395" s="26" t="str">
        <f>IFERROR(CONCATENATE(VALUE(SUBSTITUTE(SUBSTITUTE(LEFT(Накл!G402,11),".",""),"-",""))," ",Накл!J402),"-")</f>
        <v>-</v>
      </c>
      <c r="B395" s="26" t="str">
        <f>IFERROR(VLOOKUP(VALUE(LEFT(A395,8)),Накл!$A$9:$D$550,4,0),"-")</f>
        <v>-</v>
      </c>
      <c r="C395" s="26">
        <f>Накл!J402</f>
        <v>0</v>
      </c>
      <c r="D395" s="33" t="str">
        <f t="array" ref="D395">CONCATENATE(IFERROR(INDEX(Накл!$C$9:$C$550,SMALL(IF(Накл!$B$9:$B$550=A395,ROW(Накл!$B$9:$B$550)-ROW(Накл!$B$9)+1),ROW(D395)-ROW(A395)+1)),"")," ",IFERROR(INDEX(Накл!$C$9:$C$550,SMALL(IF(Накл!$B$9:$B$550=A395,ROW(Накл!$B$9:$B$550)-ROW(Накл!$B$9)+1),ROW(D396)-ROW(A395)+1)),"")," ",IFERROR(INDEX(Накл!$C$9:$C$550,SMALL(IF(Накл!$B$9:$B$550=A395,ROW(Накл!$B$9:$B$550)-ROW(Накл!$B$9)+1),ROW(D397)-ROW(A395)+1)),"")," ",IFERROR(INDEX(Накл!$C$9:$C$550,SMALL(IF(Накл!$B$9:$B$550=A395,ROW(Накл!$B$9:$B$550)-ROW(Накл!$B$9)+1),ROW(D398)-ROW(A395)+1)),"")," ",IFERROR(INDEX(Накл!$C$9:$C$550,SMALL(IF(Накл!$B$9:$B$550=A395,ROW(Накл!$B$9:$B$550)-ROW(Накл!$B$9)+1),ROW(D399)-ROW(A395)+1)),"")," ",IFERROR(INDEX(Накл!$C$9:$C$550,SMALL(IF(Накл!$B$9:$B$550=A395,ROW(Накл!$B$9:$B$550)-ROW(Накл!$B$9)+1),ROW(D400)-ROW(A395)+1)),"")," ",IFERROR(INDEX(Накл!$C$9:$C$550,SMALL(IF(Накл!$B$9:$B$550=A395,ROW(Накл!$B$9:$B$550)-ROW(Накл!$B$9)+1),ROW(D401)-ROW(A395)+1)),"")," ",IFERROR(INDEX(Накл!$C$9:$C$550,SMALL(IF(Накл!$B$9:$B$550=A395,ROW(Накл!$B$9:$B$550)-ROW(Накл!$B$9)+1),ROW(D402)-ROW(A395)+1)),"")," ",IFERROR(INDEX(Накл!$C$9:$C$550,SMALL(IF(Накл!$B$9:$B$550=A395,ROW(Накл!$B$9:$B$550)-ROW(Накл!$B$9)+1),ROW(D403)-ROW(A395)+1)),"")," ",IFERROR(INDEX(Накл!$C$9:$C$550,SMALL(IF(Накл!$B$9:$B$550=A395,ROW(Накл!$B$9:$B$550)-ROW(Накл!$B$9)+1),ROW(D404)-ROW(A395)+1)),""))</f>
        <v xml:space="preserve">         </v>
      </c>
      <c r="E395" s="26" t="str">
        <f t="array" ref="E395">IF(LEN(D395)&lt;10,CONCATENATE(IFERROR(INDEX(Накл!$C$9:$C$550,SMALL(IF(Накл!$A$9:$A$550=VALUE(LEFT(A395,8)),ROW(Накл!$A$9:$A$550)-ROW(Накл!$A$9)+1),ROW(E395)-ROW(B395)+1)),"")," ",IFERROR(INDEX(Накл!$C$9:$C$550,SMALL(IF(Накл!$A$9:$A$550=VALUE(LEFT(A395,8)),ROW(Накл!$A$9:$A$550)-ROW(Накл!$A$9)+1),ROW(E396)-ROW(B395)+1)),"")," ",IFERROR(INDEX(Накл!$C$9:$C$550,SMALL(IF(Накл!$A$9:$A$550=VALUE(LEFT(A395,8)),ROW(Накл!$A$9:$A$550)-ROW(Накл!$A$9)+1),ROW(E397)-ROW(B395)+1)),"")," ",IFERROR(INDEX(Накл!$C$9:$C$550,SMALL(IF(Накл!$A$9:$A$550=VALUE(LEFT(A395,8)),ROW(Накл!$A$9:$A$550)-ROW(Накл!$A$9)+1),ROW(E398)-ROW(B395)+1)),"")),"")</f>
        <v xml:space="preserve">   </v>
      </c>
    </row>
    <row r="396" spans="1:5">
      <c r="A396" s="26" t="str">
        <f>IFERROR(CONCATENATE(VALUE(SUBSTITUTE(SUBSTITUTE(LEFT(Накл!G403,11),".",""),"-",""))," ",Накл!J403),"-")</f>
        <v>-</v>
      </c>
      <c r="B396" s="26" t="str">
        <f>IFERROR(VLOOKUP(VALUE(LEFT(A396,8)),Накл!$A$9:$D$550,4,0),"-")</f>
        <v>-</v>
      </c>
      <c r="C396" s="26">
        <f>Накл!J403</f>
        <v>0</v>
      </c>
      <c r="D396" s="33" t="str">
        <f t="array" ref="D396">CONCATENATE(IFERROR(INDEX(Накл!$C$9:$C$550,SMALL(IF(Накл!$B$9:$B$550=A396,ROW(Накл!$B$9:$B$550)-ROW(Накл!$B$9)+1),ROW(D396)-ROW(A396)+1)),"")," ",IFERROR(INDEX(Накл!$C$9:$C$550,SMALL(IF(Накл!$B$9:$B$550=A396,ROW(Накл!$B$9:$B$550)-ROW(Накл!$B$9)+1),ROW(D397)-ROW(A396)+1)),"")," ",IFERROR(INDEX(Накл!$C$9:$C$550,SMALL(IF(Накл!$B$9:$B$550=A396,ROW(Накл!$B$9:$B$550)-ROW(Накл!$B$9)+1),ROW(D398)-ROW(A396)+1)),"")," ",IFERROR(INDEX(Накл!$C$9:$C$550,SMALL(IF(Накл!$B$9:$B$550=A396,ROW(Накл!$B$9:$B$550)-ROW(Накл!$B$9)+1),ROW(D399)-ROW(A396)+1)),"")," ",IFERROR(INDEX(Накл!$C$9:$C$550,SMALL(IF(Накл!$B$9:$B$550=A396,ROW(Накл!$B$9:$B$550)-ROW(Накл!$B$9)+1),ROW(D400)-ROW(A396)+1)),"")," ",IFERROR(INDEX(Накл!$C$9:$C$550,SMALL(IF(Накл!$B$9:$B$550=A396,ROW(Накл!$B$9:$B$550)-ROW(Накл!$B$9)+1),ROW(D401)-ROW(A396)+1)),"")," ",IFERROR(INDEX(Накл!$C$9:$C$550,SMALL(IF(Накл!$B$9:$B$550=A396,ROW(Накл!$B$9:$B$550)-ROW(Накл!$B$9)+1),ROW(D402)-ROW(A396)+1)),"")," ",IFERROR(INDEX(Накл!$C$9:$C$550,SMALL(IF(Накл!$B$9:$B$550=A396,ROW(Накл!$B$9:$B$550)-ROW(Накл!$B$9)+1),ROW(D403)-ROW(A396)+1)),"")," ",IFERROR(INDEX(Накл!$C$9:$C$550,SMALL(IF(Накл!$B$9:$B$550=A396,ROW(Накл!$B$9:$B$550)-ROW(Накл!$B$9)+1),ROW(D404)-ROW(A396)+1)),"")," ",IFERROR(INDEX(Накл!$C$9:$C$550,SMALL(IF(Накл!$B$9:$B$550=A396,ROW(Накл!$B$9:$B$550)-ROW(Накл!$B$9)+1),ROW(D405)-ROW(A396)+1)),""))</f>
        <v xml:space="preserve">         </v>
      </c>
      <c r="E396" s="26" t="str">
        <f t="array" ref="E396">IF(LEN(D396)&lt;10,CONCATENATE(IFERROR(INDEX(Накл!$C$9:$C$550,SMALL(IF(Накл!$A$9:$A$550=VALUE(LEFT(A396,8)),ROW(Накл!$A$9:$A$550)-ROW(Накл!$A$9)+1),ROW(E396)-ROW(B396)+1)),"")," ",IFERROR(INDEX(Накл!$C$9:$C$550,SMALL(IF(Накл!$A$9:$A$550=VALUE(LEFT(A396,8)),ROW(Накл!$A$9:$A$550)-ROW(Накл!$A$9)+1),ROW(E397)-ROW(B396)+1)),"")," ",IFERROR(INDEX(Накл!$C$9:$C$550,SMALL(IF(Накл!$A$9:$A$550=VALUE(LEFT(A396,8)),ROW(Накл!$A$9:$A$550)-ROW(Накл!$A$9)+1),ROW(E398)-ROW(B396)+1)),"")," ",IFERROR(INDEX(Накл!$C$9:$C$550,SMALL(IF(Накл!$A$9:$A$550=VALUE(LEFT(A396,8)),ROW(Накл!$A$9:$A$550)-ROW(Накл!$A$9)+1),ROW(E399)-ROW(B396)+1)),"")),"")</f>
        <v xml:space="preserve">   </v>
      </c>
    </row>
    <row r="397" spans="1:5">
      <c r="A397" s="26" t="str">
        <f>IFERROR(CONCATENATE(VALUE(SUBSTITUTE(SUBSTITUTE(LEFT(Накл!G404,11),".",""),"-",""))," ",Накл!J404),"-")</f>
        <v>-</v>
      </c>
      <c r="B397" s="26" t="str">
        <f>IFERROR(VLOOKUP(VALUE(LEFT(A397,8)),Накл!$A$9:$D$550,4,0),"-")</f>
        <v>-</v>
      </c>
      <c r="C397" s="26">
        <f>Накл!J404</f>
        <v>0</v>
      </c>
      <c r="D397" s="33" t="str">
        <f t="array" ref="D397">CONCATENATE(IFERROR(INDEX(Накл!$C$9:$C$550,SMALL(IF(Накл!$B$9:$B$550=A397,ROW(Накл!$B$9:$B$550)-ROW(Накл!$B$9)+1),ROW(D397)-ROW(A397)+1)),"")," ",IFERROR(INDEX(Накл!$C$9:$C$550,SMALL(IF(Накл!$B$9:$B$550=A397,ROW(Накл!$B$9:$B$550)-ROW(Накл!$B$9)+1),ROW(D398)-ROW(A397)+1)),"")," ",IFERROR(INDEX(Накл!$C$9:$C$550,SMALL(IF(Накл!$B$9:$B$550=A397,ROW(Накл!$B$9:$B$550)-ROW(Накл!$B$9)+1),ROW(D399)-ROW(A397)+1)),"")," ",IFERROR(INDEX(Накл!$C$9:$C$550,SMALL(IF(Накл!$B$9:$B$550=A397,ROW(Накл!$B$9:$B$550)-ROW(Накл!$B$9)+1),ROW(D400)-ROW(A397)+1)),"")," ",IFERROR(INDEX(Накл!$C$9:$C$550,SMALL(IF(Накл!$B$9:$B$550=A397,ROW(Накл!$B$9:$B$550)-ROW(Накл!$B$9)+1),ROW(D401)-ROW(A397)+1)),"")," ",IFERROR(INDEX(Накл!$C$9:$C$550,SMALL(IF(Накл!$B$9:$B$550=A397,ROW(Накл!$B$9:$B$550)-ROW(Накл!$B$9)+1),ROW(D402)-ROW(A397)+1)),"")," ",IFERROR(INDEX(Накл!$C$9:$C$550,SMALL(IF(Накл!$B$9:$B$550=A397,ROW(Накл!$B$9:$B$550)-ROW(Накл!$B$9)+1),ROW(D403)-ROW(A397)+1)),"")," ",IFERROR(INDEX(Накл!$C$9:$C$550,SMALL(IF(Накл!$B$9:$B$550=A397,ROW(Накл!$B$9:$B$550)-ROW(Накл!$B$9)+1),ROW(D404)-ROW(A397)+1)),"")," ",IFERROR(INDEX(Накл!$C$9:$C$550,SMALL(IF(Накл!$B$9:$B$550=A397,ROW(Накл!$B$9:$B$550)-ROW(Накл!$B$9)+1),ROW(D405)-ROW(A397)+1)),"")," ",IFERROR(INDEX(Накл!$C$9:$C$550,SMALL(IF(Накл!$B$9:$B$550=A397,ROW(Накл!$B$9:$B$550)-ROW(Накл!$B$9)+1),ROW(D406)-ROW(A397)+1)),""))</f>
        <v xml:space="preserve">         </v>
      </c>
      <c r="E397" s="26" t="str">
        <f t="array" ref="E397">IF(LEN(D397)&lt;10,CONCATENATE(IFERROR(INDEX(Накл!$C$9:$C$550,SMALL(IF(Накл!$A$9:$A$550=VALUE(LEFT(A397,8)),ROW(Накл!$A$9:$A$550)-ROW(Накл!$A$9)+1),ROW(E397)-ROW(B397)+1)),"")," ",IFERROR(INDEX(Накл!$C$9:$C$550,SMALL(IF(Накл!$A$9:$A$550=VALUE(LEFT(A397,8)),ROW(Накл!$A$9:$A$550)-ROW(Накл!$A$9)+1),ROW(E398)-ROW(B397)+1)),"")," ",IFERROR(INDEX(Накл!$C$9:$C$550,SMALL(IF(Накл!$A$9:$A$550=VALUE(LEFT(A397,8)),ROW(Накл!$A$9:$A$550)-ROW(Накл!$A$9)+1),ROW(E399)-ROW(B397)+1)),"")," ",IFERROR(INDEX(Накл!$C$9:$C$550,SMALL(IF(Накл!$A$9:$A$550=VALUE(LEFT(A397,8)),ROW(Накл!$A$9:$A$550)-ROW(Накл!$A$9)+1),ROW(E400)-ROW(B397)+1)),"")),"")</f>
        <v xml:space="preserve">   </v>
      </c>
    </row>
    <row r="398" spans="1:5">
      <c r="A398" s="26" t="str">
        <f>IFERROR(CONCATENATE(VALUE(SUBSTITUTE(SUBSTITUTE(LEFT(Накл!G405,11),".",""),"-",""))," ",Накл!J405),"-")</f>
        <v>-</v>
      </c>
      <c r="B398" s="26" t="str">
        <f>IFERROR(VLOOKUP(VALUE(LEFT(A398,8)),Накл!$A$9:$D$550,4,0),"-")</f>
        <v>-</v>
      </c>
      <c r="C398" s="26">
        <f>Накл!J405</f>
        <v>0</v>
      </c>
      <c r="D398" s="33" t="str">
        <f t="array" ref="D398">CONCATENATE(IFERROR(INDEX(Накл!$C$9:$C$550,SMALL(IF(Накл!$B$9:$B$550=A398,ROW(Накл!$B$9:$B$550)-ROW(Накл!$B$9)+1),ROW(D398)-ROW(A398)+1)),"")," ",IFERROR(INDEX(Накл!$C$9:$C$550,SMALL(IF(Накл!$B$9:$B$550=A398,ROW(Накл!$B$9:$B$550)-ROW(Накл!$B$9)+1),ROW(D399)-ROW(A398)+1)),"")," ",IFERROR(INDEX(Накл!$C$9:$C$550,SMALL(IF(Накл!$B$9:$B$550=A398,ROW(Накл!$B$9:$B$550)-ROW(Накл!$B$9)+1),ROW(D400)-ROW(A398)+1)),"")," ",IFERROR(INDEX(Накл!$C$9:$C$550,SMALL(IF(Накл!$B$9:$B$550=A398,ROW(Накл!$B$9:$B$550)-ROW(Накл!$B$9)+1),ROW(D401)-ROW(A398)+1)),"")," ",IFERROR(INDEX(Накл!$C$9:$C$550,SMALL(IF(Накл!$B$9:$B$550=A398,ROW(Накл!$B$9:$B$550)-ROW(Накл!$B$9)+1),ROW(D402)-ROW(A398)+1)),"")," ",IFERROR(INDEX(Накл!$C$9:$C$550,SMALL(IF(Накл!$B$9:$B$550=A398,ROW(Накл!$B$9:$B$550)-ROW(Накл!$B$9)+1),ROW(D403)-ROW(A398)+1)),"")," ",IFERROR(INDEX(Накл!$C$9:$C$550,SMALL(IF(Накл!$B$9:$B$550=A398,ROW(Накл!$B$9:$B$550)-ROW(Накл!$B$9)+1),ROW(D404)-ROW(A398)+1)),"")," ",IFERROR(INDEX(Накл!$C$9:$C$550,SMALL(IF(Накл!$B$9:$B$550=A398,ROW(Накл!$B$9:$B$550)-ROW(Накл!$B$9)+1),ROW(D405)-ROW(A398)+1)),"")," ",IFERROR(INDEX(Накл!$C$9:$C$550,SMALL(IF(Накл!$B$9:$B$550=A398,ROW(Накл!$B$9:$B$550)-ROW(Накл!$B$9)+1),ROW(D406)-ROW(A398)+1)),"")," ",IFERROR(INDEX(Накл!$C$9:$C$550,SMALL(IF(Накл!$B$9:$B$550=A398,ROW(Накл!$B$9:$B$550)-ROW(Накл!$B$9)+1),ROW(D407)-ROW(A398)+1)),""))</f>
        <v xml:space="preserve">         </v>
      </c>
      <c r="E398" s="26" t="str">
        <f t="array" ref="E398">IF(LEN(D398)&lt;10,CONCATENATE(IFERROR(INDEX(Накл!$C$9:$C$550,SMALL(IF(Накл!$A$9:$A$550=VALUE(LEFT(A398,8)),ROW(Накл!$A$9:$A$550)-ROW(Накл!$A$9)+1),ROW(E398)-ROW(B398)+1)),"")," ",IFERROR(INDEX(Накл!$C$9:$C$550,SMALL(IF(Накл!$A$9:$A$550=VALUE(LEFT(A398,8)),ROW(Накл!$A$9:$A$550)-ROW(Накл!$A$9)+1),ROW(E399)-ROW(B398)+1)),"")," ",IFERROR(INDEX(Накл!$C$9:$C$550,SMALL(IF(Накл!$A$9:$A$550=VALUE(LEFT(A398,8)),ROW(Накл!$A$9:$A$550)-ROW(Накл!$A$9)+1),ROW(E400)-ROW(B398)+1)),"")," ",IFERROR(INDEX(Накл!$C$9:$C$550,SMALL(IF(Накл!$A$9:$A$550=VALUE(LEFT(A398,8)),ROW(Накл!$A$9:$A$550)-ROW(Накл!$A$9)+1),ROW(E401)-ROW(B398)+1)),"")),"")</f>
        <v xml:space="preserve">   </v>
      </c>
    </row>
    <row r="399" spans="1:5">
      <c r="A399" s="26" t="str">
        <f>IFERROR(CONCATENATE(VALUE(SUBSTITUTE(SUBSTITUTE(LEFT(Накл!G406,11),".",""),"-",""))," ",Накл!J406),"-")</f>
        <v>-</v>
      </c>
      <c r="B399" s="26" t="str">
        <f>IFERROR(VLOOKUP(VALUE(LEFT(A399,8)),Накл!$A$9:$D$550,4,0),"-")</f>
        <v>-</v>
      </c>
      <c r="C399" s="26">
        <f>Накл!J406</f>
        <v>0</v>
      </c>
      <c r="D399" s="33" t="str">
        <f t="array" ref="D399">CONCATENATE(IFERROR(INDEX(Накл!$C$9:$C$550,SMALL(IF(Накл!$B$9:$B$550=A399,ROW(Накл!$B$9:$B$550)-ROW(Накл!$B$9)+1),ROW(D399)-ROW(A399)+1)),"")," ",IFERROR(INDEX(Накл!$C$9:$C$550,SMALL(IF(Накл!$B$9:$B$550=A399,ROW(Накл!$B$9:$B$550)-ROW(Накл!$B$9)+1),ROW(D400)-ROW(A399)+1)),"")," ",IFERROR(INDEX(Накл!$C$9:$C$550,SMALL(IF(Накл!$B$9:$B$550=A399,ROW(Накл!$B$9:$B$550)-ROW(Накл!$B$9)+1),ROW(D401)-ROW(A399)+1)),"")," ",IFERROR(INDEX(Накл!$C$9:$C$550,SMALL(IF(Накл!$B$9:$B$550=A399,ROW(Накл!$B$9:$B$550)-ROW(Накл!$B$9)+1),ROW(D402)-ROW(A399)+1)),"")," ",IFERROR(INDEX(Накл!$C$9:$C$550,SMALL(IF(Накл!$B$9:$B$550=A399,ROW(Накл!$B$9:$B$550)-ROW(Накл!$B$9)+1),ROW(D403)-ROW(A399)+1)),"")," ",IFERROR(INDEX(Накл!$C$9:$C$550,SMALL(IF(Накл!$B$9:$B$550=A399,ROW(Накл!$B$9:$B$550)-ROW(Накл!$B$9)+1),ROW(D404)-ROW(A399)+1)),"")," ",IFERROR(INDEX(Накл!$C$9:$C$550,SMALL(IF(Накл!$B$9:$B$550=A399,ROW(Накл!$B$9:$B$550)-ROW(Накл!$B$9)+1),ROW(D405)-ROW(A399)+1)),"")," ",IFERROR(INDEX(Накл!$C$9:$C$550,SMALL(IF(Накл!$B$9:$B$550=A399,ROW(Накл!$B$9:$B$550)-ROW(Накл!$B$9)+1),ROW(D406)-ROW(A399)+1)),"")," ",IFERROR(INDEX(Накл!$C$9:$C$550,SMALL(IF(Накл!$B$9:$B$550=A399,ROW(Накл!$B$9:$B$550)-ROW(Накл!$B$9)+1),ROW(D407)-ROW(A399)+1)),"")," ",IFERROR(INDEX(Накл!$C$9:$C$550,SMALL(IF(Накл!$B$9:$B$550=A399,ROW(Накл!$B$9:$B$550)-ROW(Накл!$B$9)+1),ROW(D408)-ROW(A399)+1)),""))</f>
        <v xml:space="preserve">         </v>
      </c>
      <c r="E399" s="26" t="str">
        <f t="array" ref="E399">IF(LEN(D399)&lt;10,CONCATENATE(IFERROR(INDEX(Накл!$C$9:$C$550,SMALL(IF(Накл!$A$9:$A$550=VALUE(LEFT(A399,8)),ROW(Накл!$A$9:$A$550)-ROW(Накл!$A$9)+1),ROW(E399)-ROW(B399)+1)),"")," ",IFERROR(INDEX(Накл!$C$9:$C$550,SMALL(IF(Накл!$A$9:$A$550=VALUE(LEFT(A399,8)),ROW(Накл!$A$9:$A$550)-ROW(Накл!$A$9)+1),ROW(E400)-ROW(B399)+1)),"")," ",IFERROR(INDEX(Накл!$C$9:$C$550,SMALL(IF(Накл!$A$9:$A$550=VALUE(LEFT(A399,8)),ROW(Накл!$A$9:$A$550)-ROW(Накл!$A$9)+1),ROW(E401)-ROW(B399)+1)),"")," ",IFERROR(INDEX(Накл!$C$9:$C$550,SMALL(IF(Накл!$A$9:$A$550=VALUE(LEFT(A399,8)),ROW(Накл!$A$9:$A$550)-ROW(Накл!$A$9)+1),ROW(E402)-ROW(B399)+1)),"")),"")</f>
        <v xml:space="preserve">   </v>
      </c>
    </row>
    <row r="400" spans="1:5">
      <c r="A400" s="26" t="str">
        <f>IFERROR(CONCATENATE(VALUE(SUBSTITUTE(SUBSTITUTE(LEFT(Накл!G407,11),".",""),"-",""))," ",Накл!J407),"-")</f>
        <v>-</v>
      </c>
      <c r="B400" s="26" t="str">
        <f>IFERROR(VLOOKUP(VALUE(LEFT(A400,8)),Накл!$A$9:$D$550,4,0),"-")</f>
        <v>-</v>
      </c>
      <c r="C400" s="26">
        <f>Накл!J407</f>
        <v>0</v>
      </c>
      <c r="D400" s="33" t="str">
        <f t="array" ref="D400">CONCATENATE(IFERROR(INDEX(Накл!$C$9:$C$550,SMALL(IF(Накл!$B$9:$B$550=A400,ROW(Накл!$B$9:$B$550)-ROW(Накл!$B$9)+1),ROW(D400)-ROW(A400)+1)),"")," ",IFERROR(INDEX(Накл!$C$9:$C$550,SMALL(IF(Накл!$B$9:$B$550=A400,ROW(Накл!$B$9:$B$550)-ROW(Накл!$B$9)+1),ROW(D401)-ROW(A400)+1)),"")," ",IFERROR(INDEX(Накл!$C$9:$C$550,SMALL(IF(Накл!$B$9:$B$550=A400,ROW(Накл!$B$9:$B$550)-ROW(Накл!$B$9)+1),ROW(D402)-ROW(A400)+1)),"")," ",IFERROR(INDEX(Накл!$C$9:$C$550,SMALL(IF(Накл!$B$9:$B$550=A400,ROW(Накл!$B$9:$B$550)-ROW(Накл!$B$9)+1),ROW(D403)-ROW(A400)+1)),"")," ",IFERROR(INDEX(Накл!$C$9:$C$550,SMALL(IF(Накл!$B$9:$B$550=A400,ROW(Накл!$B$9:$B$550)-ROW(Накл!$B$9)+1),ROW(D404)-ROW(A400)+1)),"")," ",IFERROR(INDEX(Накл!$C$9:$C$550,SMALL(IF(Накл!$B$9:$B$550=A400,ROW(Накл!$B$9:$B$550)-ROW(Накл!$B$9)+1),ROW(D405)-ROW(A400)+1)),"")," ",IFERROR(INDEX(Накл!$C$9:$C$550,SMALL(IF(Накл!$B$9:$B$550=A400,ROW(Накл!$B$9:$B$550)-ROW(Накл!$B$9)+1),ROW(D406)-ROW(A400)+1)),"")," ",IFERROR(INDEX(Накл!$C$9:$C$550,SMALL(IF(Накл!$B$9:$B$550=A400,ROW(Накл!$B$9:$B$550)-ROW(Накл!$B$9)+1),ROW(D407)-ROW(A400)+1)),"")," ",IFERROR(INDEX(Накл!$C$9:$C$550,SMALL(IF(Накл!$B$9:$B$550=A400,ROW(Накл!$B$9:$B$550)-ROW(Накл!$B$9)+1),ROW(D408)-ROW(A400)+1)),"")," ",IFERROR(INDEX(Накл!$C$9:$C$550,SMALL(IF(Накл!$B$9:$B$550=A400,ROW(Накл!$B$9:$B$550)-ROW(Накл!$B$9)+1),ROW(D409)-ROW(A400)+1)),""))</f>
        <v xml:space="preserve">         </v>
      </c>
      <c r="E400" s="26" t="str">
        <f t="array" ref="E400">IF(LEN(D400)&lt;10,CONCATENATE(IFERROR(INDEX(Накл!$C$9:$C$550,SMALL(IF(Накл!$A$9:$A$550=VALUE(LEFT(A400,8)),ROW(Накл!$A$9:$A$550)-ROW(Накл!$A$9)+1),ROW(E400)-ROW(B400)+1)),"")," ",IFERROR(INDEX(Накл!$C$9:$C$550,SMALL(IF(Накл!$A$9:$A$550=VALUE(LEFT(A400,8)),ROW(Накл!$A$9:$A$550)-ROW(Накл!$A$9)+1),ROW(E401)-ROW(B400)+1)),"")," ",IFERROR(INDEX(Накл!$C$9:$C$550,SMALL(IF(Накл!$A$9:$A$550=VALUE(LEFT(A400,8)),ROW(Накл!$A$9:$A$550)-ROW(Накл!$A$9)+1),ROW(E402)-ROW(B400)+1)),"")," ",IFERROR(INDEX(Накл!$C$9:$C$550,SMALL(IF(Накл!$A$9:$A$550=VALUE(LEFT(A400,8)),ROW(Накл!$A$9:$A$550)-ROW(Накл!$A$9)+1),ROW(E403)-ROW(B400)+1)),"")),"")</f>
        <v xml:space="preserve">   </v>
      </c>
    </row>
    <row r="401" spans="1:5">
      <c r="A401" s="26" t="str">
        <f>IFERROR(CONCATENATE(VALUE(SUBSTITUTE(SUBSTITUTE(LEFT(Накл!G408,11),".",""),"-",""))," ",Накл!J408),"-")</f>
        <v>-</v>
      </c>
      <c r="B401" s="26" t="str">
        <f>IFERROR(VLOOKUP(VALUE(LEFT(A401,8)),Накл!$A$9:$D$550,4,0),"-")</f>
        <v>-</v>
      </c>
      <c r="C401" s="26">
        <f>Накл!J408</f>
        <v>0</v>
      </c>
      <c r="D401" s="33" t="str">
        <f t="array" ref="D401">CONCATENATE(IFERROR(INDEX(Накл!$C$9:$C$550,SMALL(IF(Накл!$B$9:$B$550=A401,ROW(Накл!$B$9:$B$550)-ROW(Накл!$B$9)+1),ROW(D401)-ROW(A401)+1)),"")," ",IFERROR(INDEX(Накл!$C$9:$C$550,SMALL(IF(Накл!$B$9:$B$550=A401,ROW(Накл!$B$9:$B$550)-ROW(Накл!$B$9)+1),ROW(D402)-ROW(A401)+1)),"")," ",IFERROR(INDEX(Накл!$C$9:$C$550,SMALL(IF(Накл!$B$9:$B$550=A401,ROW(Накл!$B$9:$B$550)-ROW(Накл!$B$9)+1),ROW(D403)-ROW(A401)+1)),"")," ",IFERROR(INDEX(Накл!$C$9:$C$550,SMALL(IF(Накл!$B$9:$B$550=A401,ROW(Накл!$B$9:$B$550)-ROW(Накл!$B$9)+1),ROW(D404)-ROW(A401)+1)),"")," ",IFERROR(INDEX(Накл!$C$9:$C$550,SMALL(IF(Накл!$B$9:$B$550=A401,ROW(Накл!$B$9:$B$550)-ROW(Накл!$B$9)+1),ROW(D405)-ROW(A401)+1)),"")," ",IFERROR(INDEX(Накл!$C$9:$C$550,SMALL(IF(Накл!$B$9:$B$550=A401,ROW(Накл!$B$9:$B$550)-ROW(Накл!$B$9)+1),ROW(D406)-ROW(A401)+1)),"")," ",IFERROR(INDEX(Накл!$C$9:$C$550,SMALL(IF(Накл!$B$9:$B$550=A401,ROW(Накл!$B$9:$B$550)-ROW(Накл!$B$9)+1),ROW(D407)-ROW(A401)+1)),"")," ",IFERROR(INDEX(Накл!$C$9:$C$550,SMALL(IF(Накл!$B$9:$B$550=A401,ROW(Накл!$B$9:$B$550)-ROW(Накл!$B$9)+1),ROW(D408)-ROW(A401)+1)),"")," ",IFERROR(INDEX(Накл!$C$9:$C$550,SMALL(IF(Накл!$B$9:$B$550=A401,ROW(Накл!$B$9:$B$550)-ROW(Накл!$B$9)+1),ROW(D409)-ROW(A401)+1)),"")," ",IFERROR(INDEX(Накл!$C$9:$C$550,SMALL(IF(Накл!$B$9:$B$550=A401,ROW(Накл!$B$9:$B$550)-ROW(Накл!$B$9)+1),ROW(D410)-ROW(A401)+1)),""))</f>
        <v xml:space="preserve">         </v>
      </c>
      <c r="E401" s="26" t="str">
        <f t="array" ref="E401">IF(LEN(D401)&lt;10,CONCATENATE(IFERROR(INDEX(Накл!$C$9:$C$550,SMALL(IF(Накл!$A$9:$A$550=VALUE(LEFT(A401,8)),ROW(Накл!$A$9:$A$550)-ROW(Накл!$A$9)+1),ROW(E401)-ROW(B401)+1)),"")," ",IFERROR(INDEX(Накл!$C$9:$C$550,SMALL(IF(Накл!$A$9:$A$550=VALUE(LEFT(A401,8)),ROW(Накл!$A$9:$A$550)-ROW(Накл!$A$9)+1),ROW(E402)-ROW(B401)+1)),"")," ",IFERROR(INDEX(Накл!$C$9:$C$550,SMALL(IF(Накл!$A$9:$A$550=VALUE(LEFT(A401,8)),ROW(Накл!$A$9:$A$550)-ROW(Накл!$A$9)+1),ROW(E403)-ROW(B401)+1)),"")," ",IFERROR(INDEX(Накл!$C$9:$C$550,SMALL(IF(Накл!$A$9:$A$550=VALUE(LEFT(A401,8)),ROW(Накл!$A$9:$A$550)-ROW(Накл!$A$9)+1),ROW(E404)-ROW(B401)+1)),"")),"")</f>
        <v xml:space="preserve">   </v>
      </c>
    </row>
    <row r="402" spans="1:5">
      <c r="A402" s="26" t="str">
        <f>IFERROR(CONCATENATE(VALUE(SUBSTITUTE(SUBSTITUTE(LEFT(Накл!G409,11),".",""),"-",""))," ",Накл!J409),"-")</f>
        <v>-</v>
      </c>
      <c r="B402" s="26" t="str">
        <f>IFERROR(VLOOKUP(VALUE(LEFT(A402,8)),Накл!$A$9:$D$550,4,0),"-")</f>
        <v>-</v>
      </c>
      <c r="C402" s="26">
        <f>Накл!J409</f>
        <v>0</v>
      </c>
      <c r="D402" s="33" t="str">
        <f t="array" ref="D402">CONCATENATE(IFERROR(INDEX(Накл!$C$9:$C$550,SMALL(IF(Накл!$B$9:$B$550=A402,ROW(Накл!$B$9:$B$550)-ROW(Накл!$B$9)+1),ROW(D402)-ROW(A402)+1)),"")," ",IFERROR(INDEX(Накл!$C$9:$C$550,SMALL(IF(Накл!$B$9:$B$550=A402,ROW(Накл!$B$9:$B$550)-ROW(Накл!$B$9)+1),ROW(D403)-ROW(A402)+1)),"")," ",IFERROR(INDEX(Накл!$C$9:$C$550,SMALL(IF(Накл!$B$9:$B$550=A402,ROW(Накл!$B$9:$B$550)-ROW(Накл!$B$9)+1),ROW(D404)-ROW(A402)+1)),"")," ",IFERROR(INDEX(Накл!$C$9:$C$550,SMALL(IF(Накл!$B$9:$B$550=A402,ROW(Накл!$B$9:$B$550)-ROW(Накл!$B$9)+1),ROW(D405)-ROW(A402)+1)),"")," ",IFERROR(INDEX(Накл!$C$9:$C$550,SMALL(IF(Накл!$B$9:$B$550=A402,ROW(Накл!$B$9:$B$550)-ROW(Накл!$B$9)+1),ROW(D406)-ROW(A402)+1)),"")," ",IFERROR(INDEX(Накл!$C$9:$C$550,SMALL(IF(Накл!$B$9:$B$550=A402,ROW(Накл!$B$9:$B$550)-ROW(Накл!$B$9)+1),ROW(D407)-ROW(A402)+1)),"")," ",IFERROR(INDEX(Накл!$C$9:$C$550,SMALL(IF(Накл!$B$9:$B$550=A402,ROW(Накл!$B$9:$B$550)-ROW(Накл!$B$9)+1),ROW(D408)-ROW(A402)+1)),"")," ",IFERROR(INDEX(Накл!$C$9:$C$550,SMALL(IF(Накл!$B$9:$B$550=A402,ROW(Накл!$B$9:$B$550)-ROW(Накл!$B$9)+1),ROW(D409)-ROW(A402)+1)),"")," ",IFERROR(INDEX(Накл!$C$9:$C$550,SMALL(IF(Накл!$B$9:$B$550=A402,ROW(Накл!$B$9:$B$550)-ROW(Накл!$B$9)+1),ROW(D410)-ROW(A402)+1)),"")," ",IFERROR(INDEX(Накл!$C$9:$C$550,SMALL(IF(Накл!$B$9:$B$550=A402,ROW(Накл!$B$9:$B$550)-ROW(Накл!$B$9)+1),ROW(D411)-ROW(A402)+1)),""))</f>
        <v xml:space="preserve">         </v>
      </c>
      <c r="E402" s="26" t="str">
        <f t="array" ref="E402">IF(LEN(D402)&lt;10,CONCATENATE(IFERROR(INDEX(Накл!$C$9:$C$550,SMALL(IF(Накл!$A$9:$A$550=VALUE(LEFT(A402,8)),ROW(Накл!$A$9:$A$550)-ROW(Накл!$A$9)+1),ROW(E402)-ROW(B402)+1)),"")," ",IFERROR(INDEX(Накл!$C$9:$C$550,SMALL(IF(Накл!$A$9:$A$550=VALUE(LEFT(A402,8)),ROW(Накл!$A$9:$A$550)-ROW(Накл!$A$9)+1),ROW(E403)-ROW(B402)+1)),"")," ",IFERROR(INDEX(Накл!$C$9:$C$550,SMALL(IF(Накл!$A$9:$A$550=VALUE(LEFT(A402,8)),ROW(Накл!$A$9:$A$550)-ROW(Накл!$A$9)+1),ROW(E404)-ROW(B402)+1)),"")," ",IFERROR(INDEX(Накл!$C$9:$C$550,SMALL(IF(Накл!$A$9:$A$550=VALUE(LEFT(A402,8)),ROW(Накл!$A$9:$A$550)-ROW(Накл!$A$9)+1),ROW(E405)-ROW(B402)+1)),"")),"")</f>
        <v xml:space="preserve">   </v>
      </c>
    </row>
    <row r="403" spans="1:5">
      <c r="A403" s="26" t="str">
        <f>IFERROR(CONCATENATE(VALUE(SUBSTITUTE(SUBSTITUTE(LEFT(Накл!G410,11),".",""),"-",""))," ",Накл!J410),"-")</f>
        <v>-</v>
      </c>
      <c r="B403" s="26" t="str">
        <f>IFERROR(VLOOKUP(VALUE(LEFT(A403,8)),Накл!$A$9:$D$550,4,0),"-")</f>
        <v>-</v>
      </c>
      <c r="C403" s="26">
        <f>Накл!J410</f>
        <v>0</v>
      </c>
      <c r="D403" s="33" t="str">
        <f t="array" ref="D403">CONCATENATE(IFERROR(INDEX(Накл!$C$9:$C$550,SMALL(IF(Накл!$B$9:$B$550=A403,ROW(Накл!$B$9:$B$550)-ROW(Накл!$B$9)+1),ROW(D403)-ROW(A403)+1)),"")," ",IFERROR(INDEX(Накл!$C$9:$C$550,SMALL(IF(Накл!$B$9:$B$550=A403,ROW(Накл!$B$9:$B$550)-ROW(Накл!$B$9)+1),ROW(D404)-ROW(A403)+1)),"")," ",IFERROR(INDEX(Накл!$C$9:$C$550,SMALL(IF(Накл!$B$9:$B$550=A403,ROW(Накл!$B$9:$B$550)-ROW(Накл!$B$9)+1),ROW(D405)-ROW(A403)+1)),"")," ",IFERROR(INDEX(Накл!$C$9:$C$550,SMALL(IF(Накл!$B$9:$B$550=A403,ROW(Накл!$B$9:$B$550)-ROW(Накл!$B$9)+1),ROW(D406)-ROW(A403)+1)),"")," ",IFERROR(INDEX(Накл!$C$9:$C$550,SMALL(IF(Накл!$B$9:$B$550=A403,ROW(Накл!$B$9:$B$550)-ROW(Накл!$B$9)+1),ROW(D407)-ROW(A403)+1)),"")," ",IFERROR(INDEX(Накл!$C$9:$C$550,SMALL(IF(Накл!$B$9:$B$550=A403,ROW(Накл!$B$9:$B$550)-ROW(Накл!$B$9)+1),ROW(D408)-ROW(A403)+1)),"")," ",IFERROR(INDEX(Накл!$C$9:$C$550,SMALL(IF(Накл!$B$9:$B$550=A403,ROW(Накл!$B$9:$B$550)-ROW(Накл!$B$9)+1),ROW(D409)-ROW(A403)+1)),"")," ",IFERROR(INDEX(Накл!$C$9:$C$550,SMALL(IF(Накл!$B$9:$B$550=A403,ROW(Накл!$B$9:$B$550)-ROW(Накл!$B$9)+1),ROW(D410)-ROW(A403)+1)),"")," ",IFERROR(INDEX(Накл!$C$9:$C$550,SMALL(IF(Накл!$B$9:$B$550=A403,ROW(Накл!$B$9:$B$550)-ROW(Накл!$B$9)+1),ROW(D411)-ROW(A403)+1)),"")," ",IFERROR(INDEX(Накл!$C$9:$C$550,SMALL(IF(Накл!$B$9:$B$550=A403,ROW(Накл!$B$9:$B$550)-ROW(Накл!$B$9)+1),ROW(D412)-ROW(A403)+1)),""))</f>
        <v xml:space="preserve">         </v>
      </c>
      <c r="E403" s="26" t="str">
        <f t="array" ref="E403">IF(LEN(D403)&lt;10,CONCATENATE(IFERROR(INDEX(Накл!$C$9:$C$550,SMALL(IF(Накл!$A$9:$A$550=VALUE(LEFT(A403,8)),ROW(Накл!$A$9:$A$550)-ROW(Накл!$A$9)+1),ROW(E403)-ROW(B403)+1)),"")," ",IFERROR(INDEX(Накл!$C$9:$C$550,SMALL(IF(Накл!$A$9:$A$550=VALUE(LEFT(A403,8)),ROW(Накл!$A$9:$A$550)-ROW(Накл!$A$9)+1),ROW(E404)-ROW(B403)+1)),"")," ",IFERROR(INDEX(Накл!$C$9:$C$550,SMALL(IF(Накл!$A$9:$A$550=VALUE(LEFT(A403,8)),ROW(Накл!$A$9:$A$550)-ROW(Накл!$A$9)+1),ROW(E405)-ROW(B403)+1)),"")," ",IFERROR(INDEX(Накл!$C$9:$C$550,SMALL(IF(Накл!$A$9:$A$550=VALUE(LEFT(A403,8)),ROW(Накл!$A$9:$A$550)-ROW(Накл!$A$9)+1),ROW(E406)-ROW(B403)+1)),"")),"")</f>
        <v xml:space="preserve">   </v>
      </c>
    </row>
    <row r="404" spans="1:5">
      <c r="A404" s="26" t="str">
        <f>IFERROR(CONCATENATE(VALUE(SUBSTITUTE(SUBSTITUTE(LEFT(Накл!G411,11),".",""),"-",""))," ",Накл!J411),"-")</f>
        <v>-</v>
      </c>
      <c r="B404" s="26" t="str">
        <f>IFERROR(VLOOKUP(VALUE(LEFT(A404,8)),Накл!$A$9:$D$550,4,0),"-")</f>
        <v>-</v>
      </c>
      <c r="C404" s="26">
        <f>Накл!J411</f>
        <v>0</v>
      </c>
      <c r="D404" s="33" t="str">
        <f t="array" ref="D404">CONCATENATE(IFERROR(INDEX(Накл!$C$9:$C$550,SMALL(IF(Накл!$B$9:$B$550=A404,ROW(Накл!$B$9:$B$550)-ROW(Накл!$B$9)+1),ROW(D404)-ROW(A404)+1)),"")," ",IFERROR(INDEX(Накл!$C$9:$C$550,SMALL(IF(Накл!$B$9:$B$550=A404,ROW(Накл!$B$9:$B$550)-ROW(Накл!$B$9)+1),ROW(D405)-ROW(A404)+1)),"")," ",IFERROR(INDEX(Накл!$C$9:$C$550,SMALL(IF(Накл!$B$9:$B$550=A404,ROW(Накл!$B$9:$B$550)-ROW(Накл!$B$9)+1),ROW(D406)-ROW(A404)+1)),"")," ",IFERROR(INDEX(Накл!$C$9:$C$550,SMALL(IF(Накл!$B$9:$B$550=A404,ROW(Накл!$B$9:$B$550)-ROW(Накл!$B$9)+1),ROW(D407)-ROW(A404)+1)),"")," ",IFERROR(INDEX(Накл!$C$9:$C$550,SMALL(IF(Накл!$B$9:$B$550=A404,ROW(Накл!$B$9:$B$550)-ROW(Накл!$B$9)+1),ROW(D408)-ROW(A404)+1)),"")," ",IFERROR(INDEX(Накл!$C$9:$C$550,SMALL(IF(Накл!$B$9:$B$550=A404,ROW(Накл!$B$9:$B$550)-ROW(Накл!$B$9)+1),ROW(D409)-ROW(A404)+1)),"")," ",IFERROR(INDEX(Накл!$C$9:$C$550,SMALL(IF(Накл!$B$9:$B$550=A404,ROW(Накл!$B$9:$B$550)-ROW(Накл!$B$9)+1),ROW(D410)-ROW(A404)+1)),"")," ",IFERROR(INDEX(Накл!$C$9:$C$550,SMALL(IF(Накл!$B$9:$B$550=A404,ROW(Накл!$B$9:$B$550)-ROW(Накл!$B$9)+1),ROW(D411)-ROW(A404)+1)),"")," ",IFERROR(INDEX(Накл!$C$9:$C$550,SMALL(IF(Накл!$B$9:$B$550=A404,ROW(Накл!$B$9:$B$550)-ROW(Накл!$B$9)+1),ROW(D412)-ROW(A404)+1)),"")," ",IFERROR(INDEX(Накл!$C$9:$C$550,SMALL(IF(Накл!$B$9:$B$550=A404,ROW(Накл!$B$9:$B$550)-ROW(Накл!$B$9)+1),ROW(D413)-ROW(A404)+1)),""))</f>
        <v xml:space="preserve">         </v>
      </c>
      <c r="E404" s="26" t="str">
        <f t="array" ref="E404">IF(LEN(D404)&lt;10,CONCATENATE(IFERROR(INDEX(Накл!$C$9:$C$550,SMALL(IF(Накл!$A$9:$A$550=VALUE(LEFT(A404,8)),ROW(Накл!$A$9:$A$550)-ROW(Накл!$A$9)+1),ROW(E404)-ROW(B404)+1)),"")," ",IFERROR(INDEX(Накл!$C$9:$C$550,SMALL(IF(Накл!$A$9:$A$550=VALUE(LEFT(A404,8)),ROW(Накл!$A$9:$A$550)-ROW(Накл!$A$9)+1),ROW(E405)-ROW(B404)+1)),"")," ",IFERROR(INDEX(Накл!$C$9:$C$550,SMALL(IF(Накл!$A$9:$A$550=VALUE(LEFT(A404,8)),ROW(Накл!$A$9:$A$550)-ROW(Накл!$A$9)+1),ROW(E406)-ROW(B404)+1)),"")," ",IFERROR(INDEX(Накл!$C$9:$C$550,SMALL(IF(Накл!$A$9:$A$550=VALUE(LEFT(A404,8)),ROW(Накл!$A$9:$A$550)-ROW(Накл!$A$9)+1),ROW(E407)-ROW(B404)+1)),"")),"")</f>
        <v xml:space="preserve">   </v>
      </c>
    </row>
    <row r="405" spans="1:5">
      <c r="A405" s="26" t="str">
        <f>IFERROR(CONCATENATE(VALUE(SUBSTITUTE(SUBSTITUTE(LEFT(Накл!G412,11),".",""),"-",""))," ",Накл!J412),"-")</f>
        <v>-</v>
      </c>
      <c r="B405" s="26" t="str">
        <f>IFERROR(VLOOKUP(VALUE(LEFT(A405,8)),Накл!$A$9:$D$550,4,0),"-")</f>
        <v>-</v>
      </c>
      <c r="C405" s="26">
        <f>Накл!J412</f>
        <v>0</v>
      </c>
      <c r="D405" s="33" t="str">
        <f t="array" ref="D405">CONCATENATE(IFERROR(INDEX(Накл!$C$9:$C$550,SMALL(IF(Накл!$B$9:$B$550=A405,ROW(Накл!$B$9:$B$550)-ROW(Накл!$B$9)+1),ROW(D405)-ROW(A405)+1)),"")," ",IFERROR(INDEX(Накл!$C$9:$C$550,SMALL(IF(Накл!$B$9:$B$550=A405,ROW(Накл!$B$9:$B$550)-ROW(Накл!$B$9)+1),ROW(D406)-ROW(A405)+1)),"")," ",IFERROR(INDEX(Накл!$C$9:$C$550,SMALL(IF(Накл!$B$9:$B$550=A405,ROW(Накл!$B$9:$B$550)-ROW(Накл!$B$9)+1),ROW(D407)-ROW(A405)+1)),"")," ",IFERROR(INDEX(Накл!$C$9:$C$550,SMALL(IF(Накл!$B$9:$B$550=A405,ROW(Накл!$B$9:$B$550)-ROW(Накл!$B$9)+1),ROW(D408)-ROW(A405)+1)),"")," ",IFERROR(INDEX(Накл!$C$9:$C$550,SMALL(IF(Накл!$B$9:$B$550=A405,ROW(Накл!$B$9:$B$550)-ROW(Накл!$B$9)+1),ROW(D409)-ROW(A405)+1)),"")," ",IFERROR(INDEX(Накл!$C$9:$C$550,SMALL(IF(Накл!$B$9:$B$550=A405,ROW(Накл!$B$9:$B$550)-ROW(Накл!$B$9)+1),ROW(D410)-ROW(A405)+1)),"")," ",IFERROR(INDEX(Накл!$C$9:$C$550,SMALL(IF(Накл!$B$9:$B$550=A405,ROW(Накл!$B$9:$B$550)-ROW(Накл!$B$9)+1),ROW(D411)-ROW(A405)+1)),"")," ",IFERROR(INDEX(Накл!$C$9:$C$550,SMALL(IF(Накл!$B$9:$B$550=A405,ROW(Накл!$B$9:$B$550)-ROW(Накл!$B$9)+1),ROW(D412)-ROW(A405)+1)),"")," ",IFERROR(INDEX(Накл!$C$9:$C$550,SMALL(IF(Накл!$B$9:$B$550=A405,ROW(Накл!$B$9:$B$550)-ROW(Накл!$B$9)+1),ROW(D413)-ROW(A405)+1)),"")," ",IFERROR(INDEX(Накл!$C$9:$C$550,SMALL(IF(Накл!$B$9:$B$550=A405,ROW(Накл!$B$9:$B$550)-ROW(Накл!$B$9)+1),ROW(D414)-ROW(A405)+1)),""))</f>
        <v xml:space="preserve">         </v>
      </c>
      <c r="E405" s="26" t="str">
        <f t="array" ref="E405">IF(LEN(D405)&lt;10,CONCATENATE(IFERROR(INDEX(Накл!$C$9:$C$550,SMALL(IF(Накл!$A$9:$A$550=VALUE(LEFT(A405,8)),ROW(Накл!$A$9:$A$550)-ROW(Накл!$A$9)+1),ROW(E405)-ROW(B405)+1)),"")," ",IFERROR(INDEX(Накл!$C$9:$C$550,SMALL(IF(Накл!$A$9:$A$550=VALUE(LEFT(A405,8)),ROW(Накл!$A$9:$A$550)-ROW(Накл!$A$9)+1),ROW(E406)-ROW(B405)+1)),"")," ",IFERROR(INDEX(Накл!$C$9:$C$550,SMALL(IF(Накл!$A$9:$A$550=VALUE(LEFT(A405,8)),ROW(Накл!$A$9:$A$550)-ROW(Накл!$A$9)+1),ROW(E407)-ROW(B405)+1)),"")," ",IFERROR(INDEX(Накл!$C$9:$C$550,SMALL(IF(Накл!$A$9:$A$550=VALUE(LEFT(A405,8)),ROW(Накл!$A$9:$A$550)-ROW(Накл!$A$9)+1),ROW(E408)-ROW(B405)+1)),"")),"")</f>
        <v xml:space="preserve">   </v>
      </c>
    </row>
    <row r="406" spans="1:5">
      <c r="A406" s="26" t="str">
        <f>IFERROR(CONCATENATE(VALUE(SUBSTITUTE(SUBSTITUTE(LEFT(Накл!G413,11),".",""),"-",""))," ",Накл!J413),"-")</f>
        <v>-</v>
      </c>
      <c r="B406" s="26" t="str">
        <f>IFERROR(VLOOKUP(VALUE(LEFT(A406,8)),Накл!$A$9:$D$550,4,0),"-")</f>
        <v>-</v>
      </c>
      <c r="C406" s="26">
        <f>Накл!J413</f>
        <v>0</v>
      </c>
      <c r="D406" s="33" t="str">
        <f t="array" ref="D406">CONCATENATE(IFERROR(INDEX(Накл!$C$9:$C$550,SMALL(IF(Накл!$B$9:$B$550=A406,ROW(Накл!$B$9:$B$550)-ROW(Накл!$B$9)+1),ROW(D406)-ROW(A406)+1)),"")," ",IFERROR(INDEX(Накл!$C$9:$C$550,SMALL(IF(Накл!$B$9:$B$550=A406,ROW(Накл!$B$9:$B$550)-ROW(Накл!$B$9)+1),ROW(D407)-ROW(A406)+1)),"")," ",IFERROR(INDEX(Накл!$C$9:$C$550,SMALL(IF(Накл!$B$9:$B$550=A406,ROW(Накл!$B$9:$B$550)-ROW(Накл!$B$9)+1),ROW(D408)-ROW(A406)+1)),"")," ",IFERROR(INDEX(Накл!$C$9:$C$550,SMALL(IF(Накл!$B$9:$B$550=A406,ROW(Накл!$B$9:$B$550)-ROW(Накл!$B$9)+1),ROW(D409)-ROW(A406)+1)),"")," ",IFERROR(INDEX(Накл!$C$9:$C$550,SMALL(IF(Накл!$B$9:$B$550=A406,ROW(Накл!$B$9:$B$550)-ROW(Накл!$B$9)+1),ROW(D410)-ROW(A406)+1)),"")," ",IFERROR(INDEX(Накл!$C$9:$C$550,SMALL(IF(Накл!$B$9:$B$550=A406,ROW(Накл!$B$9:$B$550)-ROW(Накл!$B$9)+1),ROW(D411)-ROW(A406)+1)),"")," ",IFERROR(INDEX(Накл!$C$9:$C$550,SMALL(IF(Накл!$B$9:$B$550=A406,ROW(Накл!$B$9:$B$550)-ROW(Накл!$B$9)+1),ROW(D412)-ROW(A406)+1)),"")," ",IFERROR(INDEX(Накл!$C$9:$C$550,SMALL(IF(Накл!$B$9:$B$550=A406,ROW(Накл!$B$9:$B$550)-ROW(Накл!$B$9)+1),ROW(D413)-ROW(A406)+1)),"")," ",IFERROR(INDEX(Накл!$C$9:$C$550,SMALL(IF(Накл!$B$9:$B$550=A406,ROW(Накл!$B$9:$B$550)-ROW(Накл!$B$9)+1),ROW(D414)-ROW(A406)+1)),"")," ",IFERROR(INDEX(Накл!$C$9:$C$550,SMALL(IF(Накл!$B$9:$B$550=A406,ROW(Накл!$B$9:$B$550)-ROW(Накл!$B$9)+1),ROW(D415)-ROW(A406)+1)),""))</f>
        <v xml:space="preserve">         </v>
      </c>
      <c r="E406" s="26" t="str">
        <f t="array" ref="E406">IF(LEN(D406)&lt;10,CONCATENATE(IFERROR(INDEX(Накл!$C$9:$C$550,SMALL(IF(Накл!$A$9:$A$550=VALUE(LEFT(A406,8)),ROW(Накл!$A$9:$A$550)-ROW(Накл!$A$9)+1),ROW(E406)-ROW(B406)+1)),"")," ",IFERROR(INDEX(Накл!$C$9:$C$550,SMALL(IF(Накл!$A$9:$A$550=VALUE(LEFT(A406,8)),ROW(Накл!$A$9:$A$550)-ROW(Накл!$A$9)+1),ROW(E407)-ROW(B406)+1)),"")," ",IFERROR(INDEX(Накл!$C$9:$C$550,SMALL(IF(Накл!$A$9:$A$550=VALUE(LEFT(A406,8)),ROW(Накл!$A$9:$A$550)-ROW(Накл!$A$9)+1),ROW(E408)-ROW(B406)+1)),"")," ",IFERROR(INDEX(Накл!$C$9:$C$550,SMALL(IF(Накл!$A$9:$A$550=VALUE(LEFT(A406,8)),ROW(Накл!$A$9:$A$550)-ROW(Накл!$A$9)+1),ROW(E409)-ROW(B406)+1)),"")),"")</f>
        <v xml:space="preserve">   </v>
      </c>
    </row>
    <row r="407" spans="1:5">
      <c r="A407" s="26" t="str">
        <f>IFERROR(CONCATENATE(VALUE(SUBSTITUTE(SUBSTITUTE(LEFT(Накл!G414,11),".",""),"-",""))," ",Накл!J414),"-")</f>
        <v>-</v>
      </c>
      <c r="B407" s="26" t="str">
        <f>IFERROR(VLOOKUP(VALUE(LEFT(A407,8)),Накл!$A$9:$D$550,4,0),"-")</f>
        <v>-</v>
      </c>
      <c r="C407" s="26">
        <f>Накл!J414</f>
        <v>0</v>
      </c>
      <c r="D407" s="33" t="str">
        <f t="array" ref="D407">CONCATENATE(IFERROR(INDEX(Накл!$C$9:$C$550,SMALL(IF(Накл!$B$9:$B$550=A407,ROW(Накл!$B$9:$B$550)-ROW(Накл!$B$9)+1),ROW(D407)-ROW(A407)+1)),"")," ",IFERROR(INDEX(Накл!$C$9:$C$550,SMALL(IF(Накл!$B$9:$B$550=A407,ROW(Накл!$B$9:$B$550)-ROW(Накл!$B$9)+1),ROW(D408)-ROW(A407)+1)),"")," ",IFERROR(INDEX(Накл!$C$9:$C$550,SMALL(IF(Накл!$B$9:$B$550=A407,ROW(Накл!$B$9:$B$550)-ROW(Накл!$B$9)+1),ROW(D409)-ROW(A407)+1)),"")," ",IFERROR(INDEX(Накл!$C$9:$C$550,SMALL(IF(Накл!$B$9:$B$550=A407,ROW(Накл!$B$9:$B$550)-ROW(Накл!$B$9)+1),ROW(D410)-ROW(A407)+1)),"")," ",IFERROR(INDEX(Накл!$C$9:$C$550,SMALL(IF(Накл!$B$9:$B$550=A407,ROW(Накл!$B$9:$B$550)-ROW(Накл!$B$9)+1),ROW(D411)-ROW(A407)+1)),"")," ",IFERROR(INDEX(Накл!$C$9:$C$550,SMALL(IF(Накл!$B$9:$B$550=A407,ROW(Накл!$B$9:$B$550)-ROW(Накл!$B$9)+1),ROW(D412)-ROW(A407)+1)),"")," ",IFERROR(INDEX(Накл!$C$9:$C$550,SMALL(IF(Накл!$B$9:$B$550=A407,ROW(Накл!$B$9:$B$550)-ROW(Накл!$B$9)+1),ROW(D413)-ROW(A407)+1)),"")," ",IFERROR(INDEX(Накл!$C$9:$C$550,SMALL(IF(Накл!$B$9:$B$550=A407,ROW(Накл!$B$9:$B$550)-ROW(Накл!$B$9)+1),ROW(D414)-ROW(A407)+1)),"")," ",IFERROR(INDEX(Накл!$C$9:$C$550,SMALL(IF(Накл!$B$9:$B$550=A407,ROW(Накл!$B$9:$B$550)-ROW(Накл!$B$9)+1),ROW(D415)-ROW(A407)+1)),"")," ",IFERROR(INDEX(Накл!$C$9:$C$550,SMALL(IF(Накл!$B$9:$B$550=A407,ROW(Накл!$B$9:$B$550)-ROW(Накл!$B$9)+1),ROW(D416)-ROW(A407)+1)),""))</f>
        <v xml:space="preserve">         </v>
      </c>
      <c r="E407" s="26" t="str">
        <f t="array" ref="E407">IF(LEN(D407)&lt;10,CONCATENATE(IFERROR(INDEX(Накл!$C$9:$C$550,SMALL(IF(Накл!$A$9:$A$550=VALUE(LEFT(A407,8)),ROW(Накл!$A$9:$A$550)-ROW(Накл!$A$9)+1),ROW(E407)-ROW(B407)+1)),"")," ",IFERROR(INDEX(Накл!$C$9:$C$550,SMALL(IF(Накл!$A$9:$A$550=VALUE(LEFT(A407,8)),ROW(Накл!$A$9:$A$550)-ROW(Накл!$A$9)+1),ROW(E408)-ROW(B407)+1)),"")," ",IFERROR(INDEX(Накл!$C$9:$C$550,SMALL(IF(Накл!$A$9:$A$550=VALUE(LEFT(A407,8)),ROW(Накл!$A$9:$A$550)-ROW(Накл!$A$9)+1),ROW(E409)-ROW(B407)+1)),"")," ",IFERROR(INDEX(Накл!$C$9:$C$550,SMALL(IF(Накл!$A$9:$A$550=VALUE(LEFT(A407,8)),ROW(Накл!$A$9:$A$550)-ROW(Накл!$A$9)+1),ROW(E410)-ROW(B407)+1)),"")),"")</f>
        <v xml:space="preserve">   </v>
      </c>
    </row>
    <row r="408" spans="1:5">
      <c r="A408" s="26" t="str">
        <f>IFERROR(CONCATENATE(VALUE(SUBSTITUTE(SUBSTITUTE(LEFT(Накл!G415,11),".",""),"-",""))," ",Накл!J415),"-")</f>
        <v>-</v>
      </c>
      <c r="B408" s="26" t="str">
        <f>IFERROR(VLOOKUP(VALUE(LEFT(A408,8)),Накл!$A$9:$D$550,4,0),"-")</f>
        <v>-</v>
      </c>
      <c r="C408" s="26">
        <f>Накл!J415</f>
        <v>0</v>
      </c>
      <c r="D408" s="33" t="str">
        <f t="array" ref="D408">CONCATENATE(IFERROR(INDEX(Накл!$C$9:$C$550,SMALL(IF(Накл!$B$9:$B$550=A408,ROW(Накл!$B$9:$B$550)-ROW(Накл!$B$9)+1),ROW(D408)-ROW(A408)+1)),"")," ",IFERROR(INDEX(Накл!$C$9:$C$550,SMALL(IF(Накл!$B$9:$B$550=A408,ROW(Накл!$B$9:$B$550)-ROW(Накл!$B$9)+1),ROW(D409)-ROW(A408)+1)),"")," ",IFERROR(INDEX(Накл!$C$9:$C$550,SMALL(IF(Накл!$B$9:$B$550=A408,ROW(Накл!$B$9:$B$550)-ROW(Накл!$B$9)+1),ROW(D410)-ROW(A408)+1)),"")," ",IFERROR(INDEX(Накл!$C$9:$C$550,SMALL(IF(Накл!$B$9:$B$550=A408,ROW(Накл!$B$9:$B$550)-ROW(Накл!$B$9)+1),ROW(D411)-ROW(A408)+1)),"")," ",IFERROR(INDEX(Накл!$C$9:$C$550,SMALL(IF(Накл!$B$9:$B$550=A408,ROW(Накл!$B$9:$B$550)-ROW(Накл!$B$9)+1),ROW(D412)-ROW(A408)+1)),"")," ",IFERROR(INDEX(Накл!$C$9:$C$550,SMALL(IF(Накл!$B$9:$B$550=A408,ROW(Накл!$B$9:$B$550)-ROW(Накл!$B$9)+1),ROW(D413)-ROW(A408)+1)),"")," ",IFERROR(INDEX(Накл!$C$9:$C$550,SMALL(IF(Накл!$B$9:$B$550=A408,ROW(Накл!$B$9:$B$550)-ROW(Накл!$B$9)+1),ROW(D414)-ROW(A408)+1)),"")," ",IFERROR(INDEX(Накл!$C$9:$C$550,SMALL(IF(Накл!$B$9:$B$550=A408,ROW(Накл!$B$9:$B$550)-ROW(Накл!$B$9)+1),ROW(D415)-ROW(A408)+1)),"")," ",IFERROR(INDEX(Накл!$C$9:$C$550,SMALL(IF(Накл!$B$9:$B$550=A408,ROW(Накл!$B$9:$B$550)-ROW(Накл!$B$9)+1),ROW(D416)-ROW(A408)+1)),"")," ",IFERROR(INDEX(Накл!$C$9:$C$550,SMALL(IF(Накл!$B$9:$B$550=A408,ROW(Накл!$B$9:$B$550)-ROW(Накл!$B$9)+1),ROW(D417)-ROW(A408)+1)),""))</f>
        <v xml:space="preserve">         </v>
      </c>
      <c r="E408" s="26" t="str">
        <f t="array" ref="E408">IF(LEN(D408)&lt;10,CONCATENATE(IFERROR(INDEX(Накл!$C$9:$C$550,SMALL(IF(Накл!$A$9:$A$550=VALUE(LEFT(A408,8)),ROW(Накл!$A$9:$A$550)-ROW(Накл!$A$9)+1),ROW(E408)-ROW(B408)+1)),"")," ",IFERROR(INDEX(Накл!$C$9:$C$550,SMALL(IF(Накл!$A$9:$A$550=VALUE(LEFT(A408,8)),ROW(Накл!$A$9:$A$550)-ROW(Накл!$A$9)+1),ROW(E409)-ROW(B408)+1)),"")," ",IFERROR(INDEX(Накл!$C$9:$C$550,SMALL(IF(Накл!$A$9:$A$550=VALUE(LEFT(A408,8)),ROW(Накл!$A$9:$A$550)-ROW(Накл!$A$9)+1),ROW(E410)-ROW(B408)+1)),"")," ",IFERROR(INDEX(Накл!$C$9:$C$550,SMALL(IF(Накл!$A$9:$A$550=VALUE(LEFT(A408,8)),ROW(Накл!$A$9:$A$550)-ROW(Накл!$A$9)+1),ROW(E411)-ROW(B408)+1)),"")),"")</f>
        <v xml:space="preserve">   </v>
      </c>
    </row>
    <row r="409" spans="1:5">
      <c r="A409" s="26" t="str">
        <f>IFERROR(CONCATENATE(VALUE(SUBSTITUTE(SUBSTITUTE(LEFT(Накл!G416,11),".",""),"-",""))," ",Накл!J416),"-")</f>
        <v>-</v>
      </c>
      <c r="B409" s="26" t="str">
        <f>IFERROR(VLOOKUP(VALUE(LEFT(A409,8)),Накл!$A$9:$D$550,4,0),"-")</f>
        <v>-</v>
      </c>
      <c r="C409" s="26">
        <f>Накл!J416</f>
        <v>0</v>
      </c>
      <c r="D409" s="33" t="str">
        <f t="array" ref="D409">CONCATENATE(IFERROR(INDEX(Накл!$C$9:$C$550,SMALL(IF(Накл!$B$9:$B$550=A409,ROW(Накл!$B$9:$B$550)-ROW(Накл!$B$9)+1),ROW(D409)-ROW(A409)+1)),"")," ",IFERROR(INDEX(Накл!$C$9:$C$550,SMALL(IF(Накл!$B$9:$B$550=A409,ROW(Накл!$B$9:$B$550)-ROW(Накл!$B$9)+1),ROW(D410)-ROW(A409)+1)),"")," ",IFERROR(INDEX(Накл!$C$9:$C$550,SMALL(IF(Накл!$B$9:$B$550=A409,ROW(Накл!$B$9:$B$550)-ROW(Накл!$B$9)+1),ROW(D411)-ROW(A409)+1)),"")," ",IFERROR(INDEX(Накл!$C$9:$C$550,SMALL(IF(Накл!$B$9:$B$550=A409,ROW(Накл!$B$9:$B$550)-ROW(Накл!$B$9)+1),ROW(D412)-ROW(A409)+1)),"")," ",IFERROR(INDEX(Накл!$C$9:$C$550,SMALL(IF(Накл!$B$9:$B$550=A409,ROW(Накл!$B$9:$B$550)-ROW(Накл!$B$9)+1),ROW(D413)-ROW(A409)+1)),"")," ",IFERROR(INDEX(Накл!$C$9:$C$550,SMALL(IF(Накл!$B$9:$B$550=A409,ROW(Накл!$B$9:$B$550)-ROW(Накл!$B$9)+1),ROW(D414)-ROW(A409)+1)),"")," ",IFERROR(INDEX(Накл!$C$9:$C$550,SMALL(IF(Накл!$B$9:$B$550=A409,ROW(Накл!$B$9:$B$550)-ROW(Накл!$B$9)+1),ROW(D415)-ROW(A409)+1)),"")," ",IFERROR(INDEX(Накл!$C$9:$C$550,SMALL(IF(Накл!$B$9:$B$550=A409,ROW(Накл!$B$9:$B$550)-ROW(Накл!$B$9)+1),ROW(D416)-ROW(A409)+1)),"")," ",IFERROR(INDEX(Накл!$C$9:$C$550,SMALL(IF(Накл!$B$9:$B$550=A409,ROW(Накл!$B$9:$B$550)-ROW(Накл!$B$9)+1),ROW(D417)-ROW(A409)+1)),"")," ",IFERROR(INDEX(Накл!$C$9:$C$550,SMALL(IF(Накл!$B$9:$B$550=A409,ROW(Накл!$B$9:$B$550)-ROW(Накл!$B$9)+1),ROW(D418)-ROW(A409)+1)),""))</f>
        <v xml:space="preserve">         </v>
      </c>
      <c r="E409" s="26" t="str">
        <f t="array" ref="E409">IF(LEN(D409)&lt;10,CONCATENATE(IFERROR(INDEX(Накл!$C$9:$C$550,SMALL(IF(Накл!$A$9:$A$550=VALUE(LEFT(A409,8)),ROW(Накл!$A$9:$A$550)-ROW(Накл!$A$9)+1),ROW(E409)-ROW(B409)+1)),"")," ",IFERROR(INDEX(Накл!$C$9:$C$550,SMALL(IF(Накл!$A$9:$A$550=VALUE(LEFT(A409,8)),ROW(Накл!$A$9:$A$550)-ROW(Накл!$A$9)+1),ROW(E410)-ROW(B409)+1)),"")," ",IFERROR(INDEX(Накл!$C$9:$C$550,SMALL(IF(Накл!$A$9:$A$550=VALUE(LEFT(A409,8)),ROW(Накл!$A$9:$A$550)-ROW(Накл!$A$9)+1),ROW(E411)-ROW(B409)+1)),"")," ",IFERROR(INDEX(Накл!$C$9:$C$550,SMALL(IF(Накл!$A$9:$A$550=VALUE(LEFT(A409,8)),ROW(Накл!$A$9:$A$550)-ROW(Накл!$A$9)+1),ROW(E412)-ROW(B409)+1)),"")),"")</f>
        <v xml:space="preserve">   </v>
      </c>
    </row>
    <row r="410" spans="1:5">
      <c r="A410" s="26" t="str">
        <f>IFERROR(CONCATENATE(VALUE(SUBSTITUTE(SUBSTITUTE(LEFT(Накл!G417,11),".",""),"-",""))," ",Накл!J417),"-")</f>
        <v>-</v>
      </c>
      <c r="B410" s="26" t="str">
        <f>IFERROR(VLOOKUP(VALUE(LEFT(A410,8)),Накл!$A$9:$D$550,4,0),"-")</f>
        <v>-</v>
      </c>
      <c r="C410" s="26">
        <f>Накл!J417</f>
        <v>0</v>
      </c>
      <c r="D410" s="33" t="str">
        <f t="array" ref="D410">CONCATENATE(IFERROR(INDEX(Накл!$C$9:$C$550,SMALL(IF(Накл!$B$9:$B$550=A410,ROW(Накл!$B$9:$B$550)-ROW(Накл!$B$9)+1),ROW(D410)-ROW(A410)+1)),"")," ",IFERROR(INDEX(Накл!$C$9:$C$550,SMALL(IF(Накл!$B$9:$B$550=A410,ROW(Накл!$B$9:$B$550)-ROW(Накл!$B$9)+1),ROW(D411)-ROW(A410)+1)),"")," ",IFERROR(INDEX(Накл!$C$9:$C$550,SMALL(IF(Накл!$B$9:$B$550=A410,ROW(Накл!$B$9:$B$550)-ROW(Накл!$B$9)+1),ROW(D412)-ROW(A410)+1)),"")," ",IFERROR(INDEX(Накл!$C$9:$C$550,SMALL(IF(Накл!$B$9:$B$550=A410,ROW(Накл!$B$9:$B$550)-ROW(Накл!$B$9)+1),ROW(D413)-ROW(A410)+1)),"")," ",IFERROR(INDEX(Накл!$C$9:$C$550,SMALL(IF(Накл!$B$9:$B$550=A410,ROW(Накл!$B$9:$B$550)-ROW(Накл!$B$9)+1),ROW(D414)-ROW(A410)+1)),"")," ",IFERROR(INDEX(Накл!$C$9:$C$550,SMALL(IF(Накл!$B$9:$B$550=A410,ROW(Накл!$B$9:$B$550)-ROW(Накл!$B$9)+1),ROW(D415)-ROW(A410)+1)),"")," ",IFERROR(INDEX(Накл!$C$9:$C$550,SMALL(IF(Накл!$B$9:$B$550=A410,ROW(Накл!$B$9:$B$550)-ROW(Накл!$B$9)+1),ROW(D416)-ROW(A410)+1)),"")," ",IFERROR(INDEX(Накл!$C$9:$C$550,SMALL(IF(Накл!$B$9:$B$550=A410,ROW(Накл!$B$9:$B$550)-ROW(Накл!$B$9)+1),ROW(D417)-ROW(A410)+1)),"")," ",IFERROR(INDEX(Накл!$C$9:$C$550,SMALL(IF(Накл!$B$9:$B$550=A410,ROW(Накл!$B$9:$B$550)-ROW(Накл!$B$9)+1),ROW(D418)-ROW(A410)+1)),"")," ",IFERROR(INDEX(Накл!$C$9:$C$550,SMALL(IF(Накл!$B$9:$B$550=A410,ROW(Накл!$B$9:$B$550)-ROW(Накл!$B$9)+1),ROW(D419)-ROW(A410)+1)),""))</f>
        <v xml:space="preserve">         </v>
      </c>
      <c r="E410" s="26" t="str">
        <f t="array" ref="E410">IF(LEN(D410)&lt;10,CONCATENATE(IFERROR(INDEX(Накл!$C$9:$C$550,SMALL(IF(Накл!$A$9:$A$550=VALUE(LEFT(A410,8)),ROW(Накл!$A$9:$A$550)-ROW(Накл!$A$9)+1),ROW(E410)-ROW(B410)+1)),"")," ",IFERROR(INDEX(Накл!$C$9:$C$550,SMALL(IF(Накл!$A$9:$A$550=VALUE(LEFT(A410,8)),ROW(Накл!$A$9:$A$550)-ROW(Накл!$A$9)+1),ROW(E411)-ROW(B410)+1)),"")," ",IFERROR(INDEX(Накл!$C$9:$C$550,SMALL(IF(Накл!$A$9:$A$550=VALUE(LEFT(A410,8)),ROW(Накл!$A$9:$A$550)-ROW(Накл!$A$9)+1),ROW(E412)-ROW(B410)+1)),"")," ",IFERROR(INDEX(Накл!$C$9:$C$550,SMALL(IF(Накл!$A$9:$A$550=VALUE(LEFT(A410,8)),ROW(Накл!$A$9:$A$550)-ROW(Накл!$A$9)+1),ROW(E413)-ROW(B410)+1)),"")),"")</f>
        <v xml:space="preserve">   </v>
      </c>
    </row>
    <row r="411" spans="1:5">
      <c r="A411" s="26" t="str">
        <f>IFERROR(CONCATENATE(VALUE(SUBSTITUTE(SUBSTITUTE(LEFT(Накл!G418,11),".",""),"-",""))," ",Накл!J418),"-")</f>
        <v>-</v>
      </c>
      <c r="B411" s="26" t="str">
        <f>IFERROR(VLOOKUP(VALUE(LEFT(A411,8)),Накл!$A$9:$D$550,4,0),"-")</f>
        <v>-</v>
      </c>
      <c r="C411" s="26">
        <f>Накл!J418</f>
        <v>0</v>
      </c>
      <c r="D411" s="33" t="str">
        <f t="array" ref="D411">CONCATENATE(IFERROR(INDEX(Накл!$C$9:$C$550,SMALL(IF(Накл!$B$9:$B$550=A411,ROW(Накл!$B$9:$B$550)-ROW(Накл!$B$9)+1),ROW(D411)-ROW(A411)+1)),"")," ",IFERROR(INDEX(Накл!$C$9:$C$550,SMALL(IF(Накл!$B$9:$B$550=A411,ROW(Накл!$B$9:$B$550)-ROW(Накл!$B$9)+1),ROW(D412)-ROW(A411)+1)),"")," ",IFERROR(INDEX(Накл!$C$9:$C$550,SMALL(IF(Накл!$B$9:$B$550=A411,ROW(Накл!$B$9:$B$550)-ROW(Накл!$B$9)+1),ROW(D413)-ROW(A411)+1)),"")," ",IFERROR(INDEX(Накл!$C$9:$C$550,SMALL(IF(Накл!$B$9:$B$550=A411,ROW(Накл!$B$9:$B$550)-ROW(Накл!$B$9)+1),ROW(D414)-ROW(A411)+1)),"")," ",IFERROR(INDEX(Накл!$C$9:$C$550,SMALL(IF(Накл!$B$9:$B$550=A411,ROW(Накл!$B$9:$B$550)-ROW(Накл!$B$9)+1),ROW(D415)-ROW(A411)+1)),"")," ",IFERROR(INDEX(Накл!$C$9:$C$550,SMALL(IF(Накл!$B$9:$B$550=A411,ROW(Накл!$B$9:$B$550)-ROW(Накл!$B$9)+1),ROW(D416)-ROW(A411)+1)),"")," ",IFERROR(INDEX(Накл!$C$9:$C$550,SMALL(IF(Накл!$B$9:$B$550=A411,ROW(Накл!$B$9:$B$550)-ROW(Накл!$B$9)+1),ROW(D417)-ROW(A411)+1)),"")," ",IFERROR(INDEX(Накл!$C$9:$C$550,SMALL(IF(Накл!$B$9:$B$550=A411,ROW(Накл!$B$9:$B$550)-ROW(Накл!$B$9)+1),ROW(D418)-ROW(A411)+1)),"")," ",IFERROR(INDEX(Накл!$C$9:$C$550,SMALL(IF(Накл!$B$9:$B$550=A411,ROW(Накл!$B$9:$B$550)-ROW(Накл!$B$9)+1),ROW(D419)-ROW(A411)+1)),"")," ",IFERROR(INDEX(Накл!$C$9:$C$550,SMALL(IF(Накл!$B$9:$B$550=A411,ROW(Накл!$B$9:$B$550)-ROW(Накл!$B$9)+1),ROW(D420)-ROW(A411)+1)),""))</f>
        <v xml:space="preserve">         </v>
      </c>
      <c r="E411" s="26" t="str">
        <f t="array" ref="E411">IF(LEN(D411)&lt;10,CONCATENATE(IFERROR(INDEX(Накл!$C$9:$C$550,SMALL(IF(Накл!$A$9:$A$550=VALUE(LEFT(A411,8)),ROW(Накл!$A$9:$A$550)-ROW(Накл!$A$9)+1),ROW(E411)-ROW(B411)+1)),"")," ",IFERROR(INDEX(Накл!$C$9:$C$550,SMALL(IF(Накл!$A$9:$A$550=VALUE(LEFT(A411,8)),ROW(Накл!$A$9:$A$550)-ROW(Накл!$A$9)+1),ROW(E412)-ROW(B411)+1)),"")," ",IFERROR(INDEX(Накл!$C$9:$C$550,SMALL(IF(Накл!$A$9:$A$550=VALUE(LEFT(A411,8)),ROW(Накл!$A$9:$A$550)-ROW(Накл!$A$9)+1),ROW(E413)-ROW(B411)+1)),"")," ",IFERROR(INDEX(Накл!$C$9:$C$550,SMALL(IF(Накл!$A$9:$A$550=VALUE(LEFT(A411,8)),ROW(Накл!$A$9:$A$550)-ROW(Накл!$A$9)+1),ROW(E414)-ROW(B411)+1)),"")),"")</f>
        <v xml:space="preserve">   </v>
      </c>
    </row>
    <row r="412" spans="1:5">
      <c r="A412" s="26" t="str">
        <f>IFERROR(CONCATENATE(VALUE(SUBSTITUTE(SUBSTITUTE(LEFT(Накл!G419,11),".",""),"-",""))," ",Накл!J419),"-")</f>
        <v>-</v>
      </c>
      <c r="B412" s="26" t="str">
        <f>IFERROR(VLOOKUP(VALUE(LEFT(A412,8)),Накл!$A$9:$D$550,4,0),"-")</f>
        <v>-</v>
      </c>
      <c r="C412" s="26">
        <f>Накл!J419</f>
        <v>0</v>
      </c>
      <c r="D412" s="33" t="str">
        <f t="array" ref="D412">CONCATENATE(IFERROR(INDEX(Накл!$C$9:$C$550,SMALL(IF(Накл!$B$9:$B$550=A412,ROW(Накл!$B$9:$B$550)-ROW(Накл!$B$9)+1),ROW(D412)-ROW(A412)+1)),"")," ",IFERROR(INDEX(Накл!$C$9:$C$550,SMALL(IF(Накл!$B$9:$B$550=A412,ROW(Накл!$B$9:$B$550)-ROW(Накл!$B$9)+1),ROW(D413)-ROW(A412)+1)),"")," ",IFERROR(INDEX(Накл!$C$9:$C$550,SMALL(IF(Накл!$B$9:$B$550=A412,ROW(Накл!$B$9:$B$550)-ROW(Накл!$B$9)+1),ROW(D414)-ROW(A412)+1)),"")," ",IFERROR(INDEX(Накл!$C$9:$C$550,SMALL(IF(Накл!$B$9:$B$550=A412,ROW(Накл!$B$9:$B$550)-ROW(Накл!$B$9)+1),ROW(D415)-ROW(A412)+1)),"")," ",IFERROR(INDEX(Накл!$C$9:$C$550,SMALL(IF(Накл!$B$9:$B$550=A412,ROW(Накл!$B$9:$B$550)-ROW(Накл!$B$9)+1),ROW(D416)-ROW(A412)+1)),"")," ",IFERROR(INDEX(Накл!$C$9:$C$550,SMALL(IF(Накл!$B$9:$B$550=A412,ROW(Накл!$B$9:$B$550)-ROW(Накл!$B$9)+1),ROW(D417)-ROW(A412)+1)),"")," ",IFERROR(INDEX(Накл!$C$9:$C$550,SMALL(IF(Накл!$B$9:$B$550=A412,ROW(Накл!$B$9:$B$550)-ROW(Накл!$B$9)+1),ROW(D418)-ROW(A412)+1)),"")," ",IFERROR(INDEX(Накл!$C$9:$C$550,SMALL(IF(Накл!$B$9:$B$550=A412,ROW(Накл!$B$9:$B$550)-ROW(Накл!$B$9)+1),ROW(D419)-ROW(A412)+1)),"")," ",IFERROR(INDEX(Накл!$C$9:$C$550,SMALL(IF(Накл!$B$9:$B$550=A412,ROW(Накл!$B$9:$B$550)-ROW(Накл!$B$9)+1),ROW(D420)-ROW(A412)+1)),"")," ",IFERROR(INDEX(Накл!$C$9:$C$550,SMALL(IF(Накл!$B$9:$B$550=A412,ROW(Накл!$B$9:$B$550)-ROW(Накл!$B$9)+1),ROW(D421)-ROW(A412)+1)),""))</f>
        <v xml:space="preserve">         </v>
      </c>
      <c r="E412" s="26" t="str">
        <f t="array" ref="E412">IF(LEN(D412)&lt;10,CONCATENATE(IFERROR(INDEX(Накл!$C$9:$C$550,SMALL(IF(Накл!$A$9:$A$550=VALUE(LEFT(A412,8)),ROW(Накл!$A$9:$A$550)-ROW(Накл!$A$9)+1),ROW(E412)-ROW(B412)+1)),"")," ",IFERROR(INDEX(Накл!$C$9:$C$550,SMALL(IF(Накл!$A$9:$A$550=VALUE(LEFT(A412,8)),ROW(Накл!$A$9:$A$550)-ROW(Накл!$A$9)+1),ROW(E413)-ROW(B412)+1)),"")," ",IFERROR(INDEX(Накл!$C$9:$C$550,SMALL(IF(Накл!$A$9:$A$550=VALUE(LEFT(A412,8)),ROW(Накл!$A$9:$A$550)-ROW(Накл!$A$9)+1),ROW(E414)-ROW(B412)+1)),"")," ",IFERROR(INDEX(Накл!$C$9:$C$550,SMALL(IF(Накл!$A$9:$A$550=VALUE(LEFT(A412,8)),ROW(Накл!$A$9:$A$550)-ROW(Накл!$A$9)+1),ROW(E415)-ROW(B412)+1)),"")),"")</f>
        <v xml:space="preserve">   </v>
      </c>
    </row>
    <row r="413" spans="1:5">
      <c r="A413" s="26" t="str">
        <f>IFERROR(CONCATENATE(VALUE(SUBSTITUTE(SUBSTITUTE(LEFT(Накл!G420,11),".",""),"-",""))," ",Накл!J420),"-")</f>
        <v>-</v>
      </c>
      <c r="B413" s="26" t="str">
        <f>IFERROR(VLOOKUP(VALUE(LEFT(A413,8)),Накл!$A$9:$D$550,4,0),"-")</f>
        <v>-</v>
      </c>
      <c r="C413" s="26">
        <f>Накл!J420</f>
        <v>0</v>
      </c>
      <c r="D413" s="33" t="str">
        <f t="array" ref="D413">CONCATENATE(IFERROR(INDEX(Накл!$C$9:$C$550,SMALL(IF(Накл!$B$9:$B$550=A413,ROW(Накл!$B$9:$B$550)-ROW(Накл!$B$9)+1),ROW(D413)-ROW(A413)+1)),"")," ",IFERROR(INDEX(Накл!$C$9:$C$550,SMALL(IF(Накл!$B$9:$B$550=A413,ROW(Накл!$B$9:$B$550)-ROW(Накл!$B$9)+1),ROW(D414)-ROW(A413)+1)),"")," ",IFERROR(INDEX(Накл!$C$9:$C$550,SMALL(IF(Накл!$B$9:$B$550=A413,ROW(Накл!$B$9:$B$550)-ROW(Накл!$B$9)+1),ROW(D415)-ROW(A413)+1)),"")," ",IFERROR(INDEX(Накл!$C$9:$C$550,SMALL(IF(Накл!$B$9:$B$550=A413,ROW(Накл!$B$9:$B$550)-ROW(Накл!$B$9)+1),ROW(D416)-ROW(A413)+1)),"")," ",IFERROR(INDEX(Накл!$C$9:$C$550,SMALL(IF(Накл!$B$9:$B$550=A413,ROW(Накл!$B$9:$B$550)-ROW(Накл!$B$9)+1),ROW(D417)-ROW(A413)+1)),"")," ",IFERROR(INDEX(Накл!$C$9:$C$550,SMALL(IF(Накл!$B$9:$B$550=A413,ROW(Накл!$B$9:$B$550)-ROW(Накл!$B$9)+1),ROW(D418)-ROW(A413)+1)),"")," ",IFERROR(INDEX(Накл!$C$9:$C$550,SMALL(IF(Накл!$B$9:$B$550=A413,ROW(Накл!$B$9:$B$550)-ROW(Накл!$B$9)+1),ROW(D419)-ROW(A413)+1)),"")," ",IFERROR(INDEX(Накл!$C$9:$C$550,SMALL(IF(Накл!$B$9:$B$550=A413,ROW(Накл!$B$9:$B$550)-ROW(Накл!$B$9)+1),ROW(D420)-ROW(A413)+1)),"")," ",IFERROR(INDEX(Накл!$C$9:$C$550,SMALL(IF(Накл!$B$9:$B$550=A413,ROW(Накл!$B$9:$B$550)-ROW(Накл!$B$9)+1),ROW(D421)-ROW(A413)+1)),"")," ",IFERROR(INDEX(Накл!$C$9:$C$550,SMALL(IF(Накл!$B$9:$B$550=A413,ROW(Накл!$B$9:$B$550)-ROW(Накл!$B$9)+1),ROW(D422)-ROW(A413)+1)),""))</f>
        <v xml:space="preserve">         </v>
      </c>
      <c r="E413" s="26" t="str">
        <f t="array" ref="E413">IF(LEN(D413)&lt;10,CONCATENATE(IFERROR(INDEX(Накл!$C$9:$C$550,SMALL(IF(Накл!$A$9:$A$550=VALUE(LEFT(A413,8)),ROW(Накл!$A$9:$A$550)-ROW(Накл!$A$9)+1),ROW(E413)-ROW(B413)+1)),"")," ",IFERROR(INDEX(Накл!$C$9:$C$550,SMALL(IF(Накл!$A$9:$A$550=VALUE(LEFT(A413,8)),ROW(Накл!$A$9:$A$550)-ROW(Накл!$A$9)+1),ROW(E414)-ROW(B413)+1)),"")," ",IFERROR(INDEX(Накл!$C$9:$C$550,SMALL(IF(Накл!$A$9:$A$550=VALUE(LEFT(A413,8)),ROW(Накл!$A$9:$A$550)-ROW(Накл!$A$9)+1),ROW(E415)-ROW(B413)+1)),"")," ",IFERROR(INDEX(Накл!$C$9:$C$550,SMALL(IF(Накл!$A$9:$A$550=VALUE(LEFT(A413,8)),ROW(Накл!$A$9:$A$550)-ROW(Накл!$A$9)+1),ROW(E416)-ROW(B413)+1)),"")),"")</f>
        <v xml:space="preserve">   </v>
      </c>
    </row>
    <row r="414" spans="1:5">
      <c r="A414" s="26" t="str">
        <f>IFERROR(CONCATENATE(VALUE(SUBSTITUTE(SUBSTITUTE(LEFT(Накл!G421,11),".",""),"-",""))," ",Накл!J421),"-")</f>
        <v>-</v>
      </c>
      <c r="B414" s="26" t="str">
        <f>IFERROR(VLOOKUP(VALUE(LEFT(A414,8)),Накл!$A$9:$D$550,4,0),"-")</f>
        <v>-</v>
      </c>
      <c r="C414" s="26">
        <f>Накл!J421</f>
        <v>0</v>
      </c>
      <c r="D414" s="33" t="str">
        <f t="array" ref="D414">CONCATENATE(IFERROR(INDEX(Накл!$C$9:$C$550,SMALL(IF(Накл!$B$9:$B$550=A414,ROW(Накл!$B$9:$B$550)-ROW(Накл!$B$9)+1),ROW(D414)-ROW(A414)+1)),"")," ",IFERROR(INDEX(Накл!$C$9:$C$550,SMALL(IF(Накл!$B$9:$B$550=A414,ROW(Накл!$B$9:$B$550)-ROW(Накл!$B$9)+1),ROW(D415)-ROW(A414)+1)),"")," ",IFERROR(INDEX(Накл!$C$9:$C$550,SMALL(IF(Накл!$B$9:$B$550=A414,ROW(Накл!$B$9:$B$550)-ROW(Накл!$B$9)+1),ROW(D416)-ROW(A414)+1)),"")," ",IFERROR(INDEX(Накл!$C$9:$C$550,SMALL(IF(Накл!$B$9:$B$550=A414,ROW(Накл!$B$9:$B$550)-ROW(Накл!$B$9)+1),ROW(D417)-ROW(A414)+1)),"")," ",IFERROR(INDEX(Накл!$C$9:$C$550,SMALL(IF(Накл!$B$9:$B$550=A414,ROW(Накл!$B$9:$B$550)-ROW(Накл!$B$9)+1),ROW(D418)-ROW(A414)+1)),"")," ",IFERROR(INDEX(Накл!$C$9:$C$550,SMALL(IF(Накл!$B$9:$B$550=A414,ROW(Накл!$B$9:$B$550)-ROW(Накл!$B$9)+1),ROW(D419)-ROW(A414)+1)),"")," ",IFERROR(INDEX(Накл!$C$9:$C$550,SMALL(IF(Накл!$B$9:$B$550=A414,ROW(Накл!$B$9:$B$550)-ROW(Накл!$B$9)+1),ROW(D420)-ROW(A414)+1)),"")," ",IFERROR(INDEX(Накл!$C$9:$C$550,SMALL(IF(Накл!$B$9:$B$550=A414,ROW(Накл!$B$9:$B$550)-ROW(Накл!$B$9)+1),ROW(D421)-ROW(A414)+1)),"")," ",IFERROR(INDEX(Накл!$C$9:$C$550,SMALL(IF(Накл!$B$9:$B$550=A414,ROW(Накл!$B$9:$B$550)-ROW(Накл!$B$9)+1),ROW(D422)-ROW(A414)+1)),"")," ",IFERROR(INDEX(Накл!$C$9:$C$550,SMALL(IF(Накл!$B$9:$B$550=A414,ROW(Накл!$B$9:$B$550)-ROW(Накл!$B$9)+1),ROW(D423)-ROW(A414)+1)),""))</f>
        <v xml:space="preserve">         </v>
      </c>
      <c r="E414" s="26" t="str">
        <f t="array" ref="E414">IF(LEN(D414)&lt;10,CONCATENATE(IFERROR(INDEX(Накл!$C$9:$C$550,SMALL(IF(Накл!$A$9:$A$550=VALUE(LEFT(A414,8)),ROW(Накл!$A$9:$A$550)-ROW(Накл!$A$9)+1),ROW(E414)-ROW(B414)+1)),"")," ",IFERROR(INDEX(Накл!$C$9:$C$550,SMALL(IF(Накл!$A$9:$A$550=VALUE(LEFT(A414,8)),ROW(Накл!$A$9:$A$550)-ROW(Накл!$A$9)+1),ROW(E415)-ROW(B414)+1)),"")," ",IFERROR(INDEX(Накл!$C$9:$C$550,SMALL(IF(Накл!$A$9:$A$550=VALUE(LEFT(A414,8)),ROW(Накл!$A$9:$A$550)-ROW(Накл!$A$9)+1),ROW(E416)-ROW(B414)+1)),"")," ",IFERROR(INDEX(Накл!$C$9:$C$550,SMALL(IF(Накл!$A$9:$A$550=VALUE(LEFT(A414,8)),ROW(Накл!$A$9:$A$550)-ROW(Накл!$A$9)+1),ROW(E417)-ROW(B414)+1)),"")),"")</f>
        <v xml:space="preserve">   </v>
      </c>
    </row>
    <row r="415" spans="1:5">
      <c r="A415" s="26" t="str">
        <f>IFERROR(CONCATENATE(VALUE(SUBSTITUTE(SUBSTITUTE(LEFT(Накл!G422,11),".",""),"-",""))," ",Накл!J422),"-")</f>
        <v>-</v>
      </c>
      <c r="B415" s="26" t="str">
        <f>IFERROR(VLOOKUP(VALUE(LEFT(A415,8)),Накл!$A$9:$D$550,4,0),"-")</f>
        <v>-</v>
      </c>
      <c r="C415" s="26">
        <f>Накл!J422</f>
        <v>0</v>
      </c>
      <c r="D415" s="33" t="str">
        <f t="array" ref="D415">CONCATENATE(IFERROR(INDEX(Накл!$C$9:$C$550,SMALL(IF(Накл!$B$9:$B$550=A415,ROW(Накл!$B$9:$B$550)-ROW(Накл!$B$9)+1),ROW(D415)-ROW(A415)+1)),"")," ",IFERROR(INDEX(Накл!$C$9:$C$550,SMALL(IF(Накл!$B$9:$B$550=A415,ROW(Накл!$B$9:$B$550)-ROW(Накл!$B$9)+1),ROW(D416)-ROW(A415)+1)),"")," ",IFERROR(INDEX(Накл!$C$9:$C$550,SMALL(IF(Накл!$B$9:$B$550=A415,ROW(Накл!$B$9:$B$550)-ROW(Накл!$B$9)+1),ROW(D417)-ROW(A415)+1)),"")," ",IFERROR(INDEX(Накл!$C$9:$C$550,SMALL(IF(Накл!$B$9:$B$550=A415,ROW(Накл!$B$9:$B$550)-ROW(Накл!$B$9)+1),ROW(D418)-ROW(A415)+1)),"")," ",IFERROR(INDEX(Накл!$C$9:$C$550,SMALL(IF(Накл!$B$9:$B$550=A415,ROW(Накл!$B$9:$B$550)-ROW(Накл!$B$9)+1),ROW(D419)-ROW(A415)+1)),"")," ",IFERROR(INDEX(Накл!$C$9:$C$550,SMALL(IF(Накл!$B$9:$B$550=A415,ROW(Накл!$B$9:$B$550)-ROW(Накл!$B$9)+1),ROW(D420)-ROW(A415)+1)),"")," ",IFERROR(INDEX(Накл!$C$9:$C$550,SMALL(IF(Накл!$B$9:$B$550=A415,ROW(Накл!$B$9:$B$550)-ROW(Накл!$B$9)+1),ROW(D421)-ROW(A415)+1)),"")," ",IFERROR(INDEX(Накл!$C$9:$C$550,SMALL(IF(Накл!$B$9:$B$550=A415,ROW(Накл!$B$9:$B$550)-ROW(Накл!$B$9)+1),ROW(D422)-ROW(A415)+1)),"")," ",IFERROR(INDEX(Накл!$C$9:$C$550,SMALL(IF(Накл!$B$9:$B$550=A415,ROW(Накл!$B$9:$B$550)-ROW(Накл!$B$9)+1),ROW(D423)-ROW(A415)+1)),"")," ",IFERROR(INDEX(Накл!$C$9:$C$550,SMALL(IF(Накл!$B$9:$B$550=A415,ROW(Накл!$B$9:$B$550)-ROW(Накл!$B$9)+1),ROW(D424)-ROW(A415)+1)),""))</f>
        <v xml:space="preserve">         </v>
      </c>
      <c r="E415" s="26" t="str">
        <f t="array" ref="E415">IF(LEN(D415)&lt;10,CONCATENATE(IFERROR(INDEX(Накл!$C$9:$C$550,SMALL(IF(Накл!$A$9:$A$550=VALUE(LEFT(A415,8)),ROW(Накл!$A$9:$A$550)-ROW(Накл!$A$9)+1),ROW(E415)-ROW(B415)+1)),"")," ",IFERROR(INDEX(Накл!$C$9:$C$550,SMALL(IF(Накл!$A$9:$A$550=VALUE(LEFT(A415,8)),ROW(Накл!$A$9:$A$550)-ROW(Накл!$A$9)+1),ROW(E416)-ROW(B415)+1)),"")," ",IFERROR(INDEX(Накл!$C$9:$C$550,SMALL(IF(Накл!$A$9:$A$550=VALUE(LEFT(A415,8)),ROW(Накл!$A$9:$A$550)-ROW(Накл!$A$9)+1),ROW(E417)-ROW(B415)+1)),"")," ",IFERROR(INDEX(Накл!$C$9:$C$550,SMALL(IF(Накл!$A$9:$A$550=VALUE(LEFT(A415,8)),ROW(Накл!$A$9:$A$550)-ROW(Накл!$A$9)+1),ROW(E418)-ROW(B415)+1)),"")),"")</f>
        <v xml:space="preserve">   </v>
      </c>
    </row>
    <row r="416" spans="1:5">
      <c r="A416" s="26" t="str">
        <f>IFERROR(CONCATENATE(VALUE(SUBSTITUTE(SUBSTITUTE(LEFT(Накл!G423,11),".",""),"-",""))," ",Накл!J423),"-")</f>
        <v>-</v>
      </c>
      <c r="B416" s="26" t="str">
        <f>IFERROR(VLOOKUP(VALUE(LEFT(A416,8)),Накл!$A$9:$D$550,4,0),"-")</f>
        <v>-</v>
      </c>
      <c r="C416" s="26">
        <f>Накл!J423</f>
        <v>0</v>
      </c>
      <c r="D416" s="33" t="str">
        <f t="array" ref="D416">CONCATENATE(IFERROR(INDEX(Накл!$C$9:$C$550,SMALL(IF(Накл!$B$9:$B$550=A416,ROW(Накл!$B$9:$B$550)-ROW(Накл!$B$9)+1),ROW(D416)-ROW(A416)+1)),"")," ",IFERROR(INDEX(Накл!$C$9:$C$550,SMALL(IF(Накл!$B$9:$B$550=A416,ROW(Накл!$B$9:$B$550)-ROW(Накл!$B$9)+1),ROW(D417)-ROW(A416)+1)),"")," ",IFERROR(INDEX(Накл!$C$9:$C$550,SMALL(IF(Накл!$B$9:$B$550=A416,ROW(Накл!$B$9:$B$550)-ROW(Накл!$B$9)+1),ROW(D418)-ROW(A416)+1)),"")," ",IFERROR(INDEX(Накл!$C$9:$C$550,SMALL(IF(Накл!$B$9:$B$550=A416,ROW(Накл!$B$9:$B$550)-ROW(Накл!$B$9)+1),ROW(D419)-ROW(A416)+1)),"")," ",IFERROR(INDEX(Накл!$C$9:$C$550,SMALL(IF(Накл!$B$9:$B$550=A416,ROW(Накл!$B$9:$B$550)-ROW(Накл!$B$9)+1),ROW(D420)-ROW(A416)+1)),"")," ",IFERROR(INDEX(Накл!$C$9:$C$550,SMALL(IF(Накл!$B$9:$B$550=A416,ROW(Накл!$B$9:$B$550)-ROW(Накл!$B$9)+1),ROW(D421)-ROW(A416)+1)),"")," ",IFERROR(INDEX(Накл!$C$9:$C$550,SMALL(IF(Накл!$B$9:$B$550=A416,ROW(Накл!$B$9:$B$550)-ROW(Накл!$B$9)+1),ROW(D422)-ROW(A416)+1)),"")," ",IFERROR(INDEX(Накл!$C$9:$C$550,SMALL(IF(Накл!$B$9:$B$550=A416,ROW(Накл!$B$9:$B$550)-ROW(Накл!$B$9)+1),ROW(D423)-ROW(A416)+1)),"")," ",IFERROR(INDEX(Накл!$C$9:$C$550,SMALL(IF(Накл!$B$9:$B$550=A416,ROW(Накл!$B$9:$B$550)-ROW(Накл!$B$9)+1),ROW(D424)-ROW(A416)+1)),"")," ",IFERROR(INDEX(Накл!$C$9:$C$550,SMALL(IF(Накл!$B$9:$B$550=A416,ROW(Накл!$B$9:$B$550)-ROW(Накл!$B$9)+1),ROW(D425)-ROW(A416)+1)),""))</f>
        <v xml:space="preserve">         </v>
      </c>
      <c r="E416" s="26" t="str">
        <f t="array" ref="E416">IF(LEN(D416)&lt;10,CONCATENATE(IFERROR(INDEX(Накл!$C$9:$C$550,SMALL(IF(Накл!$A$9:$A$550=VALUE(LEFT(A416,8)),ROW(Накл!$A$9:$A$550)-ROW(Накл!$A$9)+1),ROW(E416)-ROW(B416)+1)),"")," ",IFERROR(INDEX(Накл!$C$9:$C$550,SMALL(IF(Накл!$A$9:$A$550=VALUE(LEFT(A416,8)),ROW(Накл!$A$9:$A$550)-ROW(Накл!$A$9)+1),ROW(E417)-ROW(B416)+1)),"")," ",IFERROR(INDEX(Накл!$C$9:$C$550,SMALL(IF(Накл!$A$9:$A$550=VALUE(LEFT(A416,8)),ROW(Накл!$A$9:$A$550)-ROW(Накл!$A$9)+1),ROW(E418)-ROW(B416)+1)),"")," ",IFERROR(INDEX(Накл!$C$9:$C$550,SMALL(IF(Накл!$A$9:$A$550=VALUE(LEFT(A416,8)),ROW(Накл!$A$9:$A$550)-ROW(Накл!$A$9)+1),ROW(E419)-ROW(B416)+1)),"")),"")</f>
        <v xml:space="preserve">   </v>
      </c>
    </row>
    <row r="417" spans="1:5">
      <c r="A417" s="26" t="str">
        <f>IFERROR(CONCATENATE(VALUE(SUBSTITUTE(SUBSTITUTE(LEFT(Накл!G424,11),".",""),"-",""))," ",Накл!J424),"-")</f>
        <v>-</v>
      </c>
      <c r="B417" s="26" t="str">
        <f>IFERROR(VLOOKUP(VALUE(LEFT(A417,8)),Накл!$A$9:$D$550,4,0),"-")</f>
        <v>-</v>
      </c>
      <c r="C417" s="26">
        <f>Накл!J424</f>
        <v>0</v>
      </c>
      <c r="D417" s="33" t="str">
        <f t="array" ref="D417">CONCATENATE(IFERROR(INDEX(Накл!$C$9:$C$550,SMALL(IF(Накл!$B$9:$B$550=A417,ROW(Накл!$B$9:$B$550)-ROW(Накл!$B$9)+1),ROW(D417)-ROW(A417)+1)),"")," ",IFERROR(INDEX(Накл!$C$9:$C$550,SMALL(IF(Накл!$B$9:$B$550=A417,ROW(Накл!$B$9:$B$550)-ROW(Накл!$B$9)+1),ROW(D418)-ROW(A417)+1)),"")," ",IFERROR(INDEX(Накл!$C$9:$C$550,SMALL(IF(Накл!$B$9:$B$550=A417,ROW(Накл!$B$9:$B$550)-ROW(Накл!$B$9)+1),ROW(D419)-ROW(A417)+1)),"")," ",IFERROR(INDEX(Накл!$C$9:$C$550,SMALL(IF(Накл!$B$9:$B$550=A417,ROW(Накл!$B$9:$B$550)-ROW(Накл!$B$9)+1),ROW(D420)-ROW(A417)+1)),"")," ",IFERROR(INDEX(Накл!$C$9:$C$550,SMALL(IF(Накл!$B$9:$B$550=A417,ROW(Накл!$B$9:$B$550)-ROW(Накл!$B$9)+1),ROW(D421)-ROW(A417)+1)),"")," ",IFERROR(INDEX(Накл!$C$9:$C$550,SMALL(IF(Накл!$B$9:$B$550=A417,ROW(Накл!$B$9:$B$550)-ROW(Накл!$B$9)+1),ROW(D422)-ROW(A417)+1)),"")," ",IFERROR(INDEX(Накл!$C$9:$C$550,SMALL(IF(Накл!$B$9:$B$550=A417,ROW(Накл!$B$9:$B$550)-ROW(Накл!$B$9)+1),ROW(D423)-ROW(A417)+1)),"")," ",IFERROR(INDEX(Накл!$C$9:$C$550,SMALL(IF(Накл!$B$9:$B$550=A417,ROW(Накл!$B$9:$B$550)-ROW(Накл!$B$9)+1),ROW(D424)-ROW(A417)+1)),"")," ",IFERROR(INDEX(Накл!$C$9:$C$550,SMALL(IF(Накл!$B$9:$B$550=A417,ROW(Накл!$B$9:$B$550)-ROW(Накл!$B$9)+1),ROW(D425)-ROW(A417)+1)),"")," ",IFERROR(INDEX(Накл!$C$9:$C$550,SMALL(IF(Накл!$B$9:$B$550=A417,ROW(Накл!$B$9:$B$550)-ROW(Накл!$B$9)+1),ROW(D426)-ROW(A417)+1)),""))</f>
        <v xml:space="preserve">         </v>
      </c>
      <c r="E417" s="26" t="str">
        <f t="array" ref="E417">IF(LEN(D417)&lt;10,CONCATENATE(IFERROR(INDEX(Накл!$C$9:$C$550,SMALL(IF(Накл!$A$9:$A$550=VALUE(LEFT(A417,8)),ROW(Накл!$A$9:$A$550)-ROW(Накл!$A$9)+1),ROW(E417)-ROW(B417)+1)),"")," ",IFERROR(INDEX(Накл!$C$9:$C$550,SMALL(IF(Накл!$A$9:$A$550=VALUE(LEFT(A417,8)),ROW(Накл!$A$9:$A$550)-ROW(Накл!$A$9)+1),ROW(E418)-ROW(B417)+1)),"")," ",IFERROR(INDEX(Накл!$C$9:$C$550,SMALL(IF(Накл!$A$9:$A$550=VALUE(LEFT(A417,8)),ROW(Накл!$A$9:$A$550)-ROW(Накл!$A$9)+1),ROW(E419)-ROW(B417)+1)),"")," ",IFERROR(INDEX(Накл!$C$9:$C$550,SMALL(IF(Накл!$A$9:$A$550=VALUE(LEFT(A417,8)),ROW(Накл!$A$9:$A$550)-ROW(Накл!$A$9)+1),ROW(E420)-ROW(B417)+1)),"")),"")</f>
        <v xml:space="preserve">   </v>
      </c>
    </row>
    <row r="418" spans="1:5">
      <c r="A418" s="26" t="str">
        <f>IFERROR(CONCATENATE(VALUE(SUBSTITUTE(SUBSTITUTE(LEFT(Накл!G425,11),".",""),"-",""))," ",Накл!J425),"-")</f>
        <v>-</v>
      </c>
      <c r="B418" s="26" t="str">
        <f>IFERROR(VLOOKUP(VALUE(LEFT(A418,8)),Накл!$A$9:$D$550,4,0),"-")</f>
        <v>-</v>
      </c>
      <c r="C418" s="26">
        <f>Накл!J425</f>
        <v>0</v>
      </c>
      <c r="D418" s="33" t="str">
        <f t="array" ref="D418">CONCATENATE(IFERROR(INDEX(Накл!$C$9:$C$550,SMALL(IF(Накл!$B$9:$B$550=A418,ROW(Накл!$B$9:$B$550)-ROW(Накл!$B$9)+1),ROW(D418)-ROW(A418)+1)),"")," ",IFERROR(INDEX(Накл!$C$9:$C$550,SMALL(IF(Накл!$B$9:$B$550=A418,ROW(Накл!$B$9:$B$550)-ROW(Накл!$B$9)+1),ROW(D419)-ROW(A418)+1)),"")," ",IFERROR(INDEX(Накл!$C$9:$C$550,SMALL(IF(Накл!$B$9:$B$550=A418,ROW(Накл!$B$9:$B$550)-ROW(Накл!$B$9)+1),ROW(D420)-ROW(A418)+1)),"")," ",IFERROR(INDEX(Накл!$C$9:$C$550,SMALL(IF(Накл!$B$9:$B$550=A418,ROW(Накл!$B$9:$B$550)-ROW(Накл!$B$9)+1),ROW(D421)-ROW(A418)+1)),"")," ",IFERROR(INDEX(Накл!$C$9:$C$550,SMALL(IF(Накл!$B$9:$B$550=A418,ROW(Накл!$B$9:$B$550)-ROW(Накл!$B$9)+1),ROW(D422)-ROW(A418)+1)),"")," ",IFERROR(INDEX(Накл!$C$9:$C$550,SMALL(IF(Накл!$B$9:$B$550=A418,ROW(Накл!$B$9:$B$550)-ROW(Накл!$B$9)+1),ROW(D423)-ROW(A418)+1)),"")," ",IFERROR(INDEX(Накл!$C$9:$C$550,SMALL(IF(Накл!$B$9:$B$550=A418,ROW(Накл!$B$9:$B$550)-ROW(Накл!$B$9)+1),ROW(D424)-ROW(A418)+1)),"")," ",IFERROR(INDEX(Накл!$C$9:$C$550,SMALL(IF(Накл!$B$9:$B$550=A418,ROW(Накл!$B$9:$B$550)-ROW(Накл!$B$9)+1),ROW(D425)-ROW(A418)+1)),"")," ",IFERROR(INDEX(Накл!$C$9:$C$550,SMALL(IF(Накл!$B$9:$B$550=A418,ROW(Накл!$B$9:$B$550)-ROW(Накл!$B$9)+1),ROW(D426)-ROW(A418)+1)),"")," ",IFERROR(INDEX(Накл!$C$9:$C$550,SMALL(IF(Накл!$B$9:$B$550=A418,ROW(Накл!$B$9:$B$550)-ROW(Накл!$B$9)+1),ROW(D427)-ROW(A418)+1)),""))</f>
        <v xml:space="preserve">         </v>
      </c>
      <c r="E418" s="26" t="str">
        <f t="array" ref="E418">IF(LEN(D418)&lt;10,CONCATENATE(IFERROR(INDEX(Накл!$C$9:$C$550,SMALL(IF(Накл!$A$9:$A$550=VALUE(LEFT(A418,8)),ROW(Накл!$A$9:$A$550)-ROW(Накл!$A$9)+1),ROW(E418)-ROW(B418)+1)),"")," ",IFERROR(INDEX(Накл!$C$9:$C$550,SMALL(IF(Накл!$A$9:$A$550=VALUE(LEFT(A418,8)),ROW(Накл!$A$9:$A$550)-ROW(Накл!$A$9)+1),ROW(E419)-ROW(B418)+1)),"")," ",IFERROR(INDEX(Накл!$C$9:$C$550,SMALL(IF(Накл!$A$9:$A$550=VALUE(LEFT(A418,8)),ROW(Накл!$A$9:$A$550)-ROW(Накл!$A$9)+1),ROW(E420)-ROW(B418)+1)),"")," ",IFERROR(INDEX(Накл!$C$9:$C$550,SMALL(IF(Накл!$A$9:$A$550=VALUE(LEFT(A418,8)),ROW(Накл!$A$9:$A$550)-ROW(Накл!$A$9)+1),ROW(E421)-ROW(B418)+1)),"")),"")</f>
        <v xml:space="preserve">   </v>
      </c>
    </row>
    <row r="419" spans="1:5">
      <c r="A419" s="26" t="str">
        <f>IFERROR(CONCATENATE(VALUE(SUBSTITUTE(SUBSTITUTE(LEFT(Накл!G426,11),".",""),"-",""))," ",Накл!J426),"-")</f>
        <v>-</v>
      </c>
      <c r="B419" s="26" t="str">
        <f>IFERROR(VLOOKUP(VALUE(LEFT(A419,8)),Накл!$A$9:$D$550,4,0),"-")</f>
        <v>-</v>
      </c>
      <c r="C419" s="26">
        <f>Накл!J426</f>
        <v>0</v>
      </c>
      <c r="D419" s="33" t="str">
        <f t="array" ref="D419">CONCATENATE(IFERROR(INDEX(Накл!$C$9:$C$550,SMALL(IF(Накл!$B$9:$B$550=A419,ROW(Накл!$B$9:$B$550)-ROW(Накл!$B$9)+1),ROW(D419)-ROW(A419)+1)),"")," ",IFERROR(INDEX(Накл!$C$9:$C$550,SMALL(IF(Накл!$B$9:$B$550=A419,ROW(Накл!$B$9:$B$550)-ROW(Накл!$B$9)+1),ROW(D420)-ROW(A419)+1)),"")," ",IFERROR(INDEX(Накл!$C$9:$C$550,SMALL(IF(Накл!$B$9:$B$550=A419,ROW(Накл!$B$9:$B$550)-ROW(Накл!$B$9)+1),ROW(D421)-ROW(A419)+1)),"")," ",IFERROR(INDEX(Накл!$C$9:$C$550,SMALL(IF(Накл!$B$9:$B$550=A419,ROW(Накл!$B$9:$B$550)-ROW(Накл!$B$9)+1),ROW(D422)-ROW(A419)+1)),"")," ",IFERROR(INDEX(Накл!$C$9:$C$550,SMALL(IF(Накл!$B$9:$B$550=A419,ROW(Накл!$B$9:$B$550)-ROW(Накл!$B$9)+1),ROW(D423)-ROW(A419)+1)),"")," ",IFERROR(INDEX(Накл!$C$9:$C$550,SMALL(IF(Накл!$B$9:$B$550=A419,ROW(Накл!$B$9:$B$550)-ROW(Накл!$B$9)+1),ROW(D424)-ROW(A419)+1)),"")," ",IFERROR(INDEX(Накл!$C$9:$C$550,SMALL(IF(Накл!$B$9:$B$550=A419,ROW(Накл!$B$9:$B$550)-ROW(Накл!$B$9)+1),ROW(D425)-ROW(A419)+1)),"")," ",IFERROR(INDEX(Накл!$C$9:$C$550,SMALL(IF(Накл!$B$9:$B$550=A419,ROW(Накл!$B$9:$B$550)-ROW(Накл!$B$9)+1),ROW(D426)-ROW(A419)+1)),"")," ",IFERROR(INDEX(Накл!$C$9:$C$550,SMALL(IF(Накл!$B$9:$B$550=A419,ROW(Накл!$B$9:$B$550)-ROW(Накл!$B$9)+1),ROW(D427)-ROW(A419)+1)),"")," ",IFERROR(INDEX(Накл!$C$9:$C$550,SMALL(IF(Накл!$B$9:$B$550=A419,ROW(Накл!$B$9:$B$550)-ROW(Накл!$B$9)+1),ROW(D428)-ROW(A419)+1)),""))</f>
        <v xml:space="preserve">         </v>
      </c>
      <c r="E419" s="26" t="str">
        <f t="array" ref="E419">IF(LEN(D419)&lt;10,CONCATENATE(IFERROR(INDEX(Накл!$C$9:$C$550,SMALL(IF(Накл!$A$9:$A$550=VALUE(LEFT(A419,8)),ROW(Накл!$A$9:$A$550)-ROW(Накл!$A$9)+1),ROW(E419)-ROW(B419)+1)),"")," ",IFERROR(INDEX(Накл!$C$9:$C$550,SMALL(IF(Накл!$A$9:$A$550=VALUE(LEFT(A419,8)),ROW(Накл!$A$9:$A$550)-ROW(Накл!$A$9)+1),ROW(E420)-ROW(B419)+1)),"")," ",IFERROR(INDEX(Накл!$C$9:$C$550,SMALL(IF(Накл!$A$9:$A$550=VALUE(LEFT(A419,8)),ROW(Накл!$A$9:$A$550)-ROW(Накл!$A$9)+1),ROW(E421)-ROW(B419)+1)),"")," ",IFERROR(INDEX(Накл!$C$9:$C$550,SMALL(IF(Накл!$A$9:$A$550=VALUE(LEFT(A419,8)),ROW(Накл!$A$9:$A$550)-ROW(Накл!$A$9)+1),ROW(E422)-ROW(B419)+1)),"")),"")</f>
        <v xml:space="preserve">   </v>
      </c>
    </row>
    <row r="420" spans="1:5">
      <c r="A420" s="26" t="str">
        <f>IFERROR(CONCATENATE(VALUE(SUBSTITUTE(SUBSTITUTE(LEFT(Накл!G427,11),".",""),"-",""))," ",Накл!J427),"-")</f>
        <v>-</v>
      </c>
      <c r="B420" s="26" t="str">
        <f>IFERROR(VLOOKUP(VALUE(LEFT(A420,8)),Накл!$A$9:$D$550,4,0),"-")</f>
        <v>-</v>
      </c>
      <c r="C420" s="26">
        <f>Накл!J427</f>
        <v>0</v>
      </c>
      <c r="D420" s="33" t="str">
        <f t="array" ref="D420">CONCATENATE(IFERROR(INDEX(Накл!$C$9:$C$550,SMALL(IF(Накл!$B$9:$B$550=A420,ROW(Накл!$B$9:$B$550)-ROW(Накл!$B$9)+1),ROW(D420)-ROW(A420)+1)),"")," ",IFERROR(INDEX(Накл!$C$9:$C$550,SMALL(IF(Накл!$B$9:$B$550=A420,ROW(Накл!$B$9:$B$550)-ROW(Накл!$B$9)+1),ROW(D421)-ROW(A420)+1)),"")," ",IFERROR(INDEX(Накл!$C$9:$C$550,SMALL(IF(Накл!$B$9:$B$550=A420,ROW(Накл!$B$9:$B$550)-ROW(Накл!$B$9)+1),ROW(D422)-ROW(A420)+1)),"")," ",IFERROR(INDEX(Накл!$C$9:$C$550,SMALL(IF(Накл!$B$9:$B$550=A420,ROW(Накл!$B$9:$B$550)-ROW(Накл!$B$9)+1),ROW(D423)-ROW(A420)+1)),"")," ",IFERROR(INDEX(Накл!$C$9:$C$550,SMALL(IF(Накл!$B$9:$B$550=A420,ROW(Накл!$B$9:$B$550)-ROW(Накл!$B$9)+1),ROW(D424)-ROW(A420)+1)),"")," ",IFERROR(INDEX(Накл!$C$9:$C$550,SMALL(IF(Накл!$B$9:$B$550=A420,ROW(Накл!$B$9:$B$550)-ROW(Накл!$B$9)+1),ROW(D425)-ROW(A420)+1)),"")," ",IFERROR(INDEX(Накл!$C$9:$C$550,SMALL(IF(Накл!$B$9:$B$550=A420,ROW(Накл!$B$9:$B$550)-ROW(Накл!$B$9)+1),ROW(D426)-ROW(A420)+1)),"")," ",IFERROR(INDEX(Накл!$C$9:$C$550,SMALL(IF(Накл!$B$9:$B$550=A420,ROW(Накл!$B$9:$B$550)-ROW(Накл!$B$9)+1),ROW(D427)-ROW(A420)+1)),"")," ",IFERROR(INDEX(Накл!$C$9:$C$550,SMALL(IF(Накл!$B$9:$B$550=A420,ROW(Накл!$B$9:$B$550)-ROW(Накл!$B$9)+1),ROW(D428)-ROW(A420)+1)),"")," ",IFERROR(INDEX(Накл!$C$9:$C$550,SMALL(IF(Накл!$B$9:$B$550=A420,ROW(Накл!$B$9:$B$550)-ROW(Накл!$B$9)+1),ROW(D429)-ROW(A420)+1)),""))</f>
        <v xml:space="preserve">         </v>
      </c>
      <c r="E420" s="26" t="str">
        <f t="array" ref="E420">IF(LEN(D420)&lt;10,CONCATENATE(IFERROR(INDEX(Накл!$C$9:$C$550,SMALL(IF(Накл!$A$9:$A$550=VALUE(LEFT(A420,8)),ROW(Накл!$A$9:$A$550)-ROW(Накл!$A$9)+1),ROW(E420)-ROW(B420)+1)),"")," ",IFERROR(INDEX(Накл!$C$9:$C$550,SMALL(IF(Накл!$A$9:$A$550=VALUE(LEFT(A420,8)),ROW(Накл!$A$9:$A$550)-ROW(Накл!$A$9)+1),ROW(E421)-ROW(B420)+1)),"")," ",IFERROR(INDEX(Накл!$C$9:$C$550,SMALL(IF(Накл!$A$9:$A$550=VALUE(LEFT(A420,8)),ROW(Накл!$A$9:$A$550)-ROW(Накл!$A$9)+1),ROW(E422)-ROW(B420)+1)),"")," ",IFERROR(INDEX(Накл!$C$9:$C$550,SMALL(IF(Накл!$A$9:$A$550=VALUE(LEFT(A420,8)),ROW(Накл!$A$9:$A$550)-ROW(Накл!$A$9)+1),ROW(E423)-ROW(B420)+1)),"")),"")</f>
        <v xml:space="preserve">   </v>
      </c>
    </row>
    <row r="421" spans="1:5">
      <c r="A421" s="26" t="str">
        <f>IFERROR(CONCATENATE(VALUE(SUBSTITUTE(SUBSTITUTE(LEFT(Накл!G428,11),".",""),"-",""))," ",Накл!J428),"-")</f>
        <v>-</v>
      </c>
      <c r="B421" s="26" t="str">
        <f>IFERROR(VLOOKUP(VALUE(LEFT(A421,8)),Накл!$A$9:$D$550,4,0),"-")</f>
        <v>-</v>
      </c>
      <c r="C421" s="26">
        <f>Накл!J428</f>
        <v>0</v>
      </c>
      <c r="D421" s="33" t="str">
        <f t="array" ref="D421">CONCATENATE(IFERROR(INDEX(Накл!$C$9:$C$550,SMALL(IF(Накл!$B$9:$B$550=A421,ROW(Накл!$B$9:$B$550)-ROW(Накл!$B$9)+1),ROW(D421)-ROW(A421)+1)),"")," ",IFERROR(INDEX(Накл!$C$9:$C$550,SMALL(IF(Накл!$B$9:$B$550=A421,ROW(Накл!$B$9:$B$550)-ROW(Накл!$B$9)+1),ROW(D422)-ROW(A421)+1)),"")," ",IFERROR(INDEX(Накл!$C$9:$C$550,SMALL(IF(Накл!$B$9:$B$550=A421,ROW(Накл!$B$9:$B$550)-ROW(Накл!$B$9)+1),ROW(D423)-ROW(A421)+1)),"")," ",IFERROR(INDEX(Накл!$C$9:$C$550,SMALL(IF(Накл!$B$9:$B$550=A421,ROW(Накл!$B$9:$B$550)-ROW(Накл!$B$9)+1),ROW(D424)-ROW(A421)+1)),"")," ",IFERROR(INDEX(Накл!$C$9:$C$550,SMALL(IF(Накл!$B$9:$B$550=A421,ROW(Накл!$B$9:$B$550)-ROW(Накл!$B$9)+1),ROW(D425)-ROW(A421)+1)),"")," ",IFERROR(INDEX(Накл!$C$9:$C$550,SMALL(IF(Накл!$B$9:$B$550=A421,ROW(Накл!$B$9:$B$550)-ROW(Накл!$B$9)+1),ROW(D426)-ROW(A421)+1)),"")," ",IFERROR(INDEX(Накл!$C$9:$C$550,SMALL(IF(Накл!$B$9:$B$550=A421,ROW(Накл!$B$9:$B$550)-ROW(Накл!$B$9)+1),ROW(D427)-ROW(A421)+1)),"")," ",IFERROR(INDEX(Накл!$C$9:$C$550,SMALL(IF(Накл!$B$9:$B$550=A421,ROW(Накл!$B$9:$B$550)-ROW(Накл!$B$9)+1),ROW(D428)-ROW(A421)+1)),"")," ",IFERROR(INDEX(Накл!$C$9:$C$550,SMALL(IF(Накл!$B$9:$B$550=A421,ROW(Накл!$B$9:$B$550)-ROW(Накл!$B$9)+1),ROW(D429)-ROW(A421)+1)),"")," ",IFERROR(INDEX(Накл!$C$9:$C$550,SMALL(IF(Накл!$B$9:$B$550=A421,ROW(Накл!$B$9:$B$550)-ROW(Накл!$B$9)+1),ROW(D430)-ROW(A421)+1)),""))</f>
        <v xml:space="preserve">         </v>
      </c>
      <c r="E421" s="26" t="str">
        <f t="array" ref="E421">IF(LEN(D421)&lt;10,CONCATENATE(IFERROR(INDEX(Накл!$C$9:$C$550,SMALL(IF(Накл!$A$9:$A$550=VALUE(LEFT(A421,8)),ROW(Накл!$A$9:$A$550)-ROW(Накл!$A$9)+1),ROW(E421)-ROW(B421)+1)),"")," ",IFERROR(INDEX(Накл!$C$9:$C$550,SMALL(IF(Накл!$A$9:$A$550=VALUE(LEFT(A421,8)),ROW(Накл!$A$9:$A$550)-ROW(Накл!$A$9)+1),ROW(E422)-ROW(B421)+1)),"")," ",IFERROR(INDEX(Накл!$C$9:$C$550,SMALL(IF(Накл!$A$9:$A$550=VALUE(LEFT(A421,8)),ROW(Накл!$A$9:$A$550)-ROW(Накл!$A$9)+1),ROW(E423)-ROW(B421)+1)),"")," ",IFERROR(INDEX(Накл!$C$9:$C$550,SMALL(IF(Накл!$A$9:$A$550=VALUE(LEFT(A421,8)),ROW(Накл!$A$9:$A$550)-ROW(Накл!$A$9)+1),ROW(E424)-ROW(B421)+1)),"")),"")</f>
        <v xml:space="preserve">   </v>
      </c>
    </row>
    <row r="422" spans="1:5">
      <c r="A422" s="26" t="str">
        <f>IFERROR(CONCATENATE(VALUE(SUBSTITUTE(SUBSTITUTE(LEFT(Накл!G429,11),".",""),"-",""))," ",Накл!J429),"-")</f>
        <v>-</v>
      </c>
      <c r="B422" s="26" t="str">
        <f>IFERROR(VLOOKUP(VALUE(LEFT(A422,8)),Накл!$A$9:$D$550,4,0),"-")</f>
        <v>-</v>
      </c>
      <c r="C422" s="26">
        <f>Накл!J429</f>
        <v>0</v>
      </c>
      <c r="D422" s="33" t="str">
        <f t="array" ref="D422">CONCATENATE(IFERROR(INDEX(Накл!$C$9:$C$550,SMALL(IF(Накл!$B$9:$B$550=A422,ROW(Накл!$B$9:$B$550)-ROW(Накл!$B$9)+1),ROW(D422)-ROW(A422)+1)),"")," ",IFERROR(INDEX(Накл!$C$9:$C$550,SMALL(IF(Накл!$B$9:$B$550=A422,ROW(Накл!$B$9:$B$550)-ROW(Накл!$B$9)+1),ROW(D423)-ROW(A422)+1)),"")," ",IFERROR(INDEX(Накл!$C$9:$C$550,SMALL(IF(Накл!$B$9:$B$550=A422,ROW(Накл!$B$9:$B$550)-ROW(Накл!$B$9)+1),ROW(D424)-ROW(A422)+1)),"")," ",IFERROR(INDEX(Накл!$C$9:$C$550,SMALL(IF(Накл!$B$9:$B$550=A422,ROW(Накл!$B$9:$B$550)-ROW(Накл!$B$9)+1),ROW(D425)-ROW(A422)+1)),"")," ",IFERROR(INDEX(Накл!$C$9:$C$550,SMALL(IF(Накл!$B$9:$B$550=A422,ROW(Накл!$B$9:$B$550)-ROW(Накл!$B$9)+1),ROW(D426)-ROW(A422)+1)),"")," ",IFERROR(INDEX(Накл!$C$9:$C$550,SMALL(IF(Накл!$B$9:$B$550=A422,ROW(Накл!$B$9:$B$550)-ROW(Накл!$B$9)+1),ROW(D427)-ROW(A422)+1)),"")," ",IFERROR(INDEX(Накл!$C$9:$C$550,SMALL(IF(Накл!$B$9:$B$550=A422,ROW(Накл!$B$9:$B$550)-ROW(Накл!$B$9)+1),ROW(D428)-ROW(A422)+1)),"")," ",IFERROR(INDEX(Накл!$C$9:$C$550,SMALL(IF(Накл!$B$9:$B$550=A422,ROW(Накл!$B$9:$B$550)-ROW(Накл!$B$9)+1),ROW(D429)-ROW(A422)+1)),"")," ",IFERROR(INDEX(Накл!$C$9:$C$550,SMALL(IF(Накл!$B$9:$B$550=A422,ROW(Накл!$B$9:$B$550)-ROW(Накл!$B$9)+1),ROW(D430)-ROW(A422)+1)),"")," ",IFERROR(INDEX(Накл!$C$9:$C$550,SMALL(IF(Накл!$B$9:$B$550=A422,ROW(Накл!$B$9:$B$550)-ROW(Накл!$B$9)+1),ROW(D431)-ROW(A422)+1)),""))</f>
        <v xml:space="preserve">         </v>
      </c>
      <c r="E422" s="26" t="str">
        <f t="array" ref="E422">IF(LEN(D422)&lt;10,CONCATENATE(IFERROR(INDEX(Накл!$C$9:$C$550,SMALL(IF(Накл!$A$9:$A$550=VALUE(LEFT(A422,8)),ROW(Накл!$A$9:$A$550)-ROW(Накл!$A$9)+1),ROW(E422)-ROW(B422)+1)),"")," ",IFERROR(INDEX(Накл!$C$9:$C$550,SMALL(IF(Накл!$A$9:$A$550=VALUE(LEFT(A422,8)),ROW(Накл!$A$9:$A$550)-ROW(Накл!$A$9)+1),ROW(E423)-ROW(B422)+1)),"")," ",IFERROR(INDEX(Накл!$C$9:$C$550,SMALL(IF(Накл!$A$9:$A$550=VALUE(LEFT(A422,8)),ROW(Накл!$A$9:$A$550)-ROW(Накл!$A$9)+1),ROW(E424)-ROW(B422)+1)),"")," ",IFERROR(INDEX(Накл!$C$9:$C$550,SMALL(IF(Накл!$A$9:$A$550=VALUE(LEFT(A422,8)),ROW(Накл!$A$9:$A$550)-ROW(Накл!$A$9)+1),ROW(E425)-ROW(B422)+1)),"")),"")</f>
        <v xml:space="preserve">   </v>
      </c>
    </row>
    <row r="423" spans="1:5">
      <c r="A423" s="26" t="str">
        <f>IFERROR(CONCATENATE(VALUE(SUBSTITUTE(SUBSTITUTE(LEFT(Накл!G430,11),".",""),"-",""))," ",Накл!J430),"-")</f>
        <v>-</v>
      </c>
      <c r="B423" s="26" t="str">
        <f>IFERROR(VLOOKUP(VALUE(LEFT(A423,8)),Накл!$A$9:$D$550,4,0),"-")</f>
        <v>-</v>
      </c>
      <c r="C423" s="26">
        <f>Накл!J430</f>
        <v>0</v>
      </c>
      <c r="D423" s="33" t="str">
        <f t="array" ref="D423">CONCATENATE(IFERROR(INDEX(Накл!$C$9:$C$550,SMALL(IF(Накл!$B$9:$B$550=A423,ROW(Накл!$B$9:$B$550)-ROW(Накл!$B$9)+1),ROW(D423)-ROW(A423)+1)),"")," ",IFERROR(INDEX(Накл!$C$9:$C$550,SMALL(IF(Накл!$B$9:$B$550=A423,ROW(Накл!$B$9:$B$550)-ROW(Накл!$B$9)+1),ROW(D424)-ROW(A423)+1)),"")," ",IFERROR(INDEX(Накл!$C$9:$C$550,SMALL(IF(Накл!$B$9:$B$550=A423,ROW(Накл!$B$9:$B$550)-ROW(Накл!$B$9)+1),ROW(D425)-ROW(A423)+1)),"")," ",IFERROR(INDEX(Накл!$C$9:$C$550,SMALL(IF(Накл!$B$9:$B$550=A423,ROW(Накл!$B$9:$B$550)-ROW(Накл!$B$9)+1),ROW(D426)-ROW(A423)+1)),"")," ",IFERROR(INDEX(Накл!$C$9:$C$550,SMALL(IF(Накл!$B$9:$B$550=A423,ROW(Накл!$B$9:$B$550)-ROW(Накл!$B$9)+1),ROW(D427)-ROW(A423)+1)),"")," ",IFERROR(INDEX(Накл!$C$9:$C$550,SMALL(IF(Накл!$B$9:$B$550=A423,ROW(Накл!$B$9:$B$550)-ROW(Накл!$B$9)+1),ROW(D428)-ROW(A423)+1)),"")," ",IFERROR(INDEX(Накл!$C$9:$C$550,SMALL(IF(Накл!$B$9:$B$550=A423,ROW(Накл!$B$9:$B$550)-ROW(Накл!$B$9)+1),ROW(D429)-ROW(A423)+1)),"")," ",IFERROR(INDEX(Накл!$C$9:$C$550,SMALL(IF(Накл!$B$9:$B$550=A423,ROW(Накл!$B$9:$B$550)-ROW(Накл!$B$9)+1),ROW(D430)-ROW(A423)+1)),"")," ",IFERROR(INDEX(Накл!$C$9:$C$550,SMALL(IF(Накл!$B$9:$B$550=A423,ROW(Накл!$B$9:$B$550)-ROW(Накл!$B$9)+1),ROW(D431)-ROW(A423)+1)),"")," ",IFERROR(INDEX(Накл!$C$9:$C$550,SMALL(IF(Накл!$B$9:$B$550=A423,ROW(Накл!$B$9:$B$550)-ROW(Накл!$B$9)+1),ROW(D432)-ROW(A423)+1)),""))</f>
        <v xml:space="preserve">         </v>
      </c>
      <c r="E423" s="26" t="str">
        <f t="array" ref="E423">IF(LEN(D423)&lt;10,CONCATENATE(IFERROR(INDEX(Накл!$C$9:$C$550,SMALL(IF(Накл!$A$9:$A$550=VALUE(LEFT(A423,8)),ROW(Накл!$A$9:$A$550)-ROW(Накл!$A$9)+1),ROW(E423)-ROW(B423)+1)),"")," ",IFERROR(INDEX(Накл!$C$9:$C$550,SMALL(IF(Накл!$A$9:$A$550=VALUE(LEFT(A423,8)),ROW(Накл!$A$9:$A$550)-ROW(Накл!$A$9)+1),ROW(E424)-ROW(B423)+1)),"")," ",IFERROR(INDEX(Накл!$C$9:$C$550,SMALL(IF(Накл!$A$9:$A$550=VALUE(LEFT(A423,8)),ROW(Накл!$A$9:$A$550)-ROW(Накл!$A$9)+1),ROW(E425)-ROW(B423)+1)),"")," ",IFERROR(INDEX(Накл!$C$9:$C$550,SMALL(IF(Накл!$A$9:$A$550=VALUE(LEFT(A423,8)),ROW(Накл!$A$9:$A$550)-ROW(Накл!$A$9)+1),ROW(E426)-ROW(B423)+1)),"")),"")</f>
        <v xml:space="preserve">   </v>
      </c>
    </row>
    <row r="424" spans="1:5">
      <c r="A424" s="26" t="str">
        <f>IFERROR(CONCATENATE(VALUE(SUBSTITUTE(SUBSTITUTE(LEFT(Накл!G431,11),".",""),"-",""))," ",Накл!J431),"-")</f>
        <v>-</v>
      </c>
      <c r="B424" s="26" t="str">
        <f>IFERROR(VLOOKUP(VALUE(LEFT(A424,8)),Накл!$A$9:$D$550,4,0),"-")</f>
        <v>-</v>
      </c>
      <c r="C424" s="26">
        <f>Накл!J431</f>
        <v>0</v>
      </c>
      <c r="D424" s="33" t="str">
        <f t="array" ref="D424">CONCATENATE(IFERROR(INDEX(Накл!$C$9:$C$550,SMALL(IF(Накл!$B$9:$B$550=A424,ROW(Накл!$B$9:$B$550)-ROW(Накл!$B$9)+1),ROW(D424)-ROW(A424)+1)),"")," ",IFERROR(INDEX(Накл!$C$9:$C$550,SMALL(IF(Накл!$B$9:$B$550=A424,ROW(Накл!$B$9:$B$550)-ROW(Накл!$B$9)+1),ROW(D425)-ROW(A424)+1)),"")," ",IFERROR(INDEX(Накл!$C$9:$C$550,SMALL(IF(Накл!$B$9:$B$550=A424,ROW(Накл!$B$9:$B$550)-ROW(Накл!$B$9)+1),ROW(D426)-ROW(A424)+1)),"")," ",IFERROR(INDEX(Накл!$C$9:$C$550,SMALL(IF(Накл!$B$9:$B$550=A424,ROW(Накл!$B$9:$B$550)-ROW(Накл!$B$9)+1),ROW(D427)-ROW(A424)+1)),"")," ",IFERROR(INDEX(Накл!$C$9:$C$550,SMALL(IF(Накл!$B$9:$B$550=A424,ROW(Накл!$B$9:$B$550)-ROW(Накл!$B$9)+1),ROW(D428)-ROW(A424)+1)),"")," ",IFERROR(INDEX(Накл!$C$9:$C$550,SMALL(IF(Накл!$B$9:$B$550=A424,ROW(Накл!$B$9:$B$550)-ROW(Накл!$B$9)+1),ROW(D429)-ROW(A424)+1)),"")," ",IFERROR(INDEX(Накл!$C$9:$C$550,SMALL(IF(Накл!$B$9:$B$550=A424,ROW(Накл!$B$9:$B$550)-ROW(Накл!$B$9)+1),ROW(D430)-ROW(A424)+1)),"")," ",IFERROR(INDEX(Накл!$C$9:$C$550,SMALL(IF(Накл!$B$9:$B$550=A424,ROW(Накл!$B$9:$B$550)-ROW(Накл!$B$9)+1),ROW(D431)-ROW(A424)+1)),"")," ",IFERROR(INDEX(Накл!$C$9:$C$550,SMALL(IF(Накл!$B$9:$B$550=A424,ROW(Накл!$B$9:$B$550)-ROW(Накл!$B$9)+1),ROW(D432)-ROW(A424)+1)),"")," ",IFERROR(INDEX(Накл!$C$9:$C$550,SMALL(IF(Накл!$B$9:$B$550=A424,ROW(Накл!$B$9:$B$550)-ROW(Накл!$B$9)+1),ROW(D433)-ROW(A424)+1)),""))</f>
        <v xml:space="preserve">         </v>
      </c>
      <c r="E424" s="26" t="str">
        <f t="array" ref="E424">IF(LEN(D424)&lt;10,CONCATENATE(IFERROR(INDEX(Накл!$C$9:$C$550,SMALL(IF(Накл!$A$9:$A$550=VALUE(LEFT(A424,8)),ROW(Накл!$A$9:$A$550)-ROW(Накл!$A$9)+1),ROW(E424)-ROW(B424)+1)),"")," ",IFERROR(INDEX(Накл!$C$9:$C$550,SMALL(IF(Накл!$A$9:$A$550=VALUE(LEFT(A424,8)),ROW(Накл!$A$9:$A$550)-ROW(Накл!$A$9)+1),ROW(E425)-ROW(B424)+1)),"")," ",IFERROR(INDEX(Накл!$C$9:$C$550,SMALL(IF(Накл!$A$9:$A$550=VALUE(LEFT(A424,8)),ROW(Накл!$A$9:$A$550)-ROW(Накл!$A$9)+1),ROW(E426)-ROW(B424)+1)),"")," ",IFERROR(INDEX(Накл!$C$9:$C$550,SMALL(IF(Накл!$A$9:$A$550=VALUE(LEFT(A424,8)),ROW(Накл!$A$9:$A$550)-ROW(Накл!$A$9)+1),ROW(E427)-ROW(B424)+1)),"")),"")</f>
        <v xml:space="preserve">   </v>
      </c>
    </row>
    <row r="425" spans="1:5">
      <c r="A425" s="26" t="str">
        <f>IFERROR(CONCATENATE(VALUE(SUBSTITUTE(SUBSTITUTE(LEFT(Накл!G432,11),".",""),"-",""))," ",Накл!J432),"-")</f>
        <v>-</v>
      </c>
      <c r="B425" s="26" t="str">
        <f>IFERROR(VLOOKUP(VALUE(LEFT(A425,8)),Накл!$A$9:$D$550,4,0),"-")</f>
        <v>-</v>
      </c>
      <c r="C425" s="26">
        <f>Накл!J432</f>
        <v>0</v>
      </c>
      <c r="D425" s="33" t="str">
        <f t="array" ref="D425">CONCATENATE(IFERROR(INDEX(Накл!$C$9:$C$550,SMALL(IF(Накл!$B$9:$B$550=A425,ROW(Накл!$B$9:$B$550)-ROW(Накл!$B$9)+1),ROW(D425)-ROW(A425)+1)),"")," ",IFERROR(INDEX(Накл!$C$9:$C$550,SMALL(IF(Накл!$B$9:$B$550=A425,ROW(Накл!$B$9:$B$550)-ROW(Накл!$B$9)+1),ROW(D426)-ROW(A425)+1)),"")," ",IFERROR(INDEX(Накл!$C$9:$C$550,SMALL(IF(Накл!$B$9:$B$550=A425,ROW(Накл!$B$9:$B$550)-ROW(Накл!$B$9)+1),ROW(D427)-ROW(A425)+1)),"")," ",IFERROR(INDEX(Накл!$C$9:$C$550,SMALL(IF(Накл!$B$9:$B$550=A425,ROW(Накл!$B$9:$B$550)-ROW(Накл!$B$9)+1),ROW(D428)-ROW(A425)+1)),"")," ",IFERROR(INDEX(Накл!$C$9:$C$550,SMALL(IF(Накл!$B$9:$B$550=A425,ROW(Накл!$B$9:$B$550)-ROW(Накл!$B$9)+1),ROW(D429)-ROW(A425)+1)),"")," ",IFERROR(INDEX(Накл!$C$9:$C$550,SMALL(IF(Накл!$B$9:$B$550=A425,ROW(Накл!$B$9:$B$550)-ROW(Накл!$B$9)+1),ROW(D430)-ROW(A425)+1)),"")," ",IFERROR(INDEX(Накл!$C$9:$C$550,SMALL(IF(Накл!$B$9:$B$550=A425,ROW(Накл!$B$9:$B$550)-ROW(Накл!$B$9)+1),ROW(D431)-ROW(A425)+1)),"")," ",IFERROR(INDEX(Накл!$C$9:$C$550,SMALL(IF(Накл!$B$9:$B$550=A425,ROW(Накл!$B$9:$B$550)-ROW(Накл!$B$9)+1),ROW(D432)-ROW(A425)+1)),"")," ",IFERROR(INDEX(Накл!$C$9:$C$550,SMALL(IF(Накл!$B$9:$B$550=A425,ROW(Накл!$B$9:$B$550)-ROW(Накл!$B$9)+1),ROW(D433)-ROW(A425)+1)),"")," ",IFERROR(INDEX(Накл!$C$9:$C$550,SMALL(IF(Накл!$B$9:$B$550=A425,ROW(Накл!$B$9:$B$550)-ROW(Накл!$B$9)+1),ROW(D434)-ROW(A425)+1)),""))</f>
        <v xml:space="preserve">         </v>
      </c>
      <c r="E425" s="26" t="str">
        <f t="array" ref="E425">IF(LEN(D425)&lt;10,CONCATENATE(IFERROR(INDEX(Накл!$C$9:$C$550,SMALL(IF(Накл!$A$9:$A$550=VALUE(LEFT(A425,8)),ROW(Накл!$A$9:$A$550)-ROW(Накл!$A$9)+1),ROW(E425)-ROW(B425)+1)),"")," ",IFERROR(INDEX(Накл!$C$9:$C$550,SMALL(IF(Накл!$A$9:$A$550=VALUE(LEFT(A425,8)),ROW(Накл!$A$9:$A$550)-ROW(Накл!$A$9)+1),ROW(E426)-ROW(B425)+1)),"")," ",IFERROR(INDEX(Накл!$C$9:$C$550,SMALL(IF(Накл!$A$9:$A$550=VALUE(LEFT(A425,8)),ROW(Накл!$A$9:$A$550)-ROW(Накл!$A$9)+1),ROW(E427)-ROW(B425)+1)),"")," ",IFERROR(INDEX(Накл!$C$9:$C$550,SMALL(IF(Накл!$A$9:$A$550=VALUE(LEFT(A425,8)),ROW(Накл!$A$9:$A$550)-ROW(Накл!$A$9)+1),ROW(E428)-ROW(B425)+1)),"")),"")</f>
        <v xml:space="preserve">   </v>
      </c>
    </row>
    <row r="426" spans="1:5">
      <c r="A426" s="26" t="str">
        <f>IFERROR(CONCATENATE(VALUE(SUBSTITUTE(SUBSTITUTE(LEFT(Накл!G433,11),".",""),"-",""))," ",Накл!J433),"-")</f>
        <v>-</v>
      </c>
      <c r="B426" s="26" t="str">
        <f>IFERROR(VLOOKUP(VALUE(LEFT(A426,8)),Накл!$A$9:$D$550,4,0),"-")</f>
        <v>-</v>
      </c>
      <c r="C426" s="26">
        <f>Накл!J433</f>
        <v>0</v>
      </c>
      <c r="D426" s="33" t="str">
        <f t="array" ref="D426">CONCATENATE(IFERROR(INDEX(Накл!$C$9:$C$550,SMALL(IF(Накл!$B$9:$B$550=A426,ROW(Накл!$B$9:$B$550)-ROW(Накл!$B$9)+1),ROW(D426)-ROW(A426)+1)),"")," ",IFERROR(INDEX(Накл!$C$9:$C$550,SMALL(IF(Накл!$B$9:$B$550=A426,ROW(Накл!$B$9:$B$550)-ROW(Накл!$B$9)+1),ROW(D427)-ROW(A426)+1)),"")," ",IFERROR(INDEX(Накл!$C$9:$C$550,SMALL(IF(Накл!$B$9:$B$550=A426,ROW(Накл!$B$9:$B$550)-ROW(Накл!$B$9)+1),ROW(D428)-ROW(A426)+1)),"")," ",IFERROR(INDEX(Накл!$C$9:$C$550,SMALL(IF(Накл!$B$9:$B$550=A426,ROW(Накл!$B$9:$B$550)-ROW(Накл!$B$9)+1),ROW(D429)-ROW(A426)+1)),"")," ",IFERROR(INDEX(Накл!$C$9:$C$550,SMALL(IF(Накл!$B$9:$B$550=A426,ROW(Накл!$B$9:$B$550)-ROW(Накл!$B$9)+1),ROW(D430)-ROW(A426)+1)),"")," ",IFERROR(INDEX(Накл!$C$9:$C$550,SMALL(IF(Накл!$B$9:$B$550=A426,ROW(Накл!$B$9:$B$550)-ROW(Накл!$B$9)+1),ROW(D431)-ROW(A426)+1)),"")," ",IFERROR(INDEX(Накл!$C$9:$C$550,SMALL(IF(Накл!$B$9:$B$550=A426,ROW(Накл!$B$9:$B$550)-ROW(Накл!$B$9)+1),ROW(D432)-ROW(A426)+1)),"")," ",IFERROR(INDEX(Накл!$C$9:$C$550,SMALL(IF(Накл!$B$9:$B$550=A426,ROW(Накл!$B$9:$B$550)-ROW(Накл!$B$9)+1),ROW(D433)-ROW(A426)+1)),"")," ",IFERROR(INDEX(Накл!$C$9:$C$550,SMALL(IF(Накл!$B$9:$B$550=A426,ROW(Накл!$B$9:$B$550)-ROW(Накл!$B$9)+1),ROW(D434)-ROW(A426)+1)),"")," ",IFERROR(INDEX(Накл!$C$9:$C$550,SMALL(IF(Накл!$B$9:$B$550=A426,ROW(Накл!$B$9:$B$550)-ROW(Накл!$B$9)+1),ROW(D435)-ROW(A426)+1)),""))</f>
        <v xml:space="preserve">         </v>
      </c>
      <c r="E426" s="26" t="str">
        <f t="array" ref="E426">IF(LEN(D426)&lt;10,CONCATENATE(IFERROR(INDEX(Накл!$C$9:$C$550,SMALL(IF(Накл!$A$9:$A$550=VALUE(LEFT(A426,8)),ROW(Накл!$A$9:$A$550)-ROW(Накл!$A$9)+1),ROW(E426)-ROW(B426)+1)),"")," ",IFERROR(INDEX(Накл!$C$9:$C$550,SMALL(IF(Накл!$A$9:$A$550=VALUE(LEFT(A426,8)),ROW(Накл!$A$9:$A$550)-ROW(Накл!$A$9)+1),ROW(E427)-ROW(B426)+1)),"")," ",IFERROR(INDEX(Накл!$C$9:$C$550,SMALL(IF(Накл!$A$9:$A$550=VALUE(LEFT(A426,8)),ROW(Накл!$A$9:$A$550)-ROW(Накл!$A$9)+1),ROW(E428)-ROW(B426)+1)),"")," ",IFERROR(INDEX(Накл!$C$9:$C$550,SMALL(IF(Накл!$A$9:$A$550=VALUE(LEFT(A426,8)),ROW(Накл!$A$9:$A$550)-ROW(Накл!$A$9)+1),ROW(E429)-ROW(B426)+1)),"")),"")</f>
        <v xml:space="preserve">   </v>
      </c>
    </row>
    <row r="427" spans="1:5">
      <c r="A427" s="26" t="str">
        <f>IFERROR(CONCATENATE(VALUE(SUBSTITUTE(SUBSTITUTE(LEFT(Накл!G434,11),".",""),"-",""))," ",Накл!J434),"-")</f>
        <v>-</v>
      </c>
      <c r="B427" s="26" t="str">
        <f>IFERROR(VLOOKUP(VALUE(LEFT(A427,8)),Накл!$A$9:$D$550,4,0),"-")</f>
        <v>-</v>
      </c>
      <c r="C427" s="26">
        <f>Накл!J434</f>
        <v>0</v>
      </c>
      <c r="D427" s="33" t="str">
        <f t="array" ref="D427">CONCATENATE(IFERROR(INDEX(Накл!$C$9:$C$550,SMALL(IF(Накл!$B$9:$B$550=A427,ROW(Накл!$B$9:$B$550)-ROW(Накл!$B$9)+1),ROW(D427)-ROW(A427)+1)),"")," ",IFERROR(INDEX(Накл!$C$9:$C$550,SMALL(IF(Накл!$B$9:$B$550=A427,ROW(Накл!$B$9:$B$550)-ROW(Накл!$B$9)+1),ROW(D428)-ROW(A427)+1)),"")," ",IFERROR(INDEX(Накл!$C$9:$C$550,SMALL(IF(Накл!$B$9:$B$550=A427,ROW(Накл!$B$9:$B$550)-ROW(Накл!$B$9)+1),ROW(D429)-ROW(A427)+1)),"")," ",IFERROR(INDEX(Накл!$C$9:$C$550,SMALL(IF(Накл!$B$9:$B$550=A427,ROW(Накл!$B$9:$B$550)-ROW(Накл!$B$9)+1),ROW(D430)-ROW(A427)+1)),"")," ",IFERROR(INDEX(Накл!$C$9:$C$550,SMALL(IF(Накл!$B$9:$B$550=A427,ROW(Накл!$B$9:$B$550)-ROW(Накл!$B$9)+1),ROW(D431)-ROW(A427)+1)),"")," ",IFERROR(INDEX(Накл!$C$9:$C$550,SMALL(IF(Накл!$B$9:$B$550=A427,ROW(Накл!$B$9:$B$550)-ROW(Накл!$B$9)+1),ROW(D432)-ROW(A427)+1)),"")," ",IFERROR(INDEX(Накл!$C$9:$C$550,SMALL(IF(Накл!$B$9:$B$550=A427,ROW(Накл!$B$9:$B$550)-ROW(Накл!$B$9)+1),ROW(D433)-ROW(A427)+1)),"")," ",IFERROR(INDEX(Накл!$C$9:$C$550,SMALL(IF(Накл!$B$9:$B$550=A427,ROW(Накл!$B$9:$B$550)-ROW(Накл!$B$9)+1),ROW(D434)-ROW(A427)+1)),"")," ",IFERROR(INDEX(Накл!$C$9:$C$550,SMALL(IF(Накл!$B$9:$B$550=A427,ROW(Накл!$B$9:$B$550)-ROW(Накл!$B$9)+1),ROW(D435)-ROW(A427)+1)),"")," ",IFERROR(INDEX(Накл!$C$9:$C$550,SMALL(IF(Накл!$B$9:$B$550=A427,ROW(Накл!$B$9:$B$550)-ROW(Накл!$B$9)+1),ROW(D436)-ROW(A427)+1)),""))</f>
        <v xml:space="preserve">         </v>
      </c>
      <c r="E427" s="26" t="str">
        <f t="array" ref="E427">IF(LEN(D427)&lt;10,CONCATENATE(IFERROR(INDEX(Накл!$C$9:$C$550,SMALL(IF(Накл!$A$9:$A$550=VALUE(LEFT(A427,8)),ROW(Накл!$A$9:$A$550)-ROW(Накл!$A$9)+1),ROW(E427)-ROW(B427)+1)),"")," ",IFERROR(INDEX(Накл!$C$9:$C$550,SMALL(IF(Накл!$A$9:$A$550=VALUE(LEFT(A427,8)),ROW(Накл!$A$9:$A$550)-ROW(Накл!$A$9)+1),ROW(E428)-ROW(B427)+1)),"")," ",IFERROR(INDEX(Накл!$C$9:$C$550,SMALL(IF(Накл!$A$9:$A$550=VALUE(LEFT(A427,8)),ROW(Накл!$A$9:$A$550)-ROW(Накл!$A$9)+1),ROW(E429)-ROW(B427)+1)),"")," ",IFERROR(INDEX(Накл!$C$9:$C$550,SMALL(IF(Накл!$A$9:$A$550=VALUE(LEFT(A427,8)),ROW(Накл!$A$9:$A$550)-ROW(Накл!$A$9)+1),ROW(E430)-ROW(B427)+1)),"")),"")</f>
        <v xml:space="preserve">   </v>
      </c>
    </row>
    <row r="428" spans="1:5">
      <c r="A428" s="26" t="str">
        <f>IFERROR(CONCATENATE(VALUE(SUBSTITUTE(SUBSTITUTE(LEFT(Накл!G435,11),".",""),"-",""))," ",Накл!J435),"-")</f>
        <v>-</v>
      </c>
      <c r="B428" s="26" t="str">
        <f>IFERROR(VLOOKUP(VALUE(LEFT(A428,8)),Накл!$A$9:$D$550,4,0),"-")</f>
        <v>-</v>
      </c>
      <c r="C428" s="26">
        <f>Накл!J435</f>
        <v>0</v>
      </c>
      <c r="D428" s="33" t="str">
        <f t="array" ref="D428">CONCATENATE(IFERROR(INDEX(Накл!$C$9:$C$550,SMALL(IF(Накл!$B$9:$B$550=A428,ROW(Накл!$B$9:$B$550)-ROW(Накл!$B$9)+1),ROW(D428)-ROW(A428)+1)),"")," ",IFERROR(INDEX(Накл!$C$9:$C$550,SMALL(IF(Накл!$B$9:$B$550=A428,ROW(Накл!$B$9:$B$550)-ROW(Накл!$B$9)+1),ROW(D429)-ROW(A428)+1)),"")," ",IFERROR(INDEX(Накл!$C$9:$C$550,SMALL(IF(Накл!$B$9:$B$550=A428,ROW(Накл!$B$9:$B$550)-ROW(Накл!$B$9)+1),ROW(D430)-ROW(A428)+1)),"")," ",IFERROR(INDEX(Накл!$C$9:$C$550,SMALL(IF(Накл!$B$9:$B$550=A428,ROW(Накл!$B$9:$B$550)-ROW(Накл!$B$9)+1),ROW(D431)-ROW(A428)+1)),"")," ",IFERROR(INDEX(Накл!$C$9:$C$550,SMALL(IF(Накл!$B$9:$B$550=A428,ROW(Накл!$B$9:$B$550)-ROW(Накл!$B$9)+1),ROW(D432)-ROW(A428)+1)),"")," ",IFERROR(INDEX(Накл!$C$9:$C$550,SMALL(IF(Накл!$B$9:$B$550=A428,ROW(Накл!$B$9:$B$550)-ROW(Накл!$B$9)+1),ROW(D433)-ROW(A428)+1)),"")," ",IFERROR(INDEX(Накл!$C$9:$C$550,SMALL(IF(Накл!$B$9:$B$550=A428,ROW(Накл!$B$9:$B$550)-ROW(Накл!$B$9)+1),ROW(D434)-ROW(A428)+1)),"")," ",IFERROR(INDEX(Накл!$C$9:$C$550,SMALL(IF(Накл!$B$9:$B$550=A428,ROW(Накл!$B$9:$B$550)-ROW(Накл!$B$9)+1),ROW(D435)-ROW(A428)+1)),"")," ",IFERROR(INDEX(Накл!$C$9:$C$550,SMALL(IF(Накл!$B$9:$B$550=A428,ROW(Накл!$B$9:$B$550)-ROW(Накл!$B$9)+1),ROW(D436)-ROW(A428)+1)),"")," ",IFERROR(INDEX(Накл!$C$9:$C$550,SMALL(IF(Накл!$B$9:$B$550=A428,ROW(Накл!$B$9:$B$550)-ROW(Накл!$B$9)+1),ROW(D437)-ROW(A428)+1)),""))</f>
        <v xml:space="preserve">         </v>
      </c>
      <c r="E428" s="26" t="str">
        <f t="array" ref="E428">IF(LEN(D428)&lt;10,CONCATENATE(IFERROR(INDEX(Накл!$C$9:$C$550,SMALL(IF(Накл!$A$9:$A$550=VALUE(LEFT(A428,8)),ROW(Накл!$A$9:$A$550)-ROW(Накл!$A$9)+1),ROW(E428)-ROW(B428)+1)),"")," ",IFERROR(INDEX(Накл!$C$9:$C$550,SMALL(IF(Накл!$A$9:$A$550=VALUE(LEFT(A428,8)),ROW(Накл!$A$9:$A$550)-ROW(Накл!$A$9)+1),ROW(E429)-ROW(B428)+1)),"")," ",IFERROR(INDEX(Накл!$C$9:$C$550,SMALL(IF(Накл!$A$9:$A$550=VALUE(LEFT(A428,8)),ROW(Накл!$A$9:$A$550)-ROW(Накл!$A$9)+1),ROW(E430)-ROW(B428)+1)),"")," ",IFERROR(INDEX(Накл!$C$9:$C$550,SMALL(IF(Накл!$A$9:$A$550=VALUE(LEFT(A428,8)),ROW(Накл!$A$9:$A$550)-ROW(Накл!$A$9)+1),ROW(E431)-ROW(B428)+1)),"")),"")</f>
        <v xml:space="preserve">   </v>
      </c>
    </row>
    <row r="429" spans="1:5">
      <c r="A429" s="26" t="str">
        <f>IFERROR(CONCATENATE(VALUE(SUBSTITUTE(SUBSTITUTE(LEFT(Накл!G436,11),".",""),"-",""))," ",Накл!J436),"-")</f>
        <v>-</v>
      </c>
      <c r="B429" s="26" t="str">
        <f>IFERROR(VLOOKUP(VALUE(LEFT(A429,8)),Накл!$A$9:$D$550,4,0),"-")</f>
        <v>-</v>
      </c>
      <c r="C429" s="26">
        <f>Накл!J436</f>
        <v>0</v>
      </c>
      <c r="D429" s="33" t="str">
        <f t="array" ref="D429">CONCATENATE(IFERROR(INDEX(Накл!$C$9:$C$550,SMALL(IF(Накл!$B$9:$B$550=A429,ROW(Накл!$B$9:$B$550)-ROW(Накл!$B$9)+1),ROW(D429)-ROW(A429)+1)),"")," ",IFERROR(INDEX(Накл!$C$9:$C$550,SMALL(IF(Накл!$B$9:$B$550=A429,ROW(Накл!$B$9:$B$550)-ROW(Накл!$B$9)+1),ROW(D430)-ROW(A429)+1)),"")," ",IFERROR(INDEX(Накл!$C$9:$C$550,SMALL(IF(Накл!$B$9:$B$550=A429,ROW(Накл!$B$9:$B$550)-ROW(Накл!$B$9)+1),ROW(D431)-ROW(A429)+1)),"")," ",IFERROR(INDEX(Накл!$C$9:$C$550,SMALL(IF(Накл!$B$9:$B$550=A429,ROW(Накл!$B$9:$B$550)-ROW(Накл!$B$9)+1),ROW(D432)-ROW(A429)+1)),"")," ",IFERROR(INDEX(Накл!$C$9:$C$550,SMALL(IF(Накл!$B$9:$B$550=A429,ROW(Накл!$B$9:$B$550)-ROW(Накл!$B$9)+1),ROW(D433)-ROW(A429)+1)),"")," ",IFERROR(INDEX(Накл!$C$9:$C$550,SMALL(IF(Накл!$B$9:$B$550=A429,ROW(Накл!$B$9:$B$550)-ROW(Накл!$B$9)+1),ROW(D434)-ROW(A429)+1)),"")," ",IFERROR(INDEX(Накл!$C$9:$C$550,SMALL(IF(Накл!$B$9:$B$550=A429,ROW(Накл!$B$9:$B$550)-ROW(Накл!$B$9)+1),ROW(D435)-ROW(A429)+1)),"")," ",IFERROR(INDEX(Накл!$C$9:$C$550,SMALL(IF(Накл!$B$9:$B$550=A429,ROW(Накл!$B$9:$B$550)-ROW(Накл!$B$9)+1),ROW(D436)-ROW(A429)+1)),"")," ",IFERROR(INDEX(Накл!$C$9:$C$550,SMALL(IF(Накл!$B$9:$B$550=A429,ROW(Накл!$B$9:$B$550)-ROW(Накл!$B$9)+1),ROW(D437)-ROW(A429)+1)),"")," ",IFERROR(INDEX(Накл!$C$9:$C$550,SMALL(IF(Накл!$B$9:$B$550=A429,ROW(Накл!$B$9:$B$550)-ROW(Накл!$B$9)+1),ROW(D438)-ROW(A429)+1)),""))</f>
        <v xml:space="preserve">         </v>
      </c>
      <c r="E429" s="26" t="str">
        <f t="array" ref="E429">IF(LEN(D429)&lt;10,CONCATENATE(IFERROR(INDEX(Накл!$C$9:$C$550,SMALL(IF(Накл!$A$9:$A$550=VALUE(LEFT(A429,8)),ROW(Накл!$A$9:$A$550)-ROW(Накл!$A$9)+1),ROW(E429)-ROW(B429)+1)),"")," ",IFERROR(INDEX(Накл!$C$9:$C$550,SMALL(IF(Накл!$A$9:$A$550=VALUE(LEFT(A429,8)),ROW(Накл!$A$9:$A$550)-ROW(Накл!$A$9)+1),ROW(E430)-ROW(B429)+1)),"")," ",IFERROR(INDEX(Накл!$C$9:$C$550,SMALL(IF(Накл!$A$9:$A$550=VALUE(LEFT(A429,8)),ROW(Накл!$A$9:$A$550)-ROW(Накл!$A$9)+1),ROW(E431)-ROW(B429)+1)),"")," ",IFERROR(INDEX(Накл!$C$9:$C$550,SMALL(IF(Накл!$A$9:$A$550=VALUE(LEFT(A429,8)),ROW(Накл!$A$9:$A$550)-ROW(Накл!$A$9)+1),ROW(E432)-ROW(B429)+1)),"")),"")</f>
        <v xml:space="preserve">   </v>
      </c>
    </row>
    <row r="430" spans="1:5">
      <c r="A430" s="26" t="str">
        <f>IFERROR(CONCATENATE(VALUE(SUBSTITUTE(SUBSTITUTE(LEFT(Накл!G437,11),".",""),"-",""))," ",Накл!J437),"-")</f>
        <v>-</v>
      </c>
      <c r="B430" s="26" t="str">
        <f>IFERROR(VLOOKUP(VALUE(LEFT(A430,8)),Накл!$A$9:$D$550,4,0),"-")</f>
        <v>-</v>
      </c>
      <c r="C430" s="26">
        <f>Накл!J437</f>
        <v>0</v>
      </c>
      <c r="D430" s="33" t="str">
        <f t="array" ref="D430">CONCATENATE(IFERROR(INDEX(Накл!$C$9:$C$550,SMALL(IF(Накл!$B$9:$B$550=A430,ROW(Накл!$B$9:$B$550)-ROW(Накл!$B$9)+1),ROW(D430)-ROW(A430)+1)),"")," ",IFERROR(INDEX(Накл!$C$9:$C$550,SMALL(IF(Накл!$B$9:$B$550=A430,ROW(Накл!$B$9:$B$550)-ROW(Накл!$B$9)+1),ROW(D431)-ROW(A430)+1)),"")," ",IFERROR(INDEX(Накл!$C$9:$C$550,SMALL(IF(Накл!$B$9:$B$550=A430,ROW(Накл!$B$9:$B$550)-ROW(Накл!$B$9)+1),ROW(D432)-ROW(A430)+1)),"")," ",IFERROR(INDEX(Накл!$C$9:$C$550,SMALL(IF(Накл!$B$9:$B$550=A430,ROW(Накл!$B$9:$B$550)-ROW(Накл!$B$9)+1),ROW(D433)-ROW(A430)+1)),"")," ",IFERROR(INDEX(Накл!$C$9:$C$550,SMALL(IF(Накл!$B$9:$B$550=A430,ROW(Накл!$B$9:$B$550)-ROW(Накл!$B$9)+1),ROW(D434)-ROW(A430)+1)),"")," ",IFERROR(INDEX(Накл!$C$9:$C$550,SMALL(IF(Накл!$B$9:$B$550=A430,ROW(Накл!$B$9:$B$550)-ROW(Накл!$B$9)+1),ROW(D435)-ROW(A430)+1)),"")," ",IFERROR(INDEX(Накл!$C$9:$C$550,SMALL(IF(Накл!$B$9:$B$550=A430,ROW(Накл!$B$9:$B$550)-ROW(Накл!$B$9)+1),ROW(D436)-ROW(A430)+1)),"")," ",IFERROR(INDEX(Накл!$C$9:$C$550,SMALL(IF(Накл!$B$9:$B$550=A430,ROW(Накл!$B$9:$B$550)-ROW(Накл!$B$9)+1),ROW(D437)-ROW(A430)+1)),"")," ",IFERROR(INDEX(Накл!$C$9:$C$550,SMALL(IF(Накл!$B$9:$B$550=A430,ROW(Накл!$B$9:$B$550)-ROW(Накл!$B$9)+1),ROW(D438)-ROW(A430)+1)),"")," ",IFERROR(INDEX(Накл!$C$9:$C$550,SMALL(IF(Накл!$B$9:$B$550=A430,ROW(Накл!$B$9:$B$550)-ROW(Накл!$B$9)+1),ROW(D439)-ROW(A430)+1)),""))</f>
        <v xml:space="preserve">         </v>
      </c>
      <c r="E430" s="26" t="str">
        <f t="array" ref="E430">IF(LEN(D430)&lt;10,CONCATENATE(IFERROR(INDEX(Накл!$C$9:$C$550,SMALL(IF(Накл!$A$9:$A$550=VALUE(LEFT(A430,8)),ROW(Накл!$A$9:$A$550)-ROW(Накл!$A$9)+1),ROW(E430)-ROW(B430)+1)),"")," ",IFERROR(INDEX(Накл!$C$9:$C$550,SMALL(IF(Накл!$A$9:$A$550=VALUE(LEFT(A430,8)),ROW(Накл!$A$9:$A$550)-ROW(Накл!$A$9)+1),ROW(E431)-ROW(B430)+1)),"")," ",IFERROR(INDEX(Накл!$C$9:$C$550,SMALL(IF(Накл!$A$9:$A$550=VALUE(LEFT(A430,8)),ROW(Накл!$A$9:$A$550)-ROW(Накл!$A$9)+1),ROW(E432)-ROW(B430)+1)),"")," ",IFERROR(INDEX(Накл!$C$9:$C$550,SMALL(IF(Накл!$A$9:$A$550=VALUE(LEFT(A430,8)),ROW(Накл!$A$9:$A$550)-ROW(Накл!$A$9)+1),ROW(E433)-ROW(B430)+1)),"")),"")</f>
        <v xml:space="preserve">   </v>
      </c>
    </row>
    <row r="431" spans="1:5">
      <c r="A431" s="26" t="str">
        <f>IFERROR(CONCATENATE(VALUE(SUBSTITUTE(SUBSTITUTE(LEFT(Накл!G438,11),".",""),"-",""))," ",Накл!J438),"-")</f>
        <v>-</v>
      </c>
      <c r="B431" s="26" t="str">
        <f>IFERROR(VLOOKUP(VALUE(LEFT(A431,8)),Накл!$A$9:$D$550,4,0),"-")</f>
        <v>-</v>
      </c>
      <c r="C431" s="26">
        <f>Накл!J438</f>
        <v>0</v>
      </c>
      <c r="D431" s="33" t="str">
        <f t="array" ref="D431">CONCATENATE(IFERROR(INDEX(Накл!$C$9:$C$550,SMALL(IF(Накл!$B$9:$B$550=A431,ROW(Накл!$B$9:$B$550)-ROW(Накл!$B$9)+1),ROW(D431)-ROW(A431)+1)),"")," ",IFERROR(INDEX(Накл!$C$9:$C$550,SMALL(IF(Накл!$B$9:$B$550=A431,ROW(Накл!$B$9:$B$550)-ROW(Накл!$B$9)+1),ROW(D432)-ROW(A431)+1)),"")," ",IFERROR(INDEX(Накл!$C$9:$C$550,SMALL(IF(Накл!$B$9:$B$550=A431,ROW(Накл!$B$9:$B$550)-ROW(Накл!$B$9)+1),ROW(D433)-ROW(A431)+1)),"")," ",IFERROR(INDEX(Накл!$C$9:$C$550,SMALL(IF(Накл!$B$9:$B$550=A431,ROW(Накл!$B$9:$B$550)-ROW(Накл!$B$9)+1),ROW(D434)-ROW(A431)+1)),"")," ",IFERROR(INDEX(Накл!$C$9:$C$550,SMALL(IF(Накл!$B$9:$B$550=A431,ROW(Накл!$B$9:$B$550)-ROW(Накл!$B$9)+1),ROW(D435)-ROW(A431)+1)),"")," ",IFERROR(INDEX(Накл!$C$9:$C$550,SMALL(IF(Накл!$B$9:$B$550=A431,ROW(Накл!$B$9:$B$550)-ROW(Накл!$B$9)+1),ROW(D436)-ROW(A431)+1)),"")," ",IFERROR(INDEX(Накл!$C$9:$C$550,SMALL(IF(Накл!$B$9:$B$550=A431,ROW(Накл!$B$9:$B$550)-ROW(Накл!$B$9)+1),ROW(D437)-ROW(A431)+1)),"")," ",IFERROR(INDEX(Накл!$C$9:$C$550,SMALL(IF(Накл!$B$9:$B$550=A431,ROW(Накл!$B$9:$B$550)-ROW(Накл!$B$9)+1),ROW(D438)-ROW(A431)+1)),"")," ",IFERROR(INDEX(Накл!$C$9:$C$550,SMALL(IF(Накл!$B$9:$B$550=A431,ROW(Накл!$B$9:$B$550)-ROW(Накл!$B$9)+1),ROW(D439)-ROW(A431)+1)),"")," ",IFERROR(INDEX(Накл!$C$9:$C$550,SMALL(IF(Накл!$B$9:$B$550=A431,ROW(Накл!$B$9:$B$550)-ROW(Накл!$B$9)+1),ROW(D440)-ROW(A431)+1)),""))</f>
        <v xml:space="preserve">         </v>
      </c>
      <c r="E431" s="26" t="str">
        <f t="array" ref="E431">IF(LEN(D431)&lt;10,CONCATENATE(IFERROR(INDEX(Накл!$C$9:$C$550,SMALL(IF(Накл!$A$9:$A$550=VALUE(LEFT(A431,8)),ROW(Накл!$A$9:$A$550)-ROW(Накл!$A$9)+1),ROW(E431)-ROW(B431)+1)),"")," ",IFERROR(INDEX(Накл!$C$9:$C$550,SMALL(IF(Накл!$A$9:$A$550=VALUE(LEFT(A431,8)),ROW(Накл!$A$9:$A$550)-ROW(Накл!$A$9)+1),ROW(E432)-ROW(B431)+1)),"")," ",IFERROR(INDEX(Накл!$C$9:$C$550,SMALL(IF(Накл!$A$9:$A$550=VALUE(LEFT(A431,8)),ROW(Накл!$A$9:$A$550)-ROW(Накл!$A$9)+1),ROW(E433)-ROW(B431)+1)),"")," ",IFERROR(INDEX(Накл!$C$9:$C$550,SMALL(IF(Накл!$A$9:$A$550=VALUE(LEFT(A431,8)),ROW(Накл!$A$9:$A$550)-ROW(Накл!$A$9)+1),ROW(E434)-ROW(B431)+1)),"")),"")</f>
        <v xml:space="preserve">   </v>
      </c>
    </row>
    <row r="432" spans="1:5">
      <c r="A432" s="26" t="str">
        <f>IFERROR(CONCATENATE(VALUE(SUBSTITUTE(SUBSTITUTE(LEFT(Накл!G439,11),".",""),"-",""))," ",Накл!J439),"-")</f>
        <v>-</v>
      </c>
      <c r="B432" s="26" t="str">
        <f>IFERROR(VLOOKUP(VALUE(LEFT(A432,8)),Накл!$A$9:$D$550,4,0),"-")</f>
        <v>-</v>
      </c>
      <c r="C432" s="26">
        <f>Накл!J439</f>
        <v>0</v>
      </c>
      <c r="D432" s="33" t="str">
        <f t="array" ref="D432">CONCATENATE(IFERROR(INDEX(Накл!$C$9:$C$550,SMALL(IF(Накл!$B$9:$B$550=A432,ROW(Накл!$B$9:$B$550)-ROW(Накл!$B$9)+1),ROW(D432)-ROW(A432)+1)),"")," ",IFERROR(INDEX(Накл!$C$9:$C$550,SMALL(IF(Накл!$B$9:$B$550=A432,ROW(Накл!$B$9:$B$550)-ROW(Накл!$B$9)+1),ROW(D433)-ROW(A432)+1)),"")," ",IFERROR(INDEX(Накл!$C$9:$C$550,SMALL(IF(Накл!$B$9:$B$550=A432,ROW(Накл!$B$9:$B$550)-ROW(Накл!$B$9)+1),ROW(D434)-ROW(A432)+1)),"")," ",IFERROR(INDEX(Накл!$C$9:$C$550,SMALL(IF(Накл!$B$9:$B$550=A432,ROW(Накл!$B$9:$B$550)-ROW(Накл!$B$9)+1),ROW(D435)-ROW(A432)+1)),"")," ",IFERROR(INDEX(Накл!$C$9:$C$550,SMALL(IF(Накл!$B$9:$B$550=A432,ROW(Накл!$B$9:$B$550)-ROW(Накл!$B$9)+1),ROW(D436)-ROW(A432)+1)),"")," ",IFERROR(INDEX(Накл!$C$9:$C$550,SMALL(IF(Накл!$B$9:$B$550=A432,ROW(Накл!$B$9:$B$550)-ROW(Накл!$B$9)+1),ROW(D437)-ROW(A432)+1)),"")," ",IFERROR(INDEX(Накл!$C$9:$C$550,SMALL(IF(Накл!$B$9:$B$550=A432,ROW(Накл!$B$9:$B$550)-ROW(Накл!$B$9)+1),ROW(D438)-ROW(A432)+1)),"")," ",IFERROR(INDEX(Накл!$C$9:$C$550,SMALL(IF(Накл!$B$9:$B$550=A432,ROW(Накл!$B$9:$B$550)-ROW(Накл!$B$9)+1),ROW(D439)-ROW(A432)+1)),"")," ",IFERROR(INDEX(Накл!$C$9:$C$550,SMALL(IF(Накл!$B$9:$B$550=A432,ROW(Накл!$B$9:$B$550)-ROW(Накл!$B$9)+1),ROW(D440)-ROW(A432)+1)),"")," ",IFERROR(INDEX(Накл!$C$9:$C$550,SMALL(IF(Накл!$B$9:$B$550=A432,ROW(Накл!$B$9:$B$550)-ROW(Накл!$B$9)+1),ROW(D441)-ROW(A432)+1)),""))</f>
        <v xml:space="preserve">         </v>
      </c>
      <c r="E432" s="26" t="str">
        <f t="array" ref="E432">IF(LEN(D432)&lt;10,CONCATENATE(IFERROR(INDEX(Накл!$C$9:$C$550,SMALL(IF(Накл!$A$9:$A$550=VALUE(LEFT(A432,8)),ROW(Накл!$A$9:$A$550)-ROW(Накл!$A$9)+1),ROW(E432)-ROW(B432)+1)),"")," ",IFERROR(INDEX(Накл!$C$9:$C$550,SMALL(IF(Накл!$A$9:$A$550=VALUE(LEFT(A432,8)),ROW(Накл!$A$9:$A$550)-ROW(Накл!$A$9)+1),ROW(E433)-ROW(B432)+1)),"")," ",IFERROR(INDEX(Накл!$C$9:$C$550,SMALL(IF(Накл!$A$9:$A$550=VALUE(LEFT(A432,8)),ROW(Накл!$A$9:$A$550)-ROW(Накл!$A$9)+1),ROW(E434)-ROW(B432)+1)),"")," ",IFERROR(INDEX(Накл!$C$9:$C$550,SMALL(IF(Накл!$A$9:$A$550=VALUE(LEFT(A432,8)),ROW(Накл!$A$9:$A$550)-ROW(Накл!$A$9)+1),ROW(E435)-ROW(B432)+1)),"")),"")</f>
        <v xml:space="preserve">   </v>
      </c>
    </row>
    <row r="433" spans="1:5">
      <c r="A433" s="26" t="str">
        <f>IFERROR(CONCATENATE(VALUE(SUBSTITUTE(SUBSTITUTE(LEFT(Накл!G440,11),".",""),"-",""))," ",Накл!J440),"-")</f>
        <v>-</v>
      </c>
      <c r="B433" s="26" t="str">
        <f>IFERROR(VLOOKUP(VALUE(LEFT(A433,8)),Накл!$A$9:$D$550,4,0),"-")</f>
        <v>-</v>
      </c>
      <c r="C433" s="26">
        <f>Накл!J440</f>
        <v>0</v>
      </c>
      <c r="D433" s="33" t="str">
        <f t="array" ref="D433">CONCATENATE(IFERROR(INDEX(Накл!$C$9:$C$550,SMALL(IF(Накл!$B$9:$B$550=A433,ROW(Накл!$B$9:$B$550)-ROW(Накл!$B$9)+1),ROW(D433)-ROW(A433)+1)),"")," ",IFERROR(INDEX(Накл!$C$9:$C$550,SMALL(IF(Накл!$B$9:$B$550=A433,ROW(Накл!$B$9:$B$550)-ROW(Накл!$B$9)+1),ROW(D434)-ROW(A433)+1)),"")," ",IFERROR(INDEX(Накл!$C$9:$C$550,SMALL(IF(Накл!$B$9:$B$550=A433,ROW(Накл!$B$9:$B$550)-ROW(Накл!$B$9)+1),ROW(D435)-ROW(A433)+1)),"")," ",IFERROR(INDEX(Накл!$C$9:$C$550,SMALL(IF(Накл!$B$9:$B$550=A433,ROW(Накл!$B$9:$B$550)-ROW(Накл!$B$9)+1),ROW(D436)-ROW(A433)+1)),"")," ",IFERROR(INDEX(Накл!$C$9:$C$550,SMALL(IF(Накл!$B$9:$B$550=A433,ROW(Накл!$B$9:$B$550)-ROW(Накл!$B$9)+1),ROW(D437)-ROW(A433)+1)),"")," ",IFERROR(INDEX(Накл!$C$9:$C$550,SMALL(IF(Накл!$B$9:$B$550=A433,ROW(Накл!$B$9:$B$550)-ROW(Накл!$B$9)+1),ROW(D438)-ROW(A433)+1)),"")," ",IFERROR(INDEX(Накл!$C$9:$C$550,SMALL(IF(Накл!$B$9:$B$550=A433,ROW(Накл!$B$9:$B$550)-ROW(Накл!$B$9)+1),ROW(D439)-ROW(A433)+1)),"")," ",IFERROR(INDEX(Накл!$C$9:$C$550,SMALL(IF(Накл!$B$9:$B$550=A433,ROW(Накл!$B$9:$B$550)-ROW(Накл!$B$9)+1),ROW(D440)-ROW(A433)+1)),"")," ",IFERROR(INDEX(Накл!$C$9:$C$550,SMALL(IF(Накл!$B$9:$B$550=A433,ROW(Накл!$B$9:$B$550)-ROW(Накл!$B$9)+1),ROW(D441)-ROW(A433)+1)),"")," ",IFERROR(INDEX(Накл!$C$9:$C$550,SMALL(IF(Накл!$B$9:$B$550=A433,ROW(Накл!$B$9:$B$550)-ROW(Накл!$B$9)+1),ROW(D442)-ROW(A433)+1)),""))</f>
        <v xml:space="preserve">         </v>
      </c>
      <c r="E433" s="26" t="str">
        <f t="array" ref="E433">IF(LEN(D433)&lt;10,CONCATENATE(IFERROR(INDEX(Накл!$C$9:$C$550,SMALL(IF(Накл!$A$9:$A$550=VALUE(LEFT(A433,8)),ROW(Накл!$A$9:$A$550)-ROW(Накл!$A$9)+1),ROW(E433)-ROW(B433)+1)),"")," ",IFERROR(INDEX(Накл!$C$9:$C$550,SMALL(IF(Накл!$A$9:$A$550=VALUE(LEFT(A433,8)),ROW(Накл!$A$9:$A$550)-ROW(Накл!$A$9)+1),ROW(E434)-ROW(B433)+1)),"")," ",IFERROR(INDEX(Накл!$C$9:$C$550,SMALL(IF(Накл!$A$9:$A$550=VALUE(LEFT(A433,8)),ROW(Накл!$A$9:$A$550)-ROW(Накл!$A$9)+1),ROW(E435)-ROW(B433)+1)),"")," ",IFERROR(INDEX(Накл!$C$9:$C$550,SMALL(IF(Накл!$A$9:$A$550=VALUE(LEFT(A433,8)),ROW(Накл!$A$9:$A$550)-ROW(Накл!$A$9)+1),ROW(E436)-ROW(B433)+1)),"")),"")</f>
        <v xml:space="preserve">   </v>
      </c>
    </row>
    <row r="434" spans="1:5">
      <c r="A434" s="26" t="str">
        <f>IFERROR(CONCATENATE(VALUE(SUBSTITUTE(SUBSTITUTE(LEFT(Накл!G441,11),".",""),"-",""))," ",Накл!J441),"-")</f>
        <v>-</v>
      </c>
      <c r="B434" s="26" t="str">
        <f>IFERROR(VLOOKUP(VALUE(LEFT(A434,8)),Накл!$A$9:$D$550,4,0),"-")</f>
        <v>-</v>
      </c>
      <c r="C434" s="26">
        <f>Накл!J441</f>
        <v>0</v>
      </c>
      <c r="D434" s="33" t="str">
        <f t="array" ref="D434">CONCATENATE(IFERROR(INDEX(Накл!$C$9:$C$550,SMALL(IF(Накл!$B$9:$B$550=A434,ROW(Накл!$B$9:$B$550)-ROW(Накл!$B$9)+1),ROW(D434)-ROW(A434)+1)),"")," ",IFERROR(INDEX(Накл!$C$9:$C$550,SMALL(IF(Накл!$B$9:$B$550=A434,ROW(Накл!$B$9:$B$550)-ROW(Накл!$B$9)+1),ROW(D435)-ROW(A434)+1)),"")," ",IFERROR(INDEX(Накл!$C$9:$C$550,SMALL(IF(Накл!$B$9:$B$550=A434,ROW(Накл!$B$9:$B$550)-ROW(Накл!$B$9)+1),ROW(D436)-ROW(A434)+1)),"")," ",IFERROR(INDEX(Накл!$C$9:$C$550,SMALL(IF(Накл!$B$9:$B$550=A434,ROW(Накл!$B$9:$B$550)-ROW(Накл!$B$9)+1),ROW(D437)-ROW(A434)+1)),"")," ",IFERROR(INDEX(Накл!$C$9:$C$550,SMALL(IF(Накл!$B$9:$B$550=A434,ROW(Накл!$B$9:$B$550)-ROW(Накл!$B$9)+1),ROW(D438)-ROW(A434)+1)),"")," ",IFERROR(INDEX(Накл!$C$9:$C$550,SMALL(IF(Накл!$B$9:$B$550=A434,ROW(Накл!$B$9:$B$550)-ROW(Накл!$B$9)+1),ROW(D439)-ROW(A434)+1)),"")," ",IFERROR(INDEX(Накл!$C$9:$C$550,SMALL(IF(Накл!$B$9:$B$550=A434,ROW(Накл!$B$9:$B$550)-ROW(Накл!$B$9)+1),ROW(D440)-ROW(A434)+1)),"")," ",IFERROR(INDEX(Накл!$C$9:$C$550,SMALL(IF(Накл!$B$9:$B$550=A434,ROW(Накл!$B$9:$B$550)-ROW(Накл!$B$9)+1),ROW(D441)-ROW(A434)+1)),"")," ",IFERROR(INDEX(Накл!$C$9:$C$550,SMALL(IF(Накл!$B$9:$B$550=A434,ROW(Накл!$B$9:$B$550)-ROW(Накл!$B$9)+1),ROW(D442)-ROW(A434)+1)),"")," ",IFERROR(INDEX(Накл!$C$9:$C$550,SMALL(IF(Накл!$B$9:$B$550=A434,ROW(Накл!$B$9:$B$550)-ROW(Накл!$B$9)+1),ROW(D443)-ROW(A434)+1)),""))</f>
        <v xml:space="preserve">         </v>
      </c>
      <c r="E434" s="26" t="str">
        <f t="array" ref="E434">IF(LEN(D434)&lt;10,CONCATENATE(IFERROR(INDEX(Накл!$C$9:$C$550,SMALL(IF(Накл!$A$9:$A$550=VALUE(LEFT(A434,8)),ROW(Накл!$A$9:$A$550)-ROW(Накл!$A$9)+1),ROW(E434)-ROW(B434)+1)),"")," ",IFERROR(INDEX(Накл!$C$9:$C$550,SMALL(IF(Накл!$A$9:$A$550=VALUE(LEFT(A434,8)),ROW(Накл!$A$9:$A$550)-ROW(Накл!$A$9)+1),ROW(E435)-ROW(B434)+1)),"")," ",IFERROR(INDEX(Накл!$C$9:$C$550,SMALL(IF(Накл!$A$9:$A$550=VALUE(LEFT(A434,8)),ROW(Накл!$A$9:$A$550)-ROW(Накл!$A$9)+1),ROW(E436)-ROW(B434)+1)),"")," ",IFERROR(INDEX(Накл!$C$9:$C$550,SMALL(IF(Накл!$A$9:$A$550=VALUE(LEFT(A434,8)),ROW(Накл!$A$9:$A$550)-ROW(Накл!$A$9)+1),ROW(E437)-ROW(B434)+1)),"")),"")</f>
        <v xml:space="preserve">   </v>
      </c>
    </row>
    <row r="435" spans="1:5">
      <c r="A435" s="26" t="str">
        <f>IFERROR(CONCATENATE(VALUE(SUBSTITUTE(SUBSTITUTE(LEFT(Накл!G442,11),".",""),"-",""))," ",Накл!J442),"-")</f>
        <v>-</v>
      </c>
      <c r="B435" s="26" t="str">
        <f>IFERROR(VLOOKUP(VALUE(LEFT(A435,8)),Накл!$A$9:$D$550,4,0),"-")</f>
        <v>-</v>
      </c>
      <c r="C435" s="26">
        <f>Накл!J442</f>
        <v>0</v>
      </c>
      <c r="D435" s="33" t="str">
        <f t="array" ref="D435">CONCATENATE(IFERROR(INDEX(Накл!$C$9:$C$550,SMALL(IF(Накл!$B$9:$B$550=A435,ROW(Накл!$B$9:$B$550)-ROW(Накл!$B$9)+1),ROW(D435)-ROW(A435)+1)),"")," ",IFERROR(INDEX(Накл!$C$9:$C$550,SMALL(IF(Накл!$B$9:$B$550=A435,ROW(Накл!$B$9:$B$550)-ROW(Накл!$B$9)+1),ROW(D436)-ROW(A435)+1)),"")," ",IFERROR(INDEX(Накл!$C$9:$C$550,SMALL(IF(Накл!$B$9:$B$550=A435,ROW(Накл!$B$9:$B$550)-ROW(Накл!$B$9)+1),ROW(D437)-ROW(A435)+1)),"")," ",IFERROR(INDEX(Накл!$C$9:$C$550,SMALL(IF(Накл!$B$9:$B$550=A435,ROW(Накл!$B$9:$B$550)-ROW(Накл!$B$9)+1),ROW(D438)-ROW(A435)+1)),"")," ",IFERROR(INDEX(Накл!$C$9:$C$550,SMALL(IF(Накл!$B$9:$B$550=A435,ROW(Накл!$B$9:$B$550)-ROW(Накл!$B$9)+1),ROW(D439)-ROW(A435)+1)),"")," ",IFERROR(INDEX(Накл!$C$9:$C$550,SMALL(IF(Накл!$B$9:$B$550=A435,ROW(Накл!$B$9:$B$550)-ROW(Накл!$B$9)+1),ROW(D440)-ROW(A435)+1)),"")," ",IFERROR(INDEX(Накл!$C$9:$C$550,SMALL(IF(Накл!$B$9:$B$550=A435,ROW(Накл!$B$9:$B$550)-ROW(Накл!$B$9)+1),ROW(D441)-ROW(A435)+1)),"")," ",IFERROR(INDEX(Накл!$C$9:$C$550,SMALL(IF(Накл!$B$9:$B$550=A435,ROW(Накл!$B$9:$B$550)-ROW(Накл!$B$9)+1),ROW(D442)-ROW(A435)+1)),"")," ",IFERROR(INDEX(Накл!$C$9:$C$550,SMALL(IF(Накл!$B$9:$B$550=A435,ROW(Накл!$B$9:$B$550)-ROW(Накл!$B$9)+1),ROW(D443)-ROW(A435)+1)),"")," ",IFERROR(INDEX(Накл!$C$9:$C$550,SMALL(IF(Накл!$B$9:$B$550=A435,ROW(Накл!$B$9:$B$550)-ROW(Накл!$B$9)+1),ROW(D444)-ROW(A435)+1)),""))</f>
        <v xml:space="preserve">         </v>
      </c>
      <c r="E435" s="26" t="str">
        <f t="array" ref="E435">IF(LEN(D435)&lt;10,CONCATENATE(IFERROR(INDEX(Накл!$C$9:$C$550,SMALL(IF(Накл!$A$9:$A$550=VALUE(LEFT(A435,8)),ROW(Накл!$A$9:$A$550)-ROW(Накл!$A$9)+1),ROW(E435)-ROW(B435)+1)),"")," ",IFERROR(INDEX(Накл!$C$9:$C$550,SMALL(IF(Накл!$A$9:$A$550=VALUE(LEFT(A435,8)),ROW(Накл!$A$9:$A$550)-ROW(Накл!$A$9)+1),ROW(E436)-ROW(B435)+1)),"")," ",IFERROR(INDEX(Накл!$C$9:$C$550,SMALL(IF(Накл!$A$9:$A$550=VALUE(LEFT(A435,8)),ROW(Накл!$A$9:$A$550)-ROW(Накл!$A$9)+1),ROW(E437)-ROW(B435)+1)),"")," ",IFERROR(INDEX(Накл!$C$9:$C$550,SMALL(IF(Накл!$A$9:$A$550=VALUE(LEFT(A435,8)),ROW(Накл!$A$9:$A$550)-ROW(Накл!$A$9)+1),ROW(E438)-ROW(B435)+1)),"")),"")</f>
        <v xml:space="preserve">   </v>
      </c>
    </row>
    <row r="436" spans="1:5">
      <c r="A436" s="26" t="str">
        <f>IFERROR(CONCATENATE(VALUE(SUBSTITUTE(SUBSTITUTE(LEFT(Накл!G443,11),".",""),"-",""))," ",Накл!J443),"-")</f>
        <v>-</v>
      </c>
      <c r="B436" s="26" t="str">
        <f>IFERROR(VLOOKUP(VALUE(LEFT(A436,8)),Накл!$A$9:$D$550,4,0),"-")</f>
        <v>-</v>
      </c>
      <c r="C436" s="26">
        <f>Накл!J443</f>
        <v>0</v>
      </c>
      <c r="D436" s="33" t="str">
        <f t="array" ref="D436">CONCATENATE(IFERROR(INDEX(Накл!$C$9:$C$550,SMALL(IF(Накл!$B$9:$B$550=A436,ROW(Накл!$B$9:$B$550)-ROW(Накл!$B$9)+1),ROW(D436)-ROW(A436)+1)),"")," ",IFERROR(INDEX(Накл!$C$9:$C$550,SMALL(IF(Накл!$B$9:$B$550=A436,ROW(Накл!$B$9:$B$550)-ROW(Накл!$B$9)+1),ROW(D437)-ROW(A436)+1)),"")," ",IFERROR(INDEX(Накл!$C$9:$C$550,SMALL(IF(Накл!$B$9:$B$550=A436,ROW(Накл!$B$9:$B$550)-ROW(Накл!$B$9)+1),ROW(D438)-ROW(A436)+1)),"")," ",IFERROR(INDEX(Накл!$C$9:$C$550,SMALL(IF(Накл!$B$9:$B$550=A436,ROW(Накл!$B$9:$B$550)-ROW(Накл!$B$9)+1),ROW(D439)-ROW(A436)+1)),"")," ",IFERROR(INDEX(Накл!$C$9:$C$550,SMALL(IF(Накл!$B$9:$B$550=A436,ROW(Накл!$B$9:$B$550)-ROW(Накл!$B$9)+1),ROW(D440)-ROW(A436)+1)),"")," ",IFERROR(INDEX(Накл!$C$9:$C$550,SMALL(IF(Накл!$B$9:$B$550=A436,ROW(Накл!$B$9:$B$550)-ROW(Накл!$B$9)+1),ROW(D441)-ROW(A436)+1)),"")," ",IFERROR(INDEX(Накл!$C$9:$C$550,SMALL(IF(Накл!$B$9:$B$550=A436,ROW(Накл!$B$9:$B$550)-ROW(Накл!$B$9)+1),ROW(D442)-ROW(A436)+1)),"")," ",IFERROR(INDEX(Накл!$C$9:$C$550,SMALL(IF(Накл!$B$9:$B$550=A436,ROW(Накл!$B$9:$B$550)-ROW(Накл!$B$9)+1),ROW(D443)-ROW(A436)+1)),"")," ",IFERROR(INDEX(Накл!$C$9:$C$550,SMALL(IF(Накл!$B$9:$B$550=A436,ROW(Накл!$B$9:$B$550)-ROW(Накл!$B$9)+1),ROW(D444)-ROW(A436)+1)),"")," ",IFERROR(INDEX(Накл!$C$9:$C$550,SMALL(IF(Накл!$B$9:$B$550=A436,ROW(Накл!$B$9:$B$550)-ROW(Накл!$B$9)+1),ROW(D445)-ROW(A436)+1)),""))</f>
        <v xml:space="preserve">         </v>
      </c>
      <c r="E436" s="26" t="str">
        <f t="array" ref="E436">IF(LEN(D436)&lt;10,CONCATENATE(IFERROR(INDEX(Накл!$C$9:$C$550,SMALL(IF(Накл!$A$9:$A$550=VALUE(LEFT(A436,8)),ROW(Накл!$A$9:$A$550)-ROW(Накл!$A$9)+1),ROW(E436)-ROW(B436)+1)),"")," ",IFERROR(INDEX(Накл!$C$9:$C$550,SMALL(IF(Накл!$A$9:$A$550=VALUE(LEFT(A436,8)),ROW(Накл!$A$9:$A$550)-ROW(Накл!$A$9)+1),ROW(E437)-ROW(B436)+1)),"")," ",IFERROR(INDEX(Накл!$C$9:$C$550,SMALL(IF(Накл!$A$9:$A$550=VALUE(LEFT(A436,8)),ROW(Накл!$A$9:$A$550)-ROW(Накл!$A$9)+1),ROW(E438)-ROW(B436)+1)),"")," ",IFERROR(INDEX(Накл!$C$9:$C$550,SMALL(IF(Накл!$A$9:$A$550=VALUE(LEFT(A436,8)),ROW(Накл!$A$9:$A$550)-ROW(Накл!$A$9)+1),ROW(E439)-ROW(B436)+1)),"")),"")</f>
        <v xml:space="preserve">   </v>
      </c>
    </row>
    <row r="437" spans="1:5">
      <c r="A437" s="26" t="str">
        <f>IFERROR(CONCATENATE(VALUE(SUBSTITUTE(SUBSTITUTE(LEFT(Накл!G444,11),".",""),"-",""))," ",Накл!J444),"-")</f>
        <v>-</v>
      </c>
      <c r="B437" s="26" t="str">
        <f>IFERROR(VLOOKUP(VALUE(LEFT(A437,8)),Накл!$A$9:$D$550,4,0),"-")</f>
        <v>-</v>
      </c>
      <c r="C437" s="26">
        <f>Накл!J444</f>
        <v>0</v>
      </c>
      <c r="D437" s="33" t="str">
        <f t="array" ref="D437">CONCATENATE(IFERROR(INDEX(Накл!$C$9:$C$550,SMALL(IF(Накл!$B$9:$B$550=A437,ROW(Накл!$B$9:$B$550)-ROW(Накл!$B$9)+1),ROW(D437)-ROW(A437)+1)),"")," ",IFERROR(INDEX(Накл!$C$9:$C$550,SMALL(IF(Накл!$B$9:$B$550=A437,ROW(Накл!$B$9:$B$550)-ROW(Накл!$B$9)+1),ROW(D438)-ROW(A437)+1)),"")," ",IFERROR(INDEX(Накл!$C$9:$C$550,SMALL(IF(Накл!$B$9:$B$550=A437,ROW(Накл!$B$9:$B$550)-ROW(Накл!$B$9)+1),ROW(D439)-ROW(A437)+1)),"")," ",IFERROR(INDEX(Накл!$C$9:$C$550,SMALL(IF(Накл!$B$9:$B$550=A437,ROW(Накл!$B$9:$B$550)-ROW(Накл!$B$9)+1),ROW(D440)-ROW(A437)+1)),"")," ",IFERROR(INDEX(Накл!$C$9:$C$550,SMALL(IF(Накл!$B$9:$B$550=A437,ROW(Накл!$B$9:$B$550)-ROW(Накл!$B$9)+1),ROW(D441)-ROW(A437)+1)),"")," ",IFERROR(INDEX(Накл!$C$9:$C$550,SMALL(IF(Накл!$B$9:$B$550=A437,ROW(Накл!$B$9:$B$550)-ROW(Накл!$B$9)+1),ROW(D442)-ROW(A437)+1)),"")," ",IFERROR(INDEX(Накл!$C$9:$C$550,SMALL(IF(Накл!$B$9:$B$550=A437,ROW(Накл!$B$9:$B$550)-ROW(Накл!$B$9)+1),ROW(D443)-ROW(A437)+1)),"")," ",IFERROR(INDEX(Накл!$C$9:$C$550,SMALL(IF(Накл!$B$9:$B$550=A437,ROW(Накл!$B$9:$B$550)-ROW(Накл!$B$9)+1),ROW(D444)-ROW(A437)+1)),"")," ",IFERROR(INDEX(Накл!$C$9:$C$550,SMALL(IF(Накл!$B$9:$B$550=A437,ROW(Накл!$B$9:$B$550)-ROW(Накл!$B$9)+1),ROW(D445)-ROW(A437)+1)),"")," ",IFERROR(INDEX(Накл!$C$9:$C$550,SMALL(IF(Накл!$B$9:$B$550=A437,ROW(Накл!$B$9:$B$550)-ROW(Накл!$B$9)+1),ROW(D446)-ROW(A437)+1)),""))</f>
        <v xml:space="preserve">         </v>
      </c>
      <c r="E437" s="26" t="str">
        <f t="array" ref="E437">IF(LEN(D437)&lt;10,CONCATENATE(IFERROR(INDEX(Накл!$C$9:$C$550,SMALL(IF(Накл!$A$9:$A$550=VALUE(LEFT(A437,8)),ROW(Накл!$A$9:$A$550)-ROW(Накл!$A$9)+1),ROW(E437)-ROW(B437)+1)),"")," ",IFERROR(INDEX(Накл!$C$9:$C$550,SMALL(IF(Накл!$A$9:$A$550=VALUE(LEFT(A437,8)),ROW(Накл!$A$9:$A$550)-ROW(Накл!$A$9)+1),ROW(E438)-ROW(B437)+1)),"")," ",IFERROR(INDEX(Накл!$C$9:$C$550,SMALL(IF(Накл!$A$9:$A$550=VALUE(LEFT(A437,8)),ROW(Накл!$A$9:$A$550)-ROW(Накл!$A$9)+1),ROW(E439)-ROW(B437)+1)),"")," ",IFERROR(INDEX(Накл!$C$9:$C$550,SMALL(IF(Накл!$A$9:$A$550=VALUE(LEFT(A437,8)),ROW(Накл!$A$9:$A$550)-ROW(Накл!$A$9)+1),ROW(E440)-ROW(B437)+1)),"")),"")</f>
        <v xml:space="preserve">   </v>
      </c>
    </row>
    <row r="438" spans="1:5">
      <c r="A438" s="26" t="str">
        <f>IFERROR(CONCATENATE(VALUE(SUBSTITUTE(SUBSTITUTE(LEFT(Накл!G445,11),".",""),"-",""))," ",Накл!J445),"-")</f>
        <v>-</v>
      </c>
      <c r="B438" s="26" t="str">
        <f>IFERROR(VLOOKUP(VALUE(LEFT(A438,8)),Накл!$A$9:$D$550,4,0),"-")</f>
        <v>-</v>
      </c>
      <c r="C438" s="26">
        <f>Накл!J445</f>
        <v>0</v>
      </c>
      <c r="D438" s="33" t="str">
        <f t="array" ref="D438">CONCATENATE(IFERROR(INDEX(Накл!$C$9:$C$550,SMALL(IF(Накл!$B$9:$B$550=A438,ROW(Накл!$B$9:$B$550)-ROW(Накл!$B$9)+1),ROW(D438)-ROW(A438)+1)),"")," ",IFERROR(INDEX(Накл!$C$9:$C$550,SMALL(IF(Накл!$B$9:$B$550=A438,ROW(Накл!$B$9:$B$550)-ROW(Накл!$B$9)+1),ROW(D439)-ROW(A438)+1)),"")," ",IFERROR(INDEX(Накл!$C$9:$C$550,SMALL(IF(Накл!$B$9:$B$550=A438,ROW(Накл!$B$9:$B$550)-ROW(Накл!$B$9)+1),ROW(D440)-ROW(A438)+1)),"")," ",IFERROR(INDEX(Накл!$C$9:$C$550,SMALL(IF(Накл!$B$9:$B$550=A438,ROW(Накл!$B$9:$B$550)-ROW(Накл!$B$9)+1),ROW(D441)-ROW(A438)+1)),"")," ",IFERROR(INDEX(Накл!$C$9:$C$550,SMALL(IF(Накл!$B$9:$B$550=A438,ROW(Накл!$B$9:$B$550)-ROW(Накл!$B$9)+1),ROW(D442)-ROW(A438)+1)),"")," ",IFERROR(INDEX(Накл!$C$9:$C$550,SMALL(IF(Накл!$B$9:$B$550=A438,ROW(Накл!$B$9:$B$550)-ROW(Накл!$B$9)+1),ROW(D443)-ROW(A438)+1)),"")," ",IFERROR(INDEX(Накл!$C$9:$C$550,SMALL(IF(Накл!$B$9:$B$550=A438,ROW(Накл!$B$9:$B$550)-ROW(Накл!$B$9)+1),ROW(D444)-ROW(A438)+1)),"")," ",IFERROR(INDEX(Накл!$C$9:$C$550,SMALL(IF(Накл!$B$9:$B$550=A438,ROW(Накл!$B$9:$B$550)-ROW(Накл!$B$9)+1),ROW(D445)-ROW(A438)+1)),"")," ",IFERROR(INDEX(Накл!$C$9:$C$550,SMALL(IF(Накл!$B$9:$B$550=A438,ROW(Накл!$B$9:$B$550)-ROW(Накл!$B$9)+1),ROW(D446)-ROW(A438)+1)),"")," ",IFERROR(INDEX(Накл!$C$9:$C$550,SMALL(IF(Накл!$B$9:$B$550=A438,ROW(Накл!$B$9:$B$550)-ROW(Накл!$B$9)+1),ROW(D447)-ROW(A438)+1)),""))</f>
        <v xml:space="preserve">         </v>
      </c>
      <c r="E438" s="26" t="str">
        <f t="array" ref="E438">IF(LEN(D438)&lt;10,CONCATENATE(IFERROR(INDEX(Накл!$C$9:$C$550,SMALL(IF(Накл!$A$9:$A$550=VALUE(LEFT(A438,8)),ROW(Накл!$A$9:$A$550)-ROW(Накл!$A$9)+1),ROW(E438)-ROW(B438)+1)),"")," ",IFERROR(INDEX(Накл!$C$9:$C$550,SMALL(IF(Накл!$A$9:$A$550=VALUE(LEFT(A438,8)),ROW(Накл!$A$9:$A$550)-ROW(Накл!$A$9)+1),ROW(E439)-ROW(B438)+1)),"")," ",IFERROR(INDEX(Накл!$C$9:$C$550,SMALL(IF(Накл!$A$9:$A$550=VALUE(LEFT(A438,8)),ROW(Накл!$A$9:$A$550)-ROW(Накл!$A$9)+1),ROW(E440)-ROW(B438)+1)),"")," ",IFERROR(INDEX(Накл!$C$9:$C$550,SMALL(IF(Накл!$A$9:$A$550=VALUE(LEFT(A438,8)),ROW(Накл!$A$9:$A$550)-ROW(Накл!$A$9)+1),ROW(E441)-ROW(B438)+1)),"")),"")</f>
        <v xml:space="preserve">   </v>
      </c>
    </row>
    <row r="439" spans="1:5">
      <c r="A439" s="26" t="str">
        <f>IFERROR(CONCATENATE(VALUE(SUBSTITUTE(SUBSTITUTE(LEFT(Накл!G446,11),".",""),"-",""))," ",Накл!J446),"-")</f>
        <v>-</v>
      </c>
      <c r="B439" s="26" t="str">
        <f>IFERROR(VLOOKUP(VALUE(LEFT(A439,8)),Накл!$A$9:$D$550,4,0),"-")</f>
        <v>-</v>
      </c>
      <c r="C439" s="26">
        <f>Накл!J446</f>
        <v>0</v>
      </c>
      <c r="D439" s="33" t="str">
        <f t="array" ref="D439">CONCATENATE(IFERROR(INDEX(Накл!$C$9:$C$550,SMALL(IF(Накл!$B$9:$B$550=A439,ROW(Накл!$B$9:$B$550)-ROW(Накл!$B$9)+1),ROW(D439)-ROW(A439)+1)),"")," ",IFERROR(INDEX(Накл!$C$9:$C$550,SMALL(IF(Накл!$B$9:$B$550=A439,ROW(Накл!$B$9:$B$550)-ROW(Накл!$B$9)+1),ROW(D440)-ROW(A439)+1)),"")," ",IFERROR(INDEX(Накл!$C$9:$C$550,SMALL(IF(Накл!$B$9:$B$550=A439,ROW(Накл!$B$9:$B$550)-ROW(Накл!$B$9)+1),ROW(D441)-ROW(A439)+1)),"")," ",IFERROR(INDEX(Накл!$C$9:$C$550,SMALL(IF(Накл!$B$9:$B$550=A439,ROW(Накл!$B$9:$B$550)-ROW(Накл!$B$9)+1),ROW(D442)-ROW(A439)+1)),"")," ",IFERROR(INDEX(Накл!$C$9:$C$550,SMALL(IF(Накл!$B$9:$B$550=A439,ROW(Накл!$B$9:$B$550)-ROW(Накл!$B$9)+1),ROW(D443)-ROW(A439)+1)),"")," ",IFERROR(INDEX(Накл!$C$9:$C$550,SMALL(IF(Накл!$B$9:$B$550=A439,ROW(Накл!$B$9:$B$550)-ROW(Накл!$B$9)+1),ROW(D444)-ROW(A439)+1)),"")," ",IFERROR(INDEX(Накл!$C$9:$C$550,SMALL(IF(Накл!$B$9:$B$550=A439,ROW(Накл!$B$9:$B$550)-ROW(Накл!$B$9)+1),ROW(D445)-ROW(A439)+1)),"")," ",IFERROR(INDEX(Накл!$C$9:$C$550,SMALL(IF(Накл!$B$9:$B$550=A439,ROW(Накл!$B$9:$B$550)-ROW(Накл!$B$9)+1),ROW(D446)-ROW(A439)+1)),"")," ",IFERROR(INDEX(Накл!$C$9:$C$550,SMALL(IF(Накл!$B$9:$B$550=A439,ROW(Накл!$B$9:$B$550)-ROW(Накл!$B$9)+1),ROW(D447)-ROW(A439)+1)),"")," ",IFERROR(INDEX(Накл!$C$9:$C$550,SMALL(IF(Накл!$B$9:$B$550=A439,ROW(Накл!$B$9:$B$550)-ROW(Накл!$B$9)+1),ROW(D448)-ROW(A439)+1)),""))</f>
        <v xml:space="preserve">         </v>
      </c>
      <c r="E439" s="26" t="str">
        <f t="array" ref="E439">IF(LEN(D439)&lt;10,CONCATENATE(IFERROR(INDEX(Накл!$C$9:$C$550,SMALL(IF(Накл!$A$9:$A$550=VALUE(LEFT(A439,8)),ROW(Накл!$A$9:$A$550)-ROW(Накл!$A$9)+1),ROW(E439)-ROW(B439)+1)),"")," ",IFERROR(INDEX(Накл!$C$9:$C$550,SMALL(IF(Накл!$A$9:$A$550=VALUE(LEFT(A439,8)),ROW(Накл!$A$9:$A$550)-ROW(Накл!$A$9)+1),ROW(E440)-ROW(B439)+1)),"")," ",IFERROR(INDEX(Накл!$C$9:$C$550,SMALL(IF(Накл!$A$9:$A$550=VALUE(LEFT(A439,8)),ROW(Накл!$A$9:$A$550)-ROW(Накл!$A$9)+1),ROW(E441)-ROW(B439)+1)),"")," ",IFERROR(INDEX(Накл!$C$9:$C$550,SMALL(IF(Накл!$A$9:$A$550=VALUE(LEFT(A439,8)),ROW(Накл!$A$9:$A$550)-ROW(Накл!$A$9)+1),ROW(E442)-ROW(B439)+1)),"")),"")</f>
        <v xml:space="preserve">   </v>
      </c>
    </row>
    <row r="440" spans="1:5">
      <c r="A440" s="26" t="str">
        <f>IFERROR(CONCATENATE(VALUE(SUBSTITUTE(SUBSTITUTE(LEFT(Накл!G447,11),".",""),"-",""))," ",Накл!J447),"-")</f>
        <v>-</v>
      </c>
      <c r="B440" s="26" t="str">
        <f>IFERROR(VLOOKUP(VALUE(LEFT(A440,8)),Накл!$A$9:$D$550,4,0),"-")</f>
        <v>-</v>
      </c>
      <c r="C440" s="26">
        <f>Накл!J447</f>
        <v>0</v>
      </c>
      <c r="D440" s="33" t="str">
        <f t="array" ref="D440">CONCATENATE(IFERROR(INDEX(Накл!$C$9:$C$550,SMALL(IF(Накл!$B$9:$B$550=A440,ROW(Накл!$B$9:$B$550)-ROW(Накл!$B$9)+1),ROW(D440)-ROW(A440)+1)),"")," ",IFERROR(INDEX(Накл!$C$9:$C$550,SMALL(IF(Накл!$B$9:$B$550=A440,ROW(Накл!$B$9:$B$550)-ROW(Накл!$B$9)+1),ROW(D441)-ROW(A440)+1)),"")," ",IFERROR(INDEX(Накл!$C$9:$C$550,SMALL(IF(Накл!$B$9:$B$550=A440,ROW(Накл!$B$9:$B$550)-ROW(Накл!$B$9)+1),ROW(D442)-ROW(A440)+1)),"")," ",IFERROR(INDEX(Накл!$C$9:$C$550,SMALL(IF(Накл!$B$9:$B$550=A440,ROW(Накл!$B$9:$B$550)-ROW(Накл!$B$9)+1),ROW(D443)-ROW(A440)+1)),"")," ",IFERROR(INDEX(Накл!$C$9:$C$550,SMALL(IF(Накл!$B$9:$B$550=A440,ROW(Накл!$B$9:$B$550)-ROW(Накл!$B$9)+1),ROW(D444)-ROW(A440)+1)),"")," ",IFERROR(INDEX(Накл!$C$9:$C$550,SMALL(IF(Накл!$B$9:$B$550=A440,ROW(Накл!$B$9:$B$550)-ROW(Накл!$B$9)+1),ROW(D445)-ROW(A440)+1)),"")," ",IFERROR(INDEX(Накл!$C$9:$C$550,SMALL(IF(Накл!$B$9:$B$550=A440,ROW(Накл!$B$9:$B$550)-ROW(Накл!$B$9)+1),ROW(D446)-ROW(A440)+1)),"")," ",IFERROR(INDEX(Накл!$C$9:$C$550,SMALL(IF(Накл!$B$9:$B$550=A440,ROW(Накл!$B$9:$B$550)-ROW(Накл!$B$9)+1),ROW(D447)-ROW(A440)+1)),"")," ",IFERROR(INDEX(Накл!$C$9:$C$550,SMALL(IF(Накл!$B$9:$B$550=A440,ROW(Накл!$B$9:$B$550)-ROW(Накл!$B$9)+1),ROW(D448)-ROW(A440)+1)),"")," ",IFERROR(INDEX(Накл!$C$9:$C$550,SMALL(IF(Накл!$B$9:$B$550=A440,ROW(Накл!$B$9:$B$550)-ROW(Накл!$B$9)+1),ROW(D449)-ROW(A440)+1)),""))</f>
        <v xml:space="preserve">         </v>
      </c>
      <c r="E440" s="26" t="str">
        <f t="array" ref="E440">IF(LEN(D440)&lt;10,CONCATENATE(IFERROR(INDEX(Накл!$C$9:$C$550,SMALL(IF(Накл!$A$9:$A$550=VALUE(LEFT(A440,8)),ROW(Накл!$A$9:$A$550)-ROW(Накл!$A$9)+1),ROW(E440)-ROW(B440)+1)),"")," ",IFERROR(INDEX(Накл!$C$9:$C$550,SMALL(IF(Накл!$A$9:$A$550=VALUE(LEFT(A440,8)),ROW(Накл!$A$9:$A$550)-ROW(Накл!$A$9)+1),ROW(E441)-ROW(B440)+1)),"")," ",IFERROR(INDEX(Накл!$C$9:$C$550,SMALL(IF(Накл!$A$9:$A$550=VALUE(LEFT(A440,8)),ROW(Накл!$A$9:$A$550)-ROW(Накл!$A$9)+1),ROW(E442)-ROW(B440)+1)),"")," ",IFERROR(INDEX(Накл!$C$9:$C$550,SMALL(IF(Накл!$A$9:$A$550=VALUE(LEFT(A440,8)),ROW(Накл!$A$9:$A$550)-ROW(Накл!$A$9)+1),ROW(E443)-ROW(B440)+1)),"")),"")</f>
        <v xml:space="preserve">   </v>
      </c>
    </row>
    <row r="441" spans="1:5">
      <c r="A441" s="26" t="str">
        <f>IFERROR(CONCATENATE(VALUE(SUBSTITUTE(SUBSTITUTE(LEFT(Накл!G448,11),".",""),"-",""))," ",Накл!J448),"-")</f>
        <v>-</v>
      </c>
      <c r="B441" s="26" t="str">
        <f>IFERROR(VLOOKUP(VALUE(LEFT(A441,8)),Накл!$A$9:$D$550,4,0),"-")</f>
        <v>-</v>
      </c>
      <c r="C441" s="26">
        <f>Накл!J448</f>
        <v>0</v>
      </c>
      <c r="D441" s="33" t="str">
        <f t="array" ref="D441">CONCATENATE(IFERROR(INDEX(Накл!$C$9:$C$550,SMALL(IF(Накл!$B$9:$B$550=A441,ROW(Накл!$B$9:$B$550)-ROW(Накл!$B$9)+1),ROW(D441)-ROW(A441)+1)),"")," ",IFERROR(INDEX(Накл!$C$9:$C$550,SMALL(IF(Накл!$B$9:$B$550=A441,ROW(Накл!$B$9:$B$550)-ROW(Накл!$B$9)+1),ROW(D442)-ROW(A441)+1)),"")," ",IFERROR(INDEX(Накл!$C$9:$C$550,SMALL(IF(Накл!$B$9:$B$550=A441,ROW(Накл!$B$9:$B$550)-ROW(Накл!$B$9)+1),ROW(D443)-ROW(A441)+1)),"")," ",IFERROR(INDEX(Накл!$C$9:$C$550,SMALL(IF(Накл!$B$9:$B$550=A441,ROW(Накл!$B$9:$B$550)-ROW(Накл!$B$9)+1),ROW(D444)-ROW(A441)+1)),"")," ",IFERROR(INDEX(Накл!$C$9:$C$550,SMALL(IF(Накл!$B$9:$B$550=A441,ROW(Накл!$B$9:$B$550)-ROW(Накл!$B$9)+1),ROW(D445)-ROW(A441)+1)),"")," ",IFERROR(INDEX(Накл!$C$9:$C$550,SMALL(IF(Накл!$B$9:$B$550=A441,ROW(Накл!$B$9:$B$550)-ROW(Накл!$B$9)+1),ROW(D446)-ROW(A441)+1)),"")," ",IFERROR(INDEX(Накл!$C$9:$C$550,SMALL(IF(Накл!$B$9:$B$550=A441,ROW(Накл!$B$9:$B$550)-ROW(Накл!$B$9)+1),ROW(D447)-ROW(A441)+1)),"")," ",IFERROR(INDEX(Накл!$C$9:$C$550,SMALL(IF(Накл!$B$9:$B$550=A441,ROW(Накл!$B$9:$B$550)-ROW(Накл!$B$9)+1),ROW(D448)-ROW(A441)+1)),"")," ",IFERROR(INDEX(Накл!$C$9:$C$550,SMALL(IF(Накл!$B$9:$B$550=A441,ROW(Накл!$B$9:$B$550)-ROW(Накл!$B$9)+1),ROW(D449)-ROW(A441)+1)),"")," ",IFERROR(INDEX(Накл!$C$9:$C$550,SMALL(IF(Накл!$B$9:$B$550=A441,ROW(Накл!$B$9:$B$550)-ROW(Накл!$B$9)+1),ROW(D450)-ROW(A441)+1)),""))</f>
        <v xml:space="preserve">         </v>
      </c>
      <c r="E441" s="26" t="str">
        <f t="array" ref="E441">IF(LEN(D441)&lt;10,CONCATENATE(IFERROR(INDEX(Накл!$C$9:$C$550,SMALL(IF(Накл!$A$9:$A$550=VALUE(LEFT(A441,8)),ROW(Накл!$A$9:$A$550)-ROW(Накл!$A$9)+1),ROW(E441)-ROW(B441)+1)),"")," ",IFERROR(INDEX(Накл!$C$9:$C$550,SMALL(IF(Накл!$A$9:$A$550=VALUE(LEFT(A441,8)),ROW(Накл!$A$9:$A$550)-ROW(Накл!$A$9)+1),ROW(E442)-ROW(B441)+1)),"")," ",IFERROR(INDEX(Накл!$C$9:$C$550,SMALL(IF(Накл!$A$9:$A$550=VALUE(LEFT(A441,8)),ROW(Накл!$A$9:$A$550)-ROW(Накл!$A$9)+1),ROW(E443)-ROW(B441)+1)),"")," ",IFERROR(INDEX(Накл!$C$9:$C$550,SMALL(IF(Накл!$A$9:$A$550=VALUE(LEFT(A441,8)),ROW(Накл!$A$9:$A$550)-ROW(Накл!$A$9)+1),ROW(E444)-ROW(B441)+1)),"")),"")</f>
        <v xml:space="preserve">   </v>
      </c>
    </row>
    <row r="442" spans="1:5">
      <c r="A442" s="26" t="str">
        <f>IFERROR(CONCATENATE(VALUE(SUBSTITUTE(SUBSTITUTE(LEFT(Накл!G449,11),".",""),"-",""))," ",Накл!J449),"-")</f>
        <v>-</v>
      </c>
      <c r="B442" s="26" t="str">
        <f>IFERROR(VLOOKUP(VALUE(LEFT(A442,8)),Накл!$A$9:$D$550,4,0),"-")</f>
        <v>-</v>
      </c>
      <c r="C442" s="26">
        <f>Накл!J449</f>
        <v>0</v>
      </c>
      <c r="D442" s="33" t="str">
        <f t="array" ref="D442">CONCATENATE(IFERROR(INDEX(Накл!$C$9:$C$550,SMALL(IF(Накл!$B$9:$B$550=A442,ROW(Накл!$B$9:$B$550)-ROW(Накл!$B$9)+1),ROW(D442)-ROW(A442)+1)),"")," ",IFERROR(INDEX(Накл!$C$9:$C$550,SMALL(IF(Накл!$B$9:$B$550=A442,ROW(Накл!$B$9:$B$550)-ROW(Накл!$B$9)+1),ROW(D443)-ROW(A442)+1)),"")," ",IFERROR(INDEX(Накл!$C$9:$C$550,SMALL(IF(Накл!$B$9:$B$550=A442,ROW(Накл!$B$9:$B$550)-ROW(Накл!$B$9)+1),ROW(D444)-ROW(A442)+1)),"")," ",IFERROR(INDEX(Накл!$C$9:$C$550,SMALL(IF(Накл!$B$9:$B$550=A442,ROW(Накл!$B$9:$B$550)-ROW(Накл!$B$9)+1),ROW(D445)-ROW(A442)+1)),"")," ",IFERROR(INDEX(Накл!$C$9:$C$550,SMALL(IF(Накл!$B$9:$B$550=A442,ROW(Накл!$B$9:$B$550)-ROW(Накл!$B$9)+1),ROW(D446)-ROW(A442)+1)),"")," ",IFERROR(INDEX(Накл!$C$9:$C$550,SMALL(IF(Накл!$B$9:$B$550=A442,ROW(Накл!$B$9:$B$550)-ROW(Накл!$B$9)+1),ROW(D447)-ROW(A442)+1)),"")," ",IFERROR(INDEX(Накл!$C$9:$C$550,SMALL(IF(Накл!$B$9:$B$550=A442,ROW(Накл!$B$9:$B$550)-ROW(Накл!$B$9)+1),ROW(D448)-ROW(A442)+1)),"")," ",IFERROR(INDEX(Накл!$C$9:$C$550,SMALL(IF(Накл!$B$9:$B$550=A442,ROW(Накл!$B$9:$B$550)-ROW(Накл!$B$9)+1),ROW(D449)-ROW(A442)+1)),"")," ",IFERROR(INDEX(Накл!$C$9:$C$550,SMALL(IF(Накл!$B$9:$B$550=A442,ROW(Накл!$B$9:$B$550)-ROW(Накл!$B$9)+1),ROW(D450)-ROW(A442)+1)),"")," ",IFERROR(INDEX(Накл!$C$9:$C$550,SMALL(IF(Накл!$B$9:$B$550=A442,ROW(Накл!$B$9:$B$550)-ROW(Накл!$B$9)+1),ROW(D451)-ROW(A442)+1)),""))</f>
        <v xml:space="preserve">         </v>
      </c>
      <c r="E442" s="26" t="str">
        <f t="array" ref="E442">IF(LEN(D442)&lt;10,CONCATENATE(IFERROR(INDEX(Накл!$C$9:$C$550,SMALL(IF(Накл!$A$9:$A$550=VALUE(LEFT(A442,8)),ROW(Накл!$A$9:$A$550)-ROW(Накл!$A$9)+1),ROW(E442)-ROW(B442)+1)),"")," ",IFERROR(INDEX(Накл!$C$9:$C$550,SMALL(IF(Накл!$A$9:$A$550=VALUE(LEFT(A442,8)),ROW(Накл!$A$9:$A$550)-ROW(Накл!$A$9)+1),ROW(E443)-ROW(B442)+1)),"")," ",IFERROR(INDEX(Накл!$C$9:$C$550,SMALL(IF(Накл!$A$9:$A$550=VALUE(LEFT(A442,8)),ROW(Накл!$A$9:$A$550)-ROW(Накл!$A$9)+1),ROW(E444)-ROW(B442)+1)),"")," ",IFERROR(INDEX(Накл!$C$9:$C$550,SMALL(IF(Накл!$A$9:$A$550=VALUE(LEFT(A442,8)),ROW(Накл!$A$9:$A$550)-ROW(Накл!$A$9)+1),ROW(E445)-ROW(B442)+1)),"")),"")</f>
        <v xml:space="preserve">   </v>
      </c>
    </row>
    <row r="443" spans="1:5">
      <c r="A443" s="26" t="str">
        <f>IFERROR(CONCATENATE(VALUE(SUBSTITUTE(SUBSTITUTE(LEFT(Накл!G450,11),".",""),"-",""))," ",Накл!J450),"-")</f>
        <v>-</v>
      </c>
      <c r="B443" s="26" t="str">
        <f>IFERROR(VLOOKUP(VALUE(LEFT(A443,8)),Накл!$A$9:$D$550,4,0),"-")</f>
        <v>-</v>
      </c>
      <c r="C443" s="26">
        <f>Накл!J450</f>
        <v>0</v>
      </c>
      <c r="D443" s="33" t="str">
        <f t="array" ref="D443">CONCATENATE(IFERROR(INDEX(Накл!$C$9:$C$550,SMALL(IF(Накл!$B$9:$B$550=A443,ROW(Накл!$B$9:$B$550)-ROW(Накл!$B$9)+1),ROW(D443)-ROW(A443)+1)),"")," ",IFERROR(INDEX(Накл!$C$9:$C$550,SMALL(IF(Накл!$B$9:$B$550=A443,ROW(Накл!$B$9:$B$550)-ROW(Накл!$B$9)+1),ROW(D444)-ROW(A443)+1)),"")," ",IFERROR(INDEX(Накл!$C$9:$C$550,SMALL(IF(Накл!$B$9:$B$550=A443,ROW(Накл!$B$9:$B$550)-ROW(Накл!$B$9)+1),ROW(D445)-ROW(A443)+1)),"")," ",IFERROR(INDEX(Накл!$C$9:$C$550,SMALL(IF(Накл!$B$9:$B$550=A443,ROW(Накл!$B$9:$B$550)-ROW(Накл!$B$9)+1),ROW(D446)-ROW(A443)+1)),"")," ",IFERROR(INDEX(Накл!$C$9:$C$550,SMALL(IF(Накл!$B$9:$B$550=A443,ROW(Накл!$B$9:$B$550)-ROW(Накл!$B$9)+1),ROW(D447)-ROW(A443)+1)),"")," ",IFERROR(INDEX(Накл!$C$9:$C$550,SMALL(IF(Накл!$B$9:$B$550=A443,ROW(Накл!$B$9:$B$550)-ROW(Накл!$B$9)+1),ROW(D448)-ROW(A443)+1)),"")," ",IFERROR(INDEX(Накл!$C$9:$C$550,SMALL(IF(Накл!$B$9:$B$550=A443,ROW(Накл!$B$9:$B$550)-ROW(Накл!$B$9)+1),ROW(D449)-ROW(A443)+1)),"")," ",IFERROR(INDEX(Накл!$C$9:$C$550,SMALL(IF(Накл!$B$9:$B$550=A443,ROW(Накл!$B$9:$B$550)-ROW(Накл!$B$9)+1),ROW(D450)-ROW(A443)+1)),"")," ",IFERROR(INDEX(Накл!$C$9:$C$550,SMALL(IF(Накл!$B$9:$B$550=A443,ROW(Накл!$B$9:$B$550)-ROW(Накл!$B$9)+1),ROW(D451)-ROW(A443)+1)),"")," ",IFERROR(INDEX(Накл!$C$9:$C$550,SMALL(IF(Накл!$B$9:$B$550=A443,ROW(Накл!$B$9:$B$550)-ROW(Накл!$B$9)+1),ROW(D452)-ROW(A443)+1)),""))</f>
        <v xml:space="preserve">         </v>
      </c>
      <c r="E443" s="26" t="str">
        <f t="array" ref="E443">IF(LEN(D443)&lt;10,CONCATENATE(IFERROR(INDEX(Накл!$C$9:$C$550,SMALL(IF(Накл!$A$9:$A$550=VALUE(LEFT(A443,8)),ROW(Накл!$A$9:$A$550)-ROW(Накл!$A$9)+1),ROW(E443)-ROW(B443)+1)),"")," ",IFERROR(INDEX(Накл!$C$9:$C$550,SMALL(IF(Накл!$A$9:$A$550=VALUE(LEFT(A443,8)),ROW(Накл!$A$9:$A$550)-ROW(Накл!$A$9)+1),ROW(E444)-ROW(B443)+1)),"")," ",IFERROR(INDEX(Накл!$C$9:$C$550,SMALL(IF(Накл!$A$9:$A$550=VALUE(LEFT(A443,8)),ROW(Накл!$A$9:$A$550)-ROW(Накл!$A$9)+1),ROW(E445)-ROW(B443)+1)),"")," ",IFERROR(INDEX(Накл!$C$9:$C$550,SMALL(IF(Накл!$A$9:$A$550=VALUE(LEFT(A443,8)),ROW(Накл!$A$9:$A$550)-ROW(Накл!$A$9)+1),ROW(E446)-ROW(B443)+1)),"")),"")</f>
        <v xml:space="preserve">   </v>
      </c>
    </row>
    <row r="444" spans="1:5">
      <c r="A444" s="26" t="str">
        <f>IFERROR(CONCATENATE(VALUE(SUBSTITUTE(SUBSTITUTE(LEFT(Накл!G451,11),".",""),"-",""))," ",Накл!J451),"-")</f>
        <v>-</v>
      </c>
      <c r="B444" s="26" t="str">
        <f>IFERROR(VLOOKUP(VALUE(LEFT(A444,8)),Накл!$A$9:$D$550,4,0),"-")</f>
        <v>-</v>
      </c>
      <c r="C444" s="26">
        <f>Накл!J451</f>
        <v>0</v>
      </c>
      <c r="D444" s="33" t="str">
        <f t="array" ref="D444">CONCATENATE(IFERROR(INDEX(Накл!$C$9:$C$550,SMALL(IF(Накл!$B$9:$B$550=A444,ROW(Накл!$B$9:$B$550)-ROW(Накл!$B$9)+1),ROW(D444)-ROW(A444)+1)),"")," ",IFERROR(INDEX(Накл!$C$9:$C$550,SMALL(IF(Накл!$B$9:$B$550=A444,ROW(Накл!$B$9:$B$550)-ROW(Накл!$B$9)+1),ROW(D445)-ROW(A444)+1)),"")," ",IFERROR(INDEX(Накл!$C$9:$C$550,SMALL(IF(Накл!$B$9:$B$550=A444,ROW(Накл!$B$9:$B$550)-ROW(Накл!$B$9)+1),ROW(D446)-ROW(A444)+1)),"")," ",IFERROR(INDEX(Накл!$C$9:$C$550,SMALL(IF(Накл!$B$9:$B$550=A444,ROW(Накл!$B$9:$B$550)-ROW(Накл!$B$9)+1),ROW(D447)-ROW(A444)+1)),"")," ",IFERROR(INDEX(Накл!$C$9:$C$550,SMALL(IF(Накл!$B$9:$B$550=A444,ROW(Накл!$B$9:$B$550)-ROW(Накл!$B$9)+1),ROW(D448)-ROW(A444)+1)),"")," ",IFERROR(INDEX(Накл!$C$9:$C$550,SMALL(IF(Накл!$B$9:$B$550=A444,ROW(Накл!$B$9:$B$550)-ROW(Накл!$B$9)+1),ROW(D449)-ROW(A444)+1)),"")," ",IFERROR(INDEX(Накл!$C$9:$C$550,SMALL(IF(Накл!$B$9:$B$550=A444,ROW(Накл!$B$9:$B$550)-ROW(Накл!$B$9)+1),ROW(D450)-ROW(A444)+1)),"")," ",IFERROR(INDEX(Накл!$C$9:$C$550,SMALL(IF(Накл!$B$9:$B$550=A444,ROW(Накл!$B$9:$B$550)-ROW(Накл!$B$9)+1),ROW(D451)-ROW(A444)+1)),"")," ",IFERROR(INDEX(Накл!$C$9:$C$550,SMALL(IF(Накл!$B$9:$B$550=A444,ROW(Накл!$B$9:$B$550)-ROW(Накл!$B$9)+1),ROW(D452)-ROW(A444)+1)),"")," ",IFERROR(INDEX(Накл!$C$9:$C$550,SMALL(IF(Накл!$B$9:$B$550=A444,ROW(Накл!$B$9:$B$550)-ROW(Накл!$B$9)+1),ROW(D453)-ROW(A444)+1)),""))</f>
        <v xml:space="preserve">         </v>
      </c>
      <c r="E444" s="26" t="str">
        <f t="array" ref="E444">IF(LEN(D444)&lt;10,CONCATENATE(IFERROR(INDEX(Накл!$C$9:$C$550,SMALL(IF(Накл!$A$9:$A$550=VALUE(LEFT(A444,8)),ROW(Накл!$A$9:$A$550)-ROW(Накл!$A$9)+1),ROW(E444)-ROW(B444)+1)),"")," ",IFERROR(INDEX(Накл!$C$9:$C$550,SMALL(IF(Накл!$A$9:$A$550=VALUE(LEFT(A444,8)),ROW(Накл!$A$9:$A$550)-ROW(Накл!$A$9)+1),ROW(E445)-ROW(B444)+1)),"")," ",IFERROR(INDEX(Накл!$C$9:$C$550,SMALL(IF(Накл!$A$9:$A$550=VALUE(LEFT(A444,8)),ROW(Накл!$A$9:$A$550)-ROW(Накл!$A$9)+1),ROW(E446)-ROW(B444)+1)),"")," ",IFERROR(INDEX(Накл!$C$9:$C$550,SMALL(IF(Накл!$A$9:$A$550=VALUE(LEFT(A444,8)),ROW(Накл!$A$9:$A$550)-ROW(Накл!$A$9)+1),ROW(E447)-ROW(B444)+1)),"")),"")</f>
        <v xml:space="preserve">   </v>
      </c>
    </row>
    <row r="445" spans="1:5">
      <c r="A445" s="26" t="str">
        <f>IFERROR(CONCATENATE(VALUE(SUBSTITUTE(SUBSTITUTE(LEFT(Накл!G452,11),".",""),"-",""))," ",Накл!J452),"-")</f>
        <v>-</v>
      </c>
      <c r="B445" s="26" t="str">
        <f>IFERROR(VLOOKUP(VALUE(LEFT(A445,8)),Накл!$A$9:$D$550,4,0),"-")</f>
        <v>-</v>
      </c>
      <c r="C445" s="26">
        <f>Накл!J452</f>
        <v>0</v>
      </c>
      <c r="D445" s="33" t="str">
        <f t="array" ref="D445">CONCATENATE(IFERROR(INDEX(Накл!$C$9:$C$550,SMALL(IF(Накл!$B$9:$B$550=A445,ROW(Накл!$B$9:$B$550)-ROW(Накл!$B$9)+1),ROW(D445)-ROW(A445)+1)),"")," ",IFERROR(INDEX(Накл!$C$9:$C$550,SMALL(IF(Накл!$B$9:$B$550=A445,ROW(Накл!$B$9:$B$550)-ROW(Накл!$B$9)+1),ROW(D446)-ROW(A445)+1)),"")," ",IFERROR(INDEX(Накл!$C$9:$C$550,SMALL(IF(Накл!$B$9:$B$550=A445,ROW(Накл!$B$9:$B$550)-ROW(Накл!$B$9)+1),ROW(D447)-ROW(A445)+1)),"")," ",IFERROR(INDEX(Накл!$C$9:$C$550,SMALL(IF(Накл!$B$9:$B$550=A445,ROW(Накл!$B$9:$B$550)-ROW(Накл!$B$9)+1),ROW(D448)-ROW(A445)+1)),"")," ",IFERROR(INDEX(Накл!$C$9:$C$550,SMALL(IF(Накл!$B$9:$B$550=A445,ROW(Накл!$B$9:$B$550)-ROW(Накл!$B$9)+1),ROW(D449)-ROW(A445)+1)),"")," ",IFERROR(INDEX(Накл!$C$9:$C$550,SMALL(IF(Накл!$B$9:$B$550=A445,ROW(Накл!$B$9:$B$550)-ROW(Накл!$B$9)+1),ROW(D450)-ROW(A445)+1)),"")," ",IFERROR(INDEX(Накл!$C$9:$C$550,SMALL(IF(Накл!$B$9:$B$550=A445,ROW(Накл!$B$9:$B$550)-ROW(Накл!$B$9)+1),ROW(D451)-ROW(A445)+1)),"")," ",IFERROR(INDEX(Накл!$C$9:$C$550,SMALL(IF(Накл!$B$9:$B$550=A445,ROW(Накл!$B$9:$B$550)-ROW(Накл!$B$9)+1),ROW(D452)-ROW(A445)+1)),"")," ",IFERROR(INDEX(Накл!$C$9:$C$550,SMALL(IF(Накл!$B$9:$B$550=A445,ROW(Накл!$B$9:$B$550)-ROW(Накл!$B$9)+1),ROW(D453)-ROW(A445)+1)),"")," ",IFERROR(INDEX(Накл!$C$9:$C$550,SMALL(IF(Накл!$B$9:$B$550=A445,ROW(Накл!$B$9:$B$550)-ROW(Накл!$B$9)+1),ROW(D454)-ROW(A445)+1)),""))</f>
        <v xml:space="preserve">         </v>
      </c>
      <c r="E445" s="26" t="str">
        <f t="array" ref="E445">IF(LEN(D445)&lt;10,CONCATENATE(IFERROR(INDEX(Накл!$C$9:$C$550,SMALL(IF(Накл!$A$9:$A$550=VALUE(LEFT(A445,8)),ROW(Накл!$A$9:$A$550)-ROW(Накл!$A$9)+1),ROW(E445)-ROW(B445)+1)),"")," ",IFERROR(INDEX(Накл!$C$9:$C$550,SMALL(IF(Накл!$A$9:$A$550=VALUE(LEFT(A445,8)),ROW(Накл!$A$9:$A$550)-ROW(Накл!$A$9)+1),ROW(E446)-ROW(B445)+1)),"")," ",IFERROR(INDEX(Накл!$C$9:$C$550,SMALL(IF(Накл!$A$9:$A$550=VALUE(LEFT(A445,8)),ROW(Накл!$A$9:$A$550)-ROW(Накл!$A$9)+1),ROW(E447)-ROW(B445)+1)),"")," ",IFERROR(INDEX(Накл!$C$9:$C$550,SMALL(IF(Накл!$A$9:$A$550=VALUE(LEFT(A445,8)),ROW(Накл!$A$9:$A$550)-ROW(Накл!$A$9)+1),ROW(E448)-ROW(B445)+1)),"")),"")</f>
        <v xml:space="preserve">   </v>
      </c>
    </row>
    <row r="446" spans="1:5">
      <c r="A446" s="26" t="str">
        <f>IFERROR(CONCATENATE(VALUE(SUBSTITUTE(SUBSTITUTE(LEFT(Накл!G453,11),".",""),"-",""))," ",Накл!J453),"-")</f>
        <v>-</v>
      </c>
      <c r="B446" s="26" t="str">
        <f>IFERROR(VLOOKUP(VALUE(LEFT(A446,8)),Накл!$A$9:$D$550,4,0),"-")</f>
        <v>-</v>
      </c>
      <c r="C446" s="26">
        <f>Накл!J453</f>
        <v>0</v>
      </c>
      <c r="D446" s="33" t="str">
        <f t="array" ref="D446">CONCATENATE(IFERROR(INDEX(Накл!$C$9:$C$550,SMALL(IF(Накл!$B$9:$B$550=A446,ROW(Накл!$B$9:$B$550)-ROW(Накл!$B$9)+1),ROW(D446)-ROW(A446)+1)),"")," ",IFERROR(INDEX(Накл!$C$9:$C$550,SMALL(IF(Накл!$B$9:$B$550=A446,ROW(Накл!$B$9:$B$550)-ROW(Накл!$B$9)+1),ROW(D447)-ROW(A446)+1)),"")," ",IFERROR(INDEX(Накл!$C$9:$C$550,SMALL(IF(Накл!$B$9:$B$550=A446,ROW(Накл!$B$9:$B$550)-ROW(Накл!$B$9)+1),ROW(D448)-ROW(A446)+1)),"")," ",IFERROR(INDEX(Накл!$C$9:$C$550,SMALL(IF(Накл!$B$9:$B$550=A446,ROW(Накл!$B$9:$B$550)-ROW(Накл!$B$9)+1),ROW(D449)-ROW(A446)+1)),"")," ",IFERROR(INDEX(Накл!$C$9:$C$550,SMALL(IF(Накл!$B$9:$B$550=A446,ROW(Накл!$B$9:$B$550)-ROW(Накл!$B$9)+1),ROW(D450)-ROW(A446)+1)),"")," ",IFERROR(INDEX(Накл!$C$9:$C$550,SMALL(IF(Накл!$B$9:$B$550=A446,ROW(Накл!$B$9:$B$550)-ROW(Накл!$B$9)+1),ROW(D451)-ROW(A446)+1)),"")," ",IFERROR(INDEX(Накл!$C$9:$C$550,SMALL(IF(Накл!$B$9:$B$550=A446,ROW(Накл!$B$9:$B$550)-ROW(Накл!$B$9)+1),ROW(D452)-ROW(A446)+1)),"")," ",IFERROR(INDEX(Накл!$C$9:$C$550,SMALL(IF(Накл!$B$9:$B$550=A446,ROW(Накл!$B$9:$B$550)-ROW(Накл!$B$9)+1),ROW(D453)-ROW(A446)+1)),"")," ",IFERROR(INDEX(Накл!$C$9:$C$550,SMALL(IF(Накл!$B$9:$B$550=A446,ROW(Накл!$B$9:$B$550)-ROW(Накл!$B$9)+1),ROW(D454)-ROW(A446)+1)),"")," ",IFERROR(INDEX(Накл!$C$9:$C$550,SMALL(IF(Накл!$B$9:$B$550=A446,ROW(Накл!$B$9:$B$550)-ROW(Накл!$B$9)+1),ROW(D455)-ROW(A446)+1)),""))</f>
        <v xml:space="preserve">         </v>
      </c>
      <c r="E446" s="26" t="str">
        <f t="array" ref="E446">IF(LEN(D446)&lt;10,CONCATENATE(IFERROR(INDEX(Накл!$C$9:$C$550,SMALL(IF(Накл!$A$9:$A$550=VALUE(LEFT(A446,8)),ROW(Накл!$A$9:$A$550)-ROW(Накл!$A$9)+1),ROW(E446)-ROW(B446)+1)),"")," ",IFERROR(INDEX(Накл!$C$9:$C$550,SMALL(IF(Накл!$A$9:$A$550=VALUE(LEFT(A446,8)),ROW(Накл!$A$9:$A$550)-ROW(Накл!$A$9)+1),ROW(E447)-ROW(B446)+1)),"")," ",IFERROR(INDEX(Накл!$C$9:$C$550,SMALL(IF(Накл!$A$9:$A$550=VALUE(LEFT(A446,8)),ROW(Накл!$A$9:$A$550)-ROW(Накл!$A$9)+1),ROW(E448)-ROW(B446)+1)),"")," ",IFERROR(INDEX(Накл!$C$9:$C$550,SMALL(IF(Накл!$A$9:$A$550=VALUE(LEFT(A446,8)),ROW(Накл!$A$9:$A$550)-ROW(Накл!$A$9)+1),ROW(E449)-ROW(B446)+1)),"")),"")</f>
        <v xml:space="preserve">   </v>
      </c>
    </row>
    <row r="447" spans="1:5">
      <c r="A447" s="26" t="str">
        <f>IFERROR(CONCATENATE(VALUE(SUBSTITUTE(SUBSTITUTE(LEFT(Накл!G454,11),".",""),"-",""))," ",Накл!J454),"-")</f>
        <v>-</v>
      </c>
      <c r="B447" s="26" t="str">
        <f>IFERROR(VLOOKUP(VALUE(LEFT(A447,8)),Накл!$A$9:$D$550,4,0),"-")</f>
        <v>-</v>
      </c>
      <c r="C447" s="26">
        <f>Накл!J454</f>
        <v>0</v>
      </c>
      <c r="D447" s="33" t="str">
        <f t="array" ref="D447">CONCATENATE(IFERROR(INDEX(Накл!$C$9:$C$550,SMALL(IF(Накл!$B$9:$B$550=A447,ROW(Накл!$B$9:$B$550)-ROW(Накл!$B$9)+1),ROW(D447)-ROW(A447)+1)),"")," ",IFERROR(INDEX(Накл!$C$9:$C$550,SMALL(IF(Накл!$B$9:$B$550=A447,ROW(Накл!$B$9:$B$550)-ROW(Накл!$B$9)+1),ROW(D448)-ROW(A447)+1)),"")," ",IFERROR(INDEX(Накл!$C$9:$C$550,SMALL(IF(Накл!$B$9:$B$550=A447,ROW(Накл!$B$9:$B$550)-ROW(Накл!$B$9)+1),ROW(D449)-ROW(A447)+1)),"")," ",IFERROR(INDEX(Накл!$C$9:$C$550,SMALL(IF(Накл!$B$9:$B$550=A447,ROW(Накл!$B$9:$B$550)-ROW(Накл!$B$9)+1),ROW(D450)-ROW(A447)+1)),"")," ",IFERROR(INDEX(Накл!$C$9:$C$550,SMALL(IF(Накл!$B$9:$B$550=A447,ROW(Накл!$B$9:$B$550)-ROW(Накл!$B$9)+1),ROW(D451)-ROW(A447)+1)),"")," ",IFERROR(INDEX(Накл!$C$9:$C$550,SMALL(IF(Накл!$B$9:$B$550=A447,ROW(Накл!$B$9:$B$550)-ROW(Накл!$B$9)+1),ROW(D452)-ROW(A447)+1)),"")," ",IFERROR(INDEX(Накл!$C$9:$C$550,SMALL(IF(Накл!$B$9:$B$550=A447,ROW(Накл!$B$9:$B$550)-ROW(Накл!$B$9)+1),ROW(D453)-ROW(A447)+1)),"")," ",IFERROR(INDEX(Накл!$C$9:$C$550,SMALL(IF(Накл!$B$9:$B$550=A447,ROW(Накл!$B$9:$B$550)-ROW(Накл!$B$9)+1),ROW(D454)-ROW(A447)+1)),"")," ",IFERROR(INDEX(Накл!$C$9:$C$550,SMALL(IF(Накл!$B$9:$B$550=A447,ROW(Накл!$B$9:$B$550)-ROW(Накл!$B$9)+1),ROW(D455)-ROW(A447)+1)),"")," ",IFERROR(INDEX(Накл!$C$9:$C$550,SMALL(IF(Накл!$B$9:$B$550=A447,ROW(Накл!$B$9:$B$550)-ROW(Накл!$B$9)+1),ROW(D456)-ROW(A447)+1)),""))</f>
        <v xml:space="preserve">         </v>
      </c>
      <c r="E447" s="26" t="str">
        <f t="array" ref="E447">IF(LEN(D447)&lt;10,CONCATENATE(IFERROR(INDEX(Накл!$C$9:$C$550,SMALL(IF(Накл!$A$9:$A$550=VALUE(LEFT(A447,8)),ROW(Накл!$A$9:$A$550)-ROW(Накл!$A$9)+1),ROW(E447)-ROW(B447)+1)),"")," ",IFERROR(INDEX(Накл!$C$9:$C$550,SMALL(IF(Накл!$A$9:$A$550=VALUE(LEFT(A447,8)),ROW(Накл!$A$9:$A$550)-ROW(Накл!$A$9)+1),ROW(E448)-ROW(B447)+1)),"")," ",IFERROR(INDEX(Накл!$C$9:$C$550,SMALL(IF(Накл!$A$9:$A$550=VALUE(LEFT(A447,8)),ROW(Накл!$A$9:$A$550)-ROW(Накл!$A$9)+1),ROW(E449)-ROW(B447)+1)),"")," ",IFERROR(INDEX(Накл!$C$9:$C$550,SMALL(IF(Накл!$A$9:$A$550=VALUE(LEFT(A447,8)),ROW(Накл!$A$9:$A$550)-ROW(Накл!$A$9)+1),ROW(E450)-ROW(B447)+1)),"")),"")</f>
        <v xml:space="preserve">   </v>
      </c>
    </row>
    <row r="448" spans="1:5">
      <c r="A448" s="26" t="str">
        <f>IFERROR(CONCATENATE(VALUE(SUBSTITUTE(SUBSTITUTE(LEFT(Накл!G455,11),".",""),"-",""))," ",Накл!J455),"-")</f>
        <v>-</v>
      </c>
      <c r="B448" s="26" t="str">
        <f>IFERROR(VLOOKUP(VALUE(LEFT(A448,8)),Накл!$A$9:$D$550,4,0),"-")</f>
        <v>-</v>
      </c>
      <c r="C448" s="26">
        <f>Накл!J455</f>
        <v>0</v>
      </c>
      <c r="D448" s="33" t="str">
        <f t="array" ref="D448">CONCATENATE(IFERROR(INDEX(Накл!$C$9:$C$550,SMALL(IF(Накл!$B$9:$B$550=A448,ROW(Накл!$B$9:$B$550)-ROW(Накл!$B$9)+1),ROW(D448)-ROW(A448)+1)),"")," ",IFERROR(INDEX(Накл!$C$9:$C$550,SMALL(IF(Накл!$B$9:$B$550=A448,ROW(Накл!$B$9:$B$550)-ROW(Накл!$B$9)+1),ROW(D449)-ROW(A448)+1)),"")," ",IFERROR(INDEX(Накл!$C$9:$C$550,SMALL(IF(Накл!$B$9:$B$550=A448,ROW(Накл!$B$9:$B$550)-ROW(Накл!$B$9)+1),ROW(D450)-ROW(A448)+1)),"")," ",IFERROR(INDEX(Накл!$C$9:$C$550,SMALL(IF(Накл!$B$9:$B$550=A448,ROW(Накл!$B$9:$B$550)-ROW(Накл!$B$9)+1),ROW(D451)-ROW(A448)+1)),"")," ",IFERROR(INDEX(Накл!$C$9:$C$550,SMALL(IF(Накл!$B$9:$B$550=A448,ROW(Накл!$B$9:$B$550)-ROW(Накл!$B$9)+1),ROW(D452)-ROW(A448)+1)),"")," ",IFERROR(INDEX(Накл!$C$9:$C$550,SMALL(IF(Накл!$B$9:$B$550=A448,ROW(Накл!$B$9:$B$550)-ROW(Накл!$B$9)+1),ROW(D453)-ROW(A448)+1)),"")," ",IFERROR(INDEX(Накл!$C$9:$C$550,SMALL(IF(Накл!$B$9:$B$550=A448,ROW(Накл!$B$9:$B$550)-ROW(Накл!$B$9)+1),ROW(D454)-ROW(A448)+1)),"")," ",IFERROR(INDEX(Накл!$C$9:$C$550,SMALL(IF(Накл!$B$9:$B$550=A448,ROW(Накл!$B$9:$B$550)-ROW(Накл!$B$9)+1),ROW(D455)-ROW(A448)+1)),"")," ",IFERROR(INDEX(Накл!$C$9:$C$550,SMALL(IF(Накл!$B$9:$B$550=A448,ROW(Накл!$B$9:$B$550)-ROW(Накл!$B$9)+1),ROW(D456)-ROW(A448)+1)),"")," ",IFERROR(INDEX(Накл!$C$9:$C$550,SMALL(IF(Накл!$B$9:$B$550=A448,ROW(Накл!$B$9:$B$550)-ROW(Накл!$B$9)+1),ROW(D457)-ROW(A448)+1)),""))</f>
        <v xml:space="preserve">         </v>
      </c>
      <c r="E448" s="26" t="str">
        <f t="array" ref="E448">IF(LEN(D448)&lt;10,CONCATENATE(IFERROR(INDEX(Накл!$C$9:$C$550,SMALL(IF(Накл!$A$9:$A$550=VALUE(LEFT(A448,8)),ROW(Накл!$A$9:$A$550)-ROW(Накл!$A$9)+1),ROW(E448)-ROW(B448)+1)),"")," ",IFERROR(INDEX(Накл!$C$9:$C$550,SMALL(IF(Накл!$A$9:$A$550=VALUE(LEFT(A448,8)),ROW(Накл!$A$9:$A$550)-ROW(Накл!$A$9)+1),ROW(E449)-ROW(B448)+1)),"")," ",IFERROR(INDEX(Накл!$C$9:$C$550,SMALL(IF(Накл!$A$9:$A$550=VALUE(LEFT(A448,8)),ROW(Накл!$A$9:$A$550)-ROW(Накл!$A$9)+1),ROW(E450)-ROW(B448)+1)),"")," ",IFERROR(INDEX(Накл!$C$9:$C$550,SMALL(IF(Накл!$A$9:$A$550=VALUE(LEFT(A448,8)),ROW(Накл!$A$9:$A$550)-ROW(Накл!$A$9)+1),ROW(E451)-ROW(B448)+1)),"")),"")</f>
        <v xml:space="preserve">   </v>
      </c>
    </row>
    <row r="449" spans="1:5">
      <c r="A449" s="26" t="str">
        <f>IFERROR(CONCATENATE(VALUE(SUBSTITUTE(SUBSTITUTE(LEFT(Накл!G456,11),".",""),"-",""))," ",Накл!J456),"-")</f>
        <v>-</v>
      </c>
      <c r="B449" s="26" t="str">
        <f>IFERROR(VLOOKUP(VALUE(LEFT(A449,8)),Накл!$A$9:$D$550,4,0),"-")</f>
        <v>-</v>
      </c>
      <c r="C449" s="26">
        <f>Накл!J456</f>
        <v>0</v>
      </c>
      <c r="D449" s="33" t="str">
        <f t="array" ref="D449">CONCATENATE(IFERROR(INDEX(Накл!$C$9:$C$550,SMALL(IF(Накл!$B$9:$B$550=A449,ROW(Накл!$B$9:$B$550)-ROW(Накл!$B$9)+1),ROW(D449)-ROW(A449)+1)),"")," ",IFERROR(INDEX(Накл!$C$9:$C$550,SMALL(IF(Накл!$B$9:$B$550=A449,ROW(Накл!$B$9:$B$550)-ROW(Накл!$B$9)+1),ROW(D450)-ROW(A449)+1)),"")," ",IFERROR(INDEX(Накл!$C$9:$C$550,SMALL(IF(Накл!$B$9:$B$550=A449,ROW(Накл!$B$9:$B$550)-ROW(Накл!$B$9)+1),ROW(D451)-ROW(A449)+1)),"")," ",IFERROR(INDEX(Накл!$C$9:$C$550,SMALL(IF(Накл!$B$9:$B$550=A449,ROW(Накл!$B$9:$B$550)-ROW(Накл!$B$9)+1),ROW(D452)-ROW(A449)+1)),"")," ",IFERROR(INDEX(Накл!$C$9:$C$550,SMALL(IF(Накл!$B$9:$B$550=A449,ROW(Накл!$B$9:$B$550)-ROW(Накл!$B$9)+1),ROW(D453)-ROW(A449)+1)),"")," ",IFERROR(INDEX(Накл!$C$9:$C$550,SMALL(IF(Накл!$B$9:$B$550=A449,ROW(Накл!$B$9:$B$550)-ROW(Накл!$B$9)+1),ROW(D454)-ROW(A449)+1)),"")," ",IFERROR(INDEX(Накл!$C$9:$C$550,SMALL(IF(Накл!$B$9:$B$550=A449,ROW(Накл!$B$9:$B$550)-ROW(Накл!$B$9)+1),ROW(D455)-ROW(A449)+1)),"")," ",IFERROR(INDEX(Накл!$C$9:$C$550,SMALL(IF(Накл!$B$9:$B$550=A449,ROW(Накл!$B$9:$B$550)-ROW(Накл!$B$9)+1),ROW(D456)-ROW(A449)+1)),"")," ",IFERROR(INDEX(Накл!$C$9:$C$550,SMALL(IF(Накл!$B$9:$B$550=A449,ROW(Накл!$B$9:$B$550)-ROW(Накл!$B$9)+1),ROW(D457)-ROW(A449)+1)),"")," ",IFERROR(INDEX(Накл!$C$9:$C$550,SMALL(IF(Накл!$B$9:$B$550=A449,ROW(Накл!$B$9:$B$550)-ROW(Накл!$B$9)+1),ROW(D458)-ROW(A449)+1)),""))</f>
        <v xml:space="preserve">         </v>
      </c>
      <c r="E449" s="26" t="str">
        <f t="array" ref="E449">IF(LEN(D449)&lt;10,CONCATENATE(IFERROR(INDEX(Накл!$C$9:$C$550,SMALL(IF(Накл!$A$9:$A$550=VALUE(LEFT(A449,8)),ROW(Накл!$A$9:$A$550)-ROW(Накл!$A$9)+1),ROW(E449)-ROW(B449)+1)),"")," ",IFERROR(INDEX(Накл!$C$9:$C$550,SMALL(IF(Накл!$A$9:$A$550=VALUE(LEFT(A449,8)),ROW(Накл!$A$9:$A$550)-ROW(Накл!$A$9)+1),ROW(E450)-ROW(B449)+1)),"")," ",IFERROR(INDEX(Накл!$C$9:$C$550,SMALL(IF(Накл!$A$9:$A$550=VALUE(LEFT(A449,8)),ROW(Накл!$A$9:$A$550)-ROW(Накл!$A$9)+1),ROW(E451)-ROW(B449)+1)),"")," ",IFERROR(INDEX(Накл!$C$9:$C$550,SMALL(IF(Накл!$A$9:$A$550=VALUE(LEFT(A449,8)),ROW(Накл!$A$9:$A$550)-ROW(Накл!$A$9)+1),ROW(E452)-ROW(B449)+1)),"")),"")</f>
        <v xml:space="preserve">   </v>
      </c>
    </row>
    <row r="450" spans="1:5">
      <c r="A450" s="26" t="str">
        <f>IFERROR(CONCATENATE(VALUE(SUBSTITUTE(SUBSTITUTE(LEFT(Накл!G457,11),".",""),"-",""))," ",Накл!J457),"-")</f>
        <v>-</v>
      </c>
      <c r="B450" s="26" t="str">
        <f>IFERROR(VLOOKUP(VALUE(LEFT(A450,8)),Накл!$A$9:$D$550,4,0),"-")</f>
        <v>-</v>
      </c>
      <c r="C450" s="26">
        <f>Накл!J457</f>
        <v>0</v>
      </c>
      <c r="D450" s="33" t="str">
        <f t="array" ref="D450">CONCATENATE(IFERROR(INDEX(Накл!$C$9:$C$550,SMALL(IF(Накл!$B$9:$B$550=A450,ROW(Накл!$B$9:$B$550)-ROW(Накл!$B$9)+1),ROW(D450)-ROW(A450)+1)),"")," ",IFERROR(INDEX(Накл!$C$9:$C$550,SMALL(IF(Накл!$B$9:$B$550=A450,ROW(Накл!$B$9:$B$550)-ROW(Накл!$B$9)+1),ROW(D451)-ROW(A450)+1)),"")," ",IFERROR(INDEX(Накл!$C$9:$C$550,SMALL(IF(Накл!$B$9:$B$550=A450,ROW(Накл!$B$9:$B$550)-ROW(Накл!$B$9)+1),ROW(D452)-ROW(A450)+1)),"")," ",IFERROR(INDEX(Накл!$C$9:$C$550,SMALL(IF(Накл!$B$9:$B$550=A450,ROW(Накл!$B$9:$B$550)-ROW(Накл!$B$9)+1),ROW(D453)-ROW(A450)+1)),"")," ",IFERROR(INDEX(Накл!$C$9:$C$550,SMALL(IF(Накл!$B$9:$B$550=A450,ROW(Накл!$B$9:$B$550)-ROW(Накл!$B$9)+1),ROW(D454)-ROW(A450)+1)),"")," ",IFERROR(INDEX(Накл!$C$9:$C$550,SMALL(IF(Накл!$B$9:$B$550=A450,ROW(Накл!$B$9:$B$550)-ROW(Накл!$B$9)+1),ROW(D455)-ROW(A450)+1)),"")," ",IFERROR(INDEX(Накл!$C$9:$C$550,SMALL(IF(Накл!$B$9:$B$550=A450,ROW(Накл!$B$9:$B$550)-ROW(Накл!$B$9)+1),ROW(D456)-ROW(A450)+1)),"")," ",IFERROR(INDEX(Накл!$C$9:$C$550,SMALL(IF(Накл!$B$9:$B$550=A450,ROW(Накл!$B$9:$B$550)-ROW(Накл!$B$9)+1),ROW(D457)-ROW(A450)+1)),"")," ",IFERROR(INDEX(Накл!$C$9:$C$550,SMALL(IF(Накл!$B$9:$B$550=A450,ROW(Накл!$B$9:$B$550)-ROW(Накл!$B$9)+1),ROW(D458)-ROW(A450)+1)),"")," ",IFERROR(INDEX(Накл!$C$9:$C$550,SMALL(IF(Накл!$B$9:$B$550=A450,ROW(Накл!$B$9:$B$550)-ROW(Накл!$B$9)+1),ROW(D459)-ROW(A450)+1)),""))</f>
        <v xml:space="preserve">         </v>
      </c>
      <c r="E450" s="26" t="str">
        <f t="array" ref="E450">IF(LEN(D450)&lt;10,CONCATENATE(IFERROR(INDEX(Накл!$C$9:$C$550,SMALL(IF(Накл!$A$9:$A$550=VALUE(LEFT(A450,8)),ROW(Накл!$A$9:$A$550)-ROW(Накл!$A$9)+1),ROW(E450)-ROW(B450)+1)),"")," ",IFERROR(INDEX(Накл!$C$9:$C$550,SMALL(IF(Накл!$A$9:$A$550=VALUE(LEFT(A450,8)),ROW(Накл!$A$9:$A$550)-ROW(Накл!$A$9)+1),ROW(E451)-ROW(B450)+1)),"")," ",IFERROR(INDEX(Накл!$C$9:$C$550,SMALL(IF(Накл!$A$9:$A$550=VALUE(LEFT(A450,8)),ROW(Накл!$A$9:$A$550)-ROW(Накл!$A$9)+1),ROW(E452)-ROW(B450)+1)),"")," ",IFERROR(INDEX(Накл!$C$9:$C$550,SMALL(IF(Накл!$A$9:$A$550=VALUE(LEFT(A450,8)),ROW(Накл!$A$9:$A$550)-ROW(Накл!$A$9)+1),ROW(E453)-ROW(B450)+1)),"")),"")</f>
        <v xml:space="preserve">   </v>
      </c>
    </row>
    <row r="451" spans="1:5">
      <c r="A451" s="26" t="str">
        <f>IFERROR(CONCATENATE(VALUE(SUBSTITUTE(SUBSTITUTE(LEFT(Накл!G458,11),".",""),"-",""))," ",Накл!J458),"-")</f>
        <v>-</v>
      </c>
      <c r="B451" s="26" t="str">
        <f>IFERROR(VLOOKUP(VALUE(LEFT(A451,8)),Накл!$A$9:$D$550,4,0),"-")</f>
        <v>-</v>
      </c>
      <c r="C451" s="26">
        <f>Накл!J458</f>
        <v>0</v>
      </c>
      <c r="D451" s="33" t="str">
        <f t="array" ref="D451">CONCATENATE(IFERROR(INDEX(Накл!$C$9:$C$550,SMALL(IF(Накл!$B$9:$B$550=A451,ROW(Накл!$B$9:$B$550)-ROW(Накл!$B$9)+1),ROW(D451)-ROW(A451)+1)),"")," ",IFERROR(INDEX(Накл!$C$9:$C$550,SMALL(IF(Накл!$B$9:$B$550=A451,ROW(Накл!$B$9:$B$550)-ROW(Накл!$B$9)+1),ROW(D452)-ROW(A451)+1)),"")," ",IFERROR(INDEX(Накл!$C$9:$C$550,SMALL(IF(Накл!$B$9:$B$550=A451,ROW(Накл!$B$9:$B$550)-ROW(Накл!$B$9)+1),ROW(D453)-ROW(A451)+1)),"")," ",IFERROR(INDEX(Накл!$C$9:$C$550,SMALL(IF(Накл!$B$9:$B$550=A451,ROW(Накл!$B$9:$B$550)-ROW(Накл!$B$9)+1),ROW(D454)-ROW(A451)+1)),"")," ",IFERROR(INDEX(Накл!$C$9:$C$550,SMALL(IF(Накл!$B$9:$B$550=A451,ROW(Накл!$B$9:$B$550)-ROW(Накл!$B$9)+1),ROW(D455)-ROW(A451)+1)),"")," ",IFERROR(INDEX(Накл!$C$9:$C$550,SMALL(IF(Накл!$B$9:$B$550=A451,ROW(Накл!$B$9:$B$550)-ROW(Накл!$B$9)+1),ROW(D456)-ROW(A451)+1)),"")," ",IFERROR(INDEX(Накл!$C$9:$C$550,SMALL(IF(Накл!$B$9:$B$550=A451,ROW(Накл!$B$9:$B$550)-ROW(Накл!$B$9)+1),ROW(D457)-ROW(A451)+1)),"")," ",IFERROR(INDEX(Накл!$C$9:$C$550,SMALL(IF(Накл!$B$9:$B$550=A451,ROW(Накл!$B$9:$B$550)-ROW(Накл!$B$9)+1),ROW(D458)-ROW(A451)+1)),"")," ",IFERROR(INDEX(Накл!$C$9:$C$550,SMALL(IF(Накл!$B$9:$B$550=A451,ROW(Накл!$B$9:$B$550)-ROW(Накл!$B$9)+1),ROW(D459)-ROW(A451)+1)),"")," ",IFERROR(INDEX(Накл!$C$9:$C$550,SMALL(IF(Накл!$B$9:$B$550=A451,ROW(Накл!$B$9:$B$550)-ROW(Накл!$B$9)+1),ROW(D460)-ROW(A451)+1)),""))</f>
        <v xml:space="preserve">         </v>
      </c>
      <c r="E451" s="26" t="str">
        <f t="array" ref="E451">IF(LEN(D451)&lt;10,CONCATENATE(IFERROR(INDEX(Накл!$C$9:$C$550,SMALL(IF(Накл!$A$9:$A$550=VALUE(LEFT(A451,8)),ROW(Накл!$A$9:$A$550)-ROW(Накл!$A$9)+1),ROW(E451)-ROW(B451)+1)),"")," ",IFERROR(INDEX(Накл!$C$9:$C$550,SMALL(IF(Накл!$A$9:$A$550=VALUE(LEFT(A451,8)),ROW(Накл!$A$9:$A$550)-ROW(Накл!$A$9)+1),ROW(E452)-ROW(B451)+1)),"")," ",IFERROR(INDEX(Накл!$C$9:$C$550,SMALL(IF(Накл!$A$9:$A$550=VALUE(LEFT(A451,8)),ROW(Накл!$A$9:$A$550)-ROW(Накл!$A$9)+1),ROW(E453)-ROW(B451)+1)),"")," ",IFERROR(INDEX(Накл!$C$9:$C$550,SMALL(IF(Накл!$A$9:$A$550=VALUE(LEFT(A451,8)),ROW(Накл!$A$9:$A$550)-ROW(Накл!$A$9)+1),ROW(E454)-ROW(B451)+1)),"")),"")</f>
        <v xml:space="preserve">   </v>
      </c>
    </row>
    <row r="452" spans="1:5">
      <c r="A452" s="26" t="str">
        <f>IFERROR(CONCATENATE(VALUE(SUBSTITUTE(SUBSTITUTE(LEFT(Накл!G459,11),".",""),"-",""))," ",Накл!J459),"-")</f>
        <v>-</v>
      </c>
      <c r="B452" s="26" t="str">
        <f>IFERROR(VLOOKUP(VALUE(LEFT(A452,8)),Накл!$A$9:$D$550,4,0),"-")</f>
        <v>-</v>
      </c>
      <c r="C452" s="26">
        <f>Накл!J459</f>
        <v>0</v>
      </c>
      <c r="D452" s="33" t="str">
        <f t="array" ref="D452">CONCATENATE(IFERROR(INDEX(Накл!$C$9:$C$550,SMALL(IF(Накл!$B$9:$B$550=A452,ROW(Накл!$B$9:$B$550)-ROW(Накл!$B$9)+1),ROW(D452)-ROW(A452)+1)),"")," ",IFERROR(INDEX(Накл!$C$9:$C$550,SMALL(IF(Накл!$B$9:$B$550=A452,ROW(Накл!$B$9:$B$550)-ROW(Накл!$B$9)+1),ROW(D453)-ROW(A452)+1)),"")," ",IFERROR(INDEX(Накл!$C$9:$C$550,SMALL(IF(Накл!$B$9:$B$550=A452,ROW(Накл!$B$9:$B$550)-ROW(Накл!$B$9)+1),ROW(D454)-ROW(A452)+1)),"")," ",IFERROR(INDEX(Накл!$C$9:$C$550,SMALL(IF(Накл!$B$9:$B$550=A452,ROW(Накл!$B$9:$B$550)-ROW(Накл!$B$9)+1),ROW(D455)-ROW(A452)+1)),"")," ",IFERROR(INDEX(Накл!$C$9:$C$550,SMALL(IF(Накл!$B$9:$B$550=A452,ROW(Накл!$B$9:$B$550)-ROW(Накл!$B$9)+1),ROW(D456)-ROW(A452)+1)),"")," ",IFERROR(INDEX(Накл!$C$9:$C$550,SMALL(IF(Накл!$B$9:$B$550=A452,ROW(Накл!$B$9:$B$550)-ROW(Накл!$B$9)+1),ROW(D457)-ROW(A452)+1)),"")," ",IFERROR(INDEX(Накл!$C$9:$C$550,SMALL(IF(Накл!$B$9:$B$550=A452,ROW(Накл!$B$9:$B$550)-ROW(Накл!$B$9)+1),ROW(D458)-ROW(A452)+1)),"")," ",IFERROR(INDEX(Накл!$C$9:$C$550,SMALL(IF(Накл!$B$9:$B$550=A452,ROW(Накл!$B$9:$B$550)-ROW(Накл!$B$9)+1),ROW(D459)-ROW(A452)+1)),"")," ",IFERROR(INDEX(Накл!$C$9:$C$550,SMALL(IF(Накл!$B$9:$B$550=A452,ROW(Накл!$B$9:$B$550)-ROW(Накл!$B$9)+1),ROW(D460)-ROW(A452)+1)),"")," ",IFERROR(INDEX(Накл!$C$9:$C$550,SMALL(IF(Накл!$B$9:$B$550=A452,ROW(Накл!$B$9:$B$550)-ROW(Накл!$B$9)+1),ROW(D461)-ROW(A452)+1)),""))</f>
        <v xml:space="preserve">         </v>
      </c>
      <c r="E452" s="26" t="str">
        <f t="array" ref="E452">IF(LEN(D452)&lt;10,CONCATENATE(IFERROR(INDEX(Накл!$C$9:$C$550,SMALL(IF(Накл!$A$9:$A$550=VALUE(LEFT(A452,8)),ROW(Накл!$A$9:$A$550)-ROW(Накл!$A$9)+1),ROW(E452)-ROW(B452)+1)),"")," ",IFERROR(INDEX(Накл!$C$9:$C$550,SMALL(IF(Накл!$A$9:$A$550=VALUE(LEFT(A452,8)),ROW(Накл!$A$9:$A$550)-ROW(Накл!$A$9)+1),ROW(E453)-ROW(B452)+1)),"")," ",IFERROR(INDEX(Накл!$C$9:$C$550,SMALL(IF(Накл!$A$9:$A$550=VALUE(LEFT(A452,8)),ROW(Накл!$A$9:$A$550)-ROW(Накл!$A$9)+1),ROW(E454)-ROW(B452)+1)),"")," ",IFERROR(INDEX(Накл!$C$9:$C$550,SMALL(IF(Накл!$A$9:$A$550=VALUE(LEFT(A452,8)),ROW(Накл!$A$9:$A$550)-ROW(Накл!$A$9)+1),ROW(E455)-ROW(B452)+1)),"")),"")</f>
        <v xml:space="preserve">   </v>
      </c>
    </row>
    <row r="453" spans="1:5">
      <c r="A453" s="26" t="str">
        <f>IFERROR(CONCATENATE(VALUE(SUBSTITUTE(SUBSTITUTE(LEFT(Накл!G460,11),".",""),"-",""))," ",Накл!J460),"-")</f>
        <v>-</v>
      </c>
      <c r="B453" s="26" t="str">
        <f>IFERROR(VLOOKUP(VALUE(LEFT(A453,8)),Накл!$A$9:$D$550,4,0),"-")</f>
        <v>-</v>
      </c>
      <c r="C453" s="26">
        <f>Накл!J460</f>
        <v>0</v>
      </c>
      <c r="D453" s="33" t="str">
        <f t="array" ref="D453">CONCATENATE(IFERROR(INDEX(Накл!$C$9:$C$550,SMALL(IF(Накл!$B$9:$B$550=A453,ROW(Накл!$B$9:$B$550)-ROW(Накл!$B$9)+1),ROW(D453)-ROW(A453)+1)),"")," ",IFERROR(INDEX(Накл!$C$9:$C$550,SMALL(IF(Накл!$B$9:$B$550=A453,ROW(Накл!$B$9:$B$550)-ROW(Накл!$B$9)+1),ROW(D454)-ROW(A453)+1)),"")," ",IFERROR(INDEX(Накл!$C$9:$C$550,SMALL(IF(Накл!$B$9:$B$550=A453,ROW(Накл!$B$9:$B$550)-ROW(Накл!$B$9)+1),ROW(D455)-ROW(A453)+1)),"")," ",IFERROR(INDEX(Накл!$C$9:$C$550,SMALL(IF(Накл!$B$9:$B$550=A453,ROW(Накл!$B$9:$B$550)-ROW(Накл!$B$9)+1),ROW(D456)-ROW(A453)+1)),"")," ",IFERROR(INDEX(Накл!$C$9:$C$550,SMALL(IF(Накл!$B$9:$B$550=A453,ROW(Накл!$B$9:$B$550)-ROW(Накл!$B$9)+1),ROW(D457)-ROW(A453)+1)),"")," ",IFERROR(INDEX(Накл!$C$9:$C$550,SMALL(IF(Накл!$B$9:$B$550=A453,ROW(Накл!$B$9:$B$550)-ROW(Накл!$B$9)+1),ROW(D458)-ROW(A453)+1)),"")," ",IFERROR(INDEX(Накл!$C$9:$C$550,SMALL(IF(Накл!$B$9:$B$550=A453,ROW(Накл!$B$9:$B$550)-ROW(Накл!$B$9)+1),ROW(D459)-ROW(A453)+1)),"")," ",IFERROR(INDEX(Накл!$C$9:$C$550,SMALL(IF(Накл!$B$9:$B$550=A453,ROW(Накл!$B$9:$B$550)-ROW(Накл!$B$9)+1),ROW(D460)-ROW(A453)+1)),"")," ",IFERROR(INDEX(Накл!$C$9:$C$550,SMALL(IF(Накл!$B$9:$B$550=A453,ROW(Накл!$B$9:$B$550)-ROW(Накл!$B$9)+1),ROW(D461)-ROW(A453)+1)),"")," ",IFERROR(INDEX(Накл!$C$9:$C$550,SMALL(IF(Накл!$B$9:$B$550=A453,ROW(Накл!$B$9:$B$550)-ROW(Накл!$B$9)+1),ROW(D462)-ROW(A453)+1)),""))</f>
        <v xml:space="preserve">         </v>
      </c>
      <c r="E453" s="26" t="str">
        <f t="array" ref="E453">IF(LEN(D453)&lt;10,CONCATENATE(IFERROR(INDEX(Накл!$C$9:$C$550,SMALL(IF(Накл!$A$9:$A$550=VALUE(LEFT(A453,8)),ROW(Накл!$A$9:$A$550)-ROW(Накл!$A$9)+1),ROW(E453)-ROW(B453)+1)),"")," ",IFERROR(INDEX(Накл!$C$9:$C$550,SMALL(IF(Накл!$A$9:$A$550=VALUE(LEFT(A453,8)),ROW(Накл!$A$9:$A$550)-ROW(Накл!$A$9)+1),ROW(E454)-ROW(B453)+1)),"")," ",IFERROR(INDEX(Накл!$C$9:$C$550,SMALL(IF(Накл!$A$9:$A$550=VALUE(LEFT(A453,8)),ROW(Накл!$A$9:$A$550)-ROW(Накл!$A$9)+1),ROW(E455)-ROW(B453)+1)),"")," ",IFERROR(INDEX(Накл!$C$9:$C$550,SMALL(IF(Накл!$A$9:$A$550=VALUE(LEFT(A453,8)),ROW(Накл!$A$9:$A$550)-ROW(Накл!$A$9)+1),ROW(E456)-ROW(B453)+1)),"")),"")</f>
        <v xml:space="preserve">   </v>
      </c>
    </row>
    <row r="454" spans="1:5">
      <c r="A454" s="26" t="str">
        <f>IFERROR(CONCATENATE(VALUE(SUBSTITUTE(SUBSTITUTE(LEFT(Накл!G461,11),".",""),"-",""))," ",Накл!J461),"-")</f>
        <v>-</v>
      </c>
      <c r="B454" s="26" t="str">
        <f>IFERROR(VLOOKUP(VALUE(LEFT(A454,8)),Накл!$A$9:$D$550,4,0),"-")</f>
        <v>-</v>
      </c>
      <c r="C454" s="26">
        <f>Накл!J461</f>
        <v>0</v>
      </c>
      <c r="D454" s="33" t="str">
        <f t="array" ref="D454">CONCATENATE(IFERROR(INDEX(Накл!$C$9:$C$550,SMALL(IF(Накл!$B$9:$B$550=A454,ROW(Накл!$B$9:$B$550)-ROW(Накл!$B$9)+1),ROW(D454)-ROW(A454)+1)),"")," ",IFERROR(INDEX(Накл!$C$9:$C$550,SMALL(IF(Накл!$B$9:$B$550=A454,ROW(Накл!$B$9:$B$550)-ROW(Накл!$B$9)+1),ROW(D455)-ROW(A454)+1)),"")," ",IFERROR(INDEX(Накл!$C$9:$C$550,SMALL(IF(Накл!$B$9:$B$550=A454,ROW(Накл!$B$9:$B$550)-ROW(Накл!$B$9)+1),ROW(D456)-ROW(A454)+1)),"")," ",IFERROR(INDEX(Накл!$C$9:$C$550,SMALL(IF(Накл!$B$9:$B$550=A454,ROW(Накл!$B$9:$B$550)-ROW(Накл!$B$9)+1),ROW(D457)-ROW(A454)+1)),"")," ",IFERROR(INDEX(Накл!$C$9:$C$550,SMALL(IF(Накл!$B$9:$B$550=A454,ROW(Накл!$B$9:$B$550)-ROW(Накл!$B$9)+1),ROW(D458)-ROW(A454)+1)),"")," ",IFERROR(INDEX(Накл!$C$9:$C$550,SMALL(IF(Накл!$B$9:$B$550=A454,ROW(Накл!$B$9:$B$550)-ROW(Накл!$B$9)+1),ROW(D459)-ROW(A454)+1)),"")," ",IFERROR(INDEX(Накл!$C$9:$C$550,SMALL(IF(Накл!$B$9:$B$550=A454,ROW(Накл!$B$9:$B$550)-ROW(Накл!$B$9)+1),ROW(D460)-ROW(A454)+1)),"")," ",IFERROR(INDEX(Накл!$C$9:$C$550,SMALL(IF(Накл!$B$9:$B$550=A454,ROW(Накл!$B$9:$B$550)-ROW(Накл!$B$9)+1),ROW(D461)-ROW(A454)+1)),"")," ",IFERROR(INDEX(Накл!$C$9:$C$550,SMALL(IF(Накл!$B$9:$B$550=A454,ROW(Накл!$B$9:$B$550)-ROW(Накл!$B$9)+1),ROW(D462)-ROW(A454)+1)),"")," ",IFERROR(INDEX(Накл!$C$9:$C$550,SMALL(IF(Накл!$B$9:$B$550=A454,ROW(Накл!$B$9:$B$550)-ROW(Накл!$B$9)+1),ROW(D463)-ROW(A454)+1)),""))</f>
        <v xml:space="preserve">         </v>
      </c>
      <c r="E454" s="26" t="str">
        <f t="array" ref="E454">IF(LEN(D454)&lt;10,CONCATENATE(IFERROR(INDEX(Накл!$C$9:$C$550,SMALL(IF(Накл!$A$9:$A$550=VALUE(LEFT(A454,8)),ROW(Накл!$A$9:$A$550)-ROW(Накл!$A$9)+1),ROW(E454)-ROW(B454)+1)),"")," ",IFERROR(INDEX(Накл!$C$9:$C$550,SMALL(IF(Накл!$A$9:$A$550=VALUE(LEFT(A454,8)),ROW(Накл!$A$9:$A$550)-ROW(Накл!$A$9)+1),ROW(E455)-ROW(B454)+1)),"")," ",IFERROR(INDEX(Накл!$C$9:$C$550,SMALL(IF(Накл!$A$9:$A$550=VALUE(LEFT(A454,8)),ROW(Накл!$A$9:$A$550)-ROW(Накл!$A$9)+1),ROW(E456)-ROW(B454)+1)),"")," ",IFERROR(INDEX(Накл!$C$9:$C$550,SMALL(IF(Накл!$A$9:$A$550=VALUE(LEFT(A454,8)),ROW(Накл!$A$9:$A$550)-ROW(Накл!$A$9)+1),ROW(E457)-ROW(B454)+1)),"")),"")</f>
        <v xml:space="preserve">   </v>
      </c>
    </row>
    <row r="455" spans="1:5">
      <c r="A455" s="26" t="str">
        <f>IFERROR(CONCATENATE(VALUE(SUBSTITUTE(SUBSTITUTE(LEFT(Накл!G462,11),".",""),"-",""))," ",Накл!J462),"-")</f>
        <v>-</v>
      </c>
      <c r="B455" s="26" t="str">
        <f>IFERROR(VLOOKUP(VALUE(LEFT(A455,8)),Накл!$A$9:$D$550,4,0),"-")</f>
        <v>-</v>
      </c>
      <c r="C455" s="26">
        <f>Накл!J462</f>
        <v>0</v>
      </c>
      <c r="D455" s="33" t="str">
        <f t="array" ref="D455">CONCATENATE(IFERROR(INDEX(Накл!$C$9:$C$550,SMALL(IF(Накл!$B$9:$B$550=A455,ROW(Накл!$B$9:$B$550)-ROW(Накл!$B$9)+1),ROW(D455)-ROW(A455)+1)),"")," ",IFERROR(INDEX(Накл!$C$9:$C$550,SMALL(IF(Накл!$B$9:$B$550=A455,ROW(Накл!$B$9:$B$550)-ROW(Накл!$B$9)+1),ROW(D456)-ROW(A455)+1)),"")," ",IFERROR(INDEX(Накл!$C$9:$C$550,SMALL(IF(Накл!$B$9:$B$550=A455,ROW(Накл!$B$9:$B$550)-ROW(Накл!$B$9)+1),ROW(D457)-ROW(A455)+1)),"")," ",IFERROR(INDEX(Накл!$C$9:$C$550,SMALL(IF(Накл!$B$9:$B$550=A455,ROW(Накл!$B$9:$B$550)-ROW(Накл!$B$9)+1),ROW(D458)-ROW(A455)+1)),"")," ",IFERROR(INDEX(Накл!$C$9:$C$550,SMALL(IF(Накл!$B$9:$B$550=A455,ROW(Накл!$B$9:$B$550)-ROW(Накл!$B$9)+1),ROW(D459)-ROW(A455)+1)),"")," ",IFERROR(INDEX(Накл!$C$9:$C$550,SMALL(IF(Накл!$B$9:$B$550=A455,ROW(Накл!$B$9:$B$550)-ROW(Накл!$B$9)+1),ROW(D460)-ROW(A455)+1)),"")," ",IFERROR(INDEX(Накл!$C$9:$C$550,SMALL(IF(Накл!$B$9:$B$550=A455,ROW(Накл!$B$9:$B$550)-ROW(Накл!$B$9)+1),ROW(D461)-ROW(A455)+1)),"")," ",IFERROR(INDEX(Накл!$C$9:$C$550,SMALL(IF(Накл!$B$9:$B$550=A455,ROW(Накл!$B$9:$B$550)-ROW(Накл!$B$9)+1),ROW(D462)-ROW(A455)+1)),"")," ",IFERROR(INDEX(Накл!$C$9:$C$550,SMALL(IF(Накл!$B$9:$B$550=A455,ROW(Накл!$B$9:$B$550)-ROW(Накл!$B$9)+1),ROW(D463)-ROW(A455)+1)),"")," ",IFERROR(INDEX(Накл!$C$9:$C$550,SMALL(IF(Накл!$B$9:$B$550=A455,ROW(Накл!$B$9:$B$550)-ROW(Накл!$B$9)+1),ROW(D464)-ROW(A455)+1)),""))</f>
        <v xml:space="preserve">         </v>
      </c>
      <c r="E455" s="26" t="str">
        <f t="array" ref="E455">IF(LEN(D455)&lt;10,CONCATENATE(IFERROR(INDEX(Накл!$C$9:$C$550,SMALL(IF(Накл!$A$9:$A$550=VALUE(LEFT(A455,8)),ROW(Накл!$A$9:$A$550)-ROW(Накл!$A$9)+1),ROW(E455)-ROW(B455)+1)),"")," ",IFERROR(INDEX(Накл!$C$9:$C$550,SMALL(IF(Накл!$A$9:$A$550=VALUE(LEFT(A455,8)),ROW(Накл!$A$9:$A$550)-ROW(Накл!$A$9)+1),ROW(E456)-ROW(B455)+1)),"")," ",IFERROR(INDEX(Накл!$C$9:$C$550,SMALL(IF(Накл!$A$9:$A$550=VALUE(LEFT(A455,8)),ROW(Накл!$A$9:$A$550)-ROW(Накл!$A$9)+1),ROW(E457)-ROW(B455)+1)),"")," ",IFERROR(INDEX(Накл!$C$9:$C$550,SMALL(IF(Накл!$A$9:$A$550=VALUE(LEFT(A455,8)),ROW(Накл!$A$9:$A$550)-ROW(Накл!$A$9)+1),ROW(E458)-ROW(B455)+1)),"")),"")</f>
        <v xml:space="preserve">   </v>
      </c>
    </row>
    <row r="456" spans="1:5">
      <c r="A456" s="26" t="str">
        <f>IFERROR(CONCATENATE(VALUE(SUBSTITUTE(SUBSTITUTE(LEFT(Накл!G463,11),".",""),"-",""))," ",Накл!J463),"-")</f>
        <v>-</v>
      </c>
      <c r="B456" s="26" t="str">
        <f>IFERROR(VLOOKUP(VALUE(LEFT(A456,8)),Накл!$A$9:$D$550,4,0),"-")</f>
        <v>-</v>
      </c>
      <c r="C456" s="26">
        <f>Накл!J463</f>
        <v>0</v>
      </c>
      <c r="D456" s="33" t="str">
        <f t="array" ref="D456">CONCATENATE(IFERROR(INDEX(Накл!$C$9:$C$550,SMALL(IF(Накл!$B$9:$B$550=A456,ROW(Накл!$B$9:$B$550)-ROW(Накл!$B$9)+1),ROW(D456)-ROW(A456)+1)),"")," ",IFERROR(INDEX(Накл!$C$9:$C$550,SMALL(IF(Накл!$B$9:$B$550=A456,ROW(Накл!$B$9:$B$550)-ROW(Накл!$B$9)+1),ROW(D457)-ROW(A456)+1)),"")," ",IFERROR(INDEX(Накл!$C$9:$C$550,SMALL(IF(Накл!$B$9:$B$550=A456,ROW(Накл!$B$9:$B$550)-ROW(Накл!$B$9)+1),ROW(D458)-ROW(A456)+1)),"")," ",IFERROR(INDEX(Накл!$C$9:$C$550,SMALL(IF(Накл!$B$9:$B$550=A456,ROW(Накл!$B$9:$B$550)-ROW(Накл!$B$9)+1),ROW(D459)-ROW(A456)+1)),"")," ",IFERROR(INDEX(Накл!$C$9:$C$550,SMALL(IF(Накл!$B$9:$B$550=A456,ROW(Накл!$B$9:$B$550)-ROW(Накл!$B$9)+1),ROW(D460)-ROW(A456)+1)),"")," ",IFERROR(INDEX(Накл!$C$9:$C$550,SMALL(IF(Накл!$B$9:$B$550=A456,ROW(Накл!$B$9:$B$550)-ROW(Накл!$B$9)+1),ROW(D461)-ROW(A456)+1)),"")," ",IFERROR(INDEX(Накл!$C$9:$C$550,SMALL(IF(Накл!$B$9:$B$550=A456,ROW(Накл!$B$9:$B$550)-ROW(Накл!$B$9)+1),ROW(D462)-ROW(A456)+1)),"")," ",IFERROR(INDEX(Накл!$C$9:$C$550,SMALL(IF(Накл!$B$9:$B$550=A456,ROW(Накл!$B$9:$B$550)-ROW(Накл!$B$9)+1),ROW(D463)-ROW(A456)+1)),"")," ",IFERROR(INDEX(Накл!$C$9:$C$550,SMALL(IF(Накл!$B$9:$B$550=A456,ROW(Накл!$B$9:$B$550)-ROW(Накл!$B$9)+1),ROW(D464)-ROW(A456)+1)),"")," ",IFERROR(INDEX(Накл!$C$9:$C$550,SMALL(IF(Накл!$B$9:$B$550=A456,ROW(Накл!$B$9:$B$550)-ROW(Накл!$B$9)+1),ROW(D465)-ROW(A456)+1)),""))</f>
        <v xml:space="preserve">         </v>
      </c>
      <c r="E456" s="26" t="str">
        <f t="array" ref="E456">IF(LEN(D456)&lt;10,CONCATENATE(IFERROR(INDEX(Накл!$C$9:$C$550,SMALL(IF(Накл!$A$9:$A$550=VALUE(LEFT(A456,8)),ROW(Накл!$A$9:$A$550)-ROW(Накл!$A$9)+1),ROW(E456)-ROW(B456)+1)),"")," ",IFERROR(INDEX(Накл!$C$9:$C$550,SMALL(IF(Накл!$A$9:$A$550=VALUE(LEFT(A456,8)),ROW(Накл!$A$9:$A$550)-ROW(Накл!$A$9)+1),ROW(E457)-ROW(B456)+1)),"")," ",IFERROR(INDEX(Накл!$C$9:$C$550,SMALL(IF(Накл!$A$9:$A$550=VALUE(LEFT(A456,8)),ROW(Накл!$A$9:$A$550)-ROW(Накл!$A$9)+1),ROW(E458)-ROW(B456)+1)),"")," ",IFERROR(INDEX(Накл!$C$9:$C$550,SMALL(IF(Накл!$A$9:$A$550=VALUE(LEFT(A456,8)),ROW(Накл!$A$9:$A$550)-ROW(Накл!$A$9)+1),ROW(E459)-ROW(B456)+1)),"")),"")</f>
        <v xml:space="preserve">   </v>
      </c>
    </row>
    <row r="457" spans="1:5">
      <c r="A457" s="26" t="str">
        <f>IFERROR(CONCATENATE(VALUE(SUBSTITUTE(SUBSTITUTE(LEFT(Накл!G464,11),".",""),"-",""))," ",Накл!J464),"-")</f>
        <v>-</v>
      </c>
      <c r="B457" s="26" t="str">
        <f>IFERROR(VLOOKUP(VALUE(LEFT(A457,8)),Накл!$A$9:$D$550,4,0),"-")</f>
        <v>-</v>
      </c>
      <c r="C457" s="26">
        <f>Накл!J464</f>
        <v>0</v>
      </c>
      <c r="D457" s="33" t="str">
        <f t="array" ref="D457">CONCATENATE(IFERROR(INDEX(Накл!$C$9:$C$550,SMALL(IF(Накл!$B$9:$B$550=A457,ROW(Накл!$B$9:$B$550)-ROW(Накл!$B$9)+1),ROW(D457)-ROW(A457)+1)),"")," ",IFERROR(INDEX(Накл!$C$9:$C$550,SMALL(IF(Накл!$B$9:$B$550=A457,ROW(Накл!$B$9:$B$550)-ROW(Накл!$B$9)+1),ROW(D458)-ROW(A457)+1)),"")," ",IFERROR(INDEX(Накл!$C$9:$C$550,SMALL(IF(Накл!$B$9:$B$550=A457,ROW(Накл!$B$9:$B$550)-ROW(Накл!$B$9)+1),ROW(D459)-ROW(A457)+1)),"")," ",IFERROR(INDEX(Накл!$C$9:$C$550,SMALL(IF(Накл!$B$9:$B$550=A457,ROW(Накл!$B$9:$B$550)-ROW(Накл!$B$9)+1),ROW(D460)-ROW(A457)+1)),"")," ",IFERROR(INDEX(Накл!$C$9:$C$550,SMALL(IF(Накл!$B$9:$B$550=A457,ROW(Накл!$B$9:$B$550)-ROW(Накл!$B$9)+1),ROW(D461)-ROW(A457)+1)),"")," ",IFERROR(INDEX(Накл!$C$9:$C$550,SMALL(IF(Накл!$B$9:$B$550=A457,ROW(Накл!$B$9:$B$550)-ROW(Накл!$B$9)+1),ROW(D462)-ROW(A457)+1)),"")," ",IFERROR(INDEX(Накл!$C$9:$C$550,SMALL(IF(Накл!$B$9:$B$550=A457,ROW(Накл!$B$9:$B$550)-ROW(Накл!$B$9)+1),ROW(D463)-ROW(A457)+1)),"")," ",IFERROR(INDEX(Накл!$C$9:$C$550,SMALL(IF(Накл!$B$9:$B$550=A457,ROW(Накл!$B$9:$B$550)-ROW(Накл!$B$9)+1),ROW(D464)-ROW(A457)+1)),"")," ",IFERROR(INDEX(Накл!$C$9:$C$550,SMALL(IF(Накл!$B$9:$B$550=A457,ROW(Накл!$B$9:$B$550)-ROW(Накл!$B$9)+1),ROW(D465)-ROW(A457)+1)),"")," ",IFERROR(INDEX(Накл!$C$9:$C$550,SMALL(IF(Накл!$B$9:$B$550=A457,ROW(Накл!$B$9:$B$550)-ROW(Накл!$B$9)+1),ROW(D466)-ROW(A457)+1)),""))</f>
        <v xml:space="preserve">         </v>
      </c>
      <c r="E457" s="26" t="str">
        <f t="array" ref="E457">IF(LEN(D457)&lt;10,CONCATENATE(IFERROR(INDEX(Накл!$C$9:$C$550,SMALL(IF(Накл!$A$9:$A$550=VALUE(LEFT(A457,8)),ROW(Накл!$A$9:$A$550)-ROW(Накл!$A$9)+1),ROW(E457)-ROW(B457)+1)),"")," ",IFERROR(INDEX(Накл!$C$9:$C$550,SMALL(IF(Накл!$A$9:$A$550=VALUE(LEFT(A457,8)),ROW(Накл!$A$9:$A$550)-ROW(Накл!$A$9)+1),ROW(E458)-ROW(B457)+1)),"")," ",IFERROR(INDEX(Накл!$C$9:$C$550,SMALL(IF(Накл!$A$9:$A$550=VALUE(LEFT(A457,8)),ROW(Накл!$A$9:$A$550)-ROW(Накл!$A$9)+1),ROW(E459)-ROW(B457)+1)),"")," ",IFERROR(INDEX(Накл!$C$9:$C$550,SMALL(IF(Накл!$A$9:$A$550=VALUE(LEFT(A457,8)),ROW(Накл!$A$9:$A$550)-ROW(Накл!$A$9)+1),ROW(E460)-ROW(B457)+1)),"")),"")</f>
        <v xml:space="preserve">   </v>
      </c>
    </row>
    <row r="458" spans="1:5">
      <c r="A458" s="26" t="str">
        <f>IFERROR(CONCATENATE(VALUE(SUBSTITUTE(SUBSTITUTE(LEFT(Накл!G465,11),".",""),"-",""))," ",Накл!J465),"-")</f>
        <v>-</v>
      </c>
      <c r="B458" s="26" t="str">
        <f>IFERROR(VLOOKUP(VALUE(LEFT(A458,8)),Накл!$A$9:$D$550,4,0),"-")</f>
        <v>-</v>
      </c>
      <c r="C458" s="26">
        <f>Накл!J465</f>
        <v>0</v>
      </c>
      <c r="D458" s="33" t="str">
        <f t="array" ref="D458">CONCATENATE(IFERROR(INDEX(Накл!$C$9:$C$550,SMALL(IF(Накл!$B$9:$B$550=A458,ROW(Накл!$B$9:$B$550)-ROW(Накл!$B$9)+1),ROW(D458)-ROW(A458)+1)),"")," ",IFERROR(INDEX(Накл!$C$9:$C$550,SMALL(IF(Накл!$B$9:$B$550=A458,ROW(Накл!$B$9:$B$550)-ROW(Накл!$B$9)+1),ROW(D459)-ROW(A458)+1)),"")," ",IFERROR(INDEX(Накл!$C$9:$C$550,SMALL(IF(Накл!$B$9:$B$550=A458,ROW(Накл!$B$9:$B$550)-ROW(Накл!$B$9)+1),ROW(D460)-ROW(A458)+1)),"")," ",IFERROR(INDEX(Накл!$C$9:$C$550,SMALL(IF(Накл!$B$9:$B$550=A458,ROW(Накл!$B$9:$B$550)-ROW(Накл!$B$9)+1),ROW(D461)-ROW(A458)+1)),"")," ",IFERROR(INDEX(Накл!$C$9:$C$550,SMALL(IF(Накл!$B$9:$B$550=A458,ROW(Накл!$B$9:$B$550)-ROW(Накл!$B$9)+1),ROW(D462)-ROW(A458)+1)),"")," ",IFERROR(INDEX(Накл!$C$9:$C$550,SMALL(IF(Накл!$B$9:$B$550=A458,ROW(Накл!$B$9:$B$550)-ROW(Накл!$B$9)+1),ROW(D463)-ROW(A458)+1)),"")," ",IFERROR(INDEX(Накл!$C$9:$C$550,SMALL(IF(Накл!$B$9:$B$550=A458,ROW(Накл!$B$9:$B$550)-ROW(Накл!$B$9)+1),ROW(D464)-ROW(A458)+1)),"")," ",IFERROR(INDEX(Накл!$C$9:$C$550,SMALL(IF(Накл!$B$9:$B$550=A458,ROW(Накл!$B$9:$B$550)-ROW(Накл!$B$9)+1),ROW(D465)-ROW(A458)+1)),"")," ",IFERROR(INDEX(Накл!$C$9:$C$550,SMALL(IF(Накл!$B$9:$B$550=A458,ROW(Накл!$B$9:$B$550)-ROW(Накл!$B$9)+1),ROW(D466)-ROW(A458)+1)),"")," ",IFERROR(INDEX(Накл!$C$9:$C$550,SMALL(IF(Накл!$B$9:$B$550=A458,ROW(Накл!$B$9:$B$550)-ROW(Накл!$B$9)+1),ROW(D467)-ROW(A458)+1)),""))</f>
        <v xml:space="preserve">         </v>
      </c>
      <c r="E458" s="26" t="str">
        <f t="array" ref="E458">IF(LEN(D458)&lt;10,CONCATENATE(IFERROR(INDEX(Накл!$C$9:$C$550,SMALL(IF(Накл!$A$9:$A$550=VALUE(LEFT(A458,8)),ROW(Накл!$A$9:$A$550)-ROW(Накл!$A$9)+1),ROW(E458)-ROW(B458)+1)),"")," ",IFERROR(INDEX(Накл!$C$9:$C$550,SMALL(IF(Накл!$A$9:$A$550=VALUE(LEFT(A458,8)),ROW(Накл!$A$9:$A$550)-ROW(Накл!$A$9)+1),ROW(E459)-ROW(B458)+1)),"")," ",IFERROR(INDEX(Накл!$C$9:$C$550,SMALL(IF(Накл!$A$9:$A$550=VALUE(LEFT(A458,8)),ROW(Накл!$A$9:$A$550)-ROW(Накл!$A$9)+1),ROW(E460)-ROW(B458)+1)),"")," ",IFERROR(INDEX(Накл!$C$9:$C$550,SMALL(IF(Накл!$A$9:$A$550=VALUE(LEFT(A458,8)),ROW(Накл!$A$9:$A$550)-ROW(Накл!$A$9)+1),ROW(E461)-ROW(B458)+1)),"")),"")</f>
        <v xml:space="preserve">   </v>
      </c>
    </row>
    <row r="459" spans="1:5">
      <c r="A459" s="26" t="str">
        <f>IFERROR(CONCATENATE(VALUE(SUBSTITUTE(SUBSTITUTE(LEFT(Накл!G466,11),".",""),"-",""))," ",Накл!J466),"-")</f>
        <v>-</v>
      </c>
      <c r="B459" s="26" t="str">
        <f>IFERROR(VLOOKUP(VALUE(LEFT(A459,8)),Накл!$A$9:$D$550,4,0),"-")</f>
        <v>-</v>
      </c>
      <c r="C459" s="26">
        <f>Накл!J466</f>
        <v>0</v>
      </c>
      <c r="D459" s="33" t="str">
        <f t="array" ref="D459">CONCATENATE(IFERROR(INDEX(Накл!$C$9:$C$550,SMALL(IF(Накл!$B$9:$B$550=A459,ROW(Накл!$B$9:$B$550)-ROW(Накл!$B$9)+1),ROW(D459)-ROW(A459)+1)),"")," ",IFERROR(INDEX(Накл!$C$9:$C$550,SMALL(IF(Накл!$B$9:$B$550=A459,ROW(Накл!$B$9:$B$550)-ROW(Накл!$B$9)+1),ROW(D460)-ROW(A459)+1)),"")," ",IFERROR(INDEX(Накл!$C$9:$C$550,SMALL(IF(Накл!$B$9:$B$550=A459,ROW(Накл!$B$9:$B$550)-ROW(Накл!$B$9)+1),ROW(D461)-ROW(A459)+1)),"")," ",IFERROR(INDEX(Накл!$C$9:$C$550,SMALL(IF(Накл!$B$9:$B$550=A459,ROW(Накл!$B$9:$B$550)-ROW(Накл!$B$9)+1),ROW(D462)-ROW(A459)+1)),"")," ",IFERROR(INDEX(Накл!$C$9:$C$550,SMALL(IF(Накл!$B$9:$B$550=A459,ROW(Накл!$B$9:$B$550)-ROW(Накл!$B$9)+1),ROW(D463)-ROW(A459)+1)),"")," ",IFERROR(INDEX(Накл!$C$9:$C$550,SMALL(IF(Накл!$B$9:$B$550=A459,ROW(Накл!$B$9:$B$550)-ROW(Накл!$B$9)+1),ROW(D464)-ROW(A459)+1)),"")," ",IFERROR(INDEX(Накл!$C$9:$C$550,SMALL(IF(Накл!$B$9:$B$550=A459,ROW(Накл!$B$9:$B$550)-ROW(Накл!$B$9)+1),ROW(D465)-ROW(A459)+1)),"")," ",IFERROR(INDEX(Накл!$C$9:$C$550,SMALL(IF(Накл!$B$9:$B$550=A459,ROW(Накл!$B$9:$B$550)-ROW(Накл!$B$9)+1),ROW(D466)-ROW(A459)+1)),"")," ",IFERROR(INDEX(Накл!$C$9:$C$550,SMALL(IF(Накл!$B$9:$B$550=A459,ROW(Накл!$B$9:$B$550)-ROW(Накл!$B$9)+1),ROW(D467)-ROW(A459)+1)),"")," ",IFERROR(INDEX(Накл!$C$9:$C$550,SMALL(IF(Накл!$B$9:$B$550=A459,ROW(Накл!$B$9:$B$550)-ROW(Накл!$B$9)+1),ROW(D468)-ROW(A459)+1)),""))</f>
        <v xml:space="preserve">         </v>
      </c>
      <c r="E459" s="26" t="str">
        <f t="array" ref="E459">IF(LEN(D459)&lt;10,CONCATENATE(IFERROR(INDEX(Накл!$C$9:$C$550,SMALL(IF(Накл!$A$9:$A$550=VALUE(LEFT(A459,8)),ROW(Накл!$A$9:$A$550)-ROW(Накл!$A$9)+1),ROW(E459)-ROW(B459)+1)),"")," ",IFERROR(INDEX(Накл!$C$9:$C$550,SMALL(IF(Накл!$A$9:$A$550=VALUE(LEFT(A459,8)),ROW(Накл!$A$9:$A$550)-ROW(Накл!$A$9)+1),ROW(E460)-ROW(B459)+1)),"")," ",IFERROR(INDEX(Накл!$C$9:$C$550,SMALL(IF(Накл!$A$9:$A$550=VALUE(LEFT(A459,8)),ROW(Накл!$A$9:$A$550)-ROW(Накл!$A$9)+1),ROW(E461)-ROW(B459)+1)),"")," ",IFERROR(INDEX(Накл!$C$9:$C$550,SMALL(IF(Накл!$A$9:$A$550=VALUE(LEFT(A459,8)),ROW(Накл!$A$9:$A$550)-ROW(Накл!$A$9)+1),ROW(E462)-ROW(B459)+1)),"")),"")</f>
        <v xml:space="preserve">   </v>
      </c>
    </row>
    <row r="460" spans="1:5">
      <c r="A460" s="26" t="str">
        <f>IFERROR(CONCATENATE(VALUE(SUBSTITUTE(SUBSTITUTE(LEFT(Накл!G467,11),".",""),"-",""))," ",Накл!J467),"-")</f>
        <v>-</v>
      </c>
      <c r="B460" s="26" t="str">
        <f>IFERROR(VLOOKUP(VALUE(LEFT(A460,8)),Накл!$A$9:$D$550,4,0),"-")</f>
        <v>-</v>
      </c>
      <c r="C460" s="26">
        <f>Накл!J467</f>
        <v>0</v>
      </c>
      <c r="D460" s="33" t="str">
        <f t="array" ref="D460">CONCATENATE(IFERROR(INDEX(Накл!$C$9:$C$550,SMALL(IF(Накл!$B$9:$B$550=A460,ROW(Накл!$B$9:$B$550)-ROW(Накл!$B$9)+1),ROW(D460)-ROW(A460)+1)),"")," ",IFERROR(INDEX(Накл!$C$9:$C$550,SMALL(IF(Накл!$B$9:$B$550=A460,ROW(Накл!$B$9:$B$550)-ROW(Накл!$B$9)+1),ROW(D461)-ROW(A460)+1)),"")," ",IFERROR(INDEX(Накл!$C$9:$C$550,SMALL(IF(Накл!$B$9:$B$550=A460,ROW(Накл!$B$9:$B$550)-ROW(Накл!$B$9)+1),ROW(D462)-ROW(A460)+1)),"")," ",IFERROR(INDEX(Накл!$C$9:$C$550,SMALL(IF(Накл!$B$9:$B$550=A460,ROW(Накл!$B$9:$B$550)-ROW(Накл!$B$9)+1),ROW(D463)-ROW(A460)+1)),"")," ",IFERROR(INDEX(Накл!$C$9:$C$550,SMALL(IF(Накл!$B$9:$B$550=A460,ROW(Накл!$B$9:$B$550)-ROW(Накл!$B$9)+1),ROW(D464)-ROW(A460)+1)),"")," ",IFERROR(INDEX(Накл!$C$9:$C$550,SMALL(IF(Накл!$B$9:$B$550=A460,ROW(Накл!$B$9:$B$550)-ROW(Накл!$B$9)+1),ROW(D465)-ROW(A460)+1)),"")," ",IFERROR(INDEX(Накл!$C$9:$C$550,SMALL(IF(Накл!$B$9:$B$550=A460,ROW(Накл!$B$9:$B$550)-ROW(Накл!$B$9)+1),ROW(D466)-ROW(A460)+1)),"")," ",IFERROR(INDEX(Накл!$C$9:$C$550,SMALL(IF(Накл!$B$9:$B$550=A460,ROW(Накл!$B$9:$B$550)-ROW(Накл!$B$9)+1),ROW(D467)-ROW(A460)+1)),"")," ",IFERROR(INDEX(Накл!$C$9:$C$550,SMALL(IF(Накл!$B$9:$B$550=A460,ROW(Накл!$B$9:$B$550)-ROW(Накл!$B$9)+1),ROW(D468)-ROW(A460)+1)),"")," ",IFERROR(INDEX(Накл!$C$9:$C$550,SMALL(IF(Накл!$B$9:$B$550=A460,ROW(Накл!$B$9:$B$550)-ROW(Накл!$B$9)+1),ROW(D469)-ROW(A460)+1)),""))</f>
        <v xml:space="preserve">         </v>
      </c>
      <c r="E460" s="26" t="str">
        <f t="array" ref="E460">IF(LEN(D460)&lt;10,CONCATENATE(IFERROR(INDEX(Накл!$C$9:$C$550,SMALL(IF(Накл!$A$9:$A$550=VALUE(LEFT(A460,8)),ROW(Накл!$A$9:$A$550)-ROW(Накл!$A$9)+1),ROW(E460)-ROW(B460)+1)),"")," ",IFERROR(INDEX(Накл!$C$9:$C$550,SMALL(IF(Накл!$A$9:$A$550=VALUE(LEFT(A460,8)),ROW(Накл!$A$9:$A$550)-ROW(Накл!$A$9)+1),ROW(E461)-ROW(B460)+1)),"")," ",IFERROR(INDEX(Накл!$C$9:$C$550,SMALL(IF(Накл!$A$9:$A$550=VALUE(LEFT(A460,8)),ROW(Накл!$A$9:$A$550)-ROW(Накл!$A$9)+1),ROW(E462)-ROW(B460)+1)),"")," ",IFERROR(INDEX(Накл!$C$9:$C$550,SMALL(IF(Накл!$A$9:$A$550=VALUE(LEFT(A460,8)),ROW(Накл!$A$9:$A$550)-ROW(Накл!$A$9)+1),ROW(E463)-ROW(B460)+1)),"")),"")</f>
        <v xml:space="preserve">   </v>
      </c>
    </row>
    <row r="461" spans="1:5">
      <c r="A461" s="26" t="str">
        <f>IFERROR(CONCATENATE(VALUE(SUBSTITUTE(SUBSTITUTE(LEFT(Накл!G468,11),".",""),"-",""))," ",Накл!J468),"-")</f>
        <v>-</v>
      </c>
      <c r="B461" s="26" t="str">
        <f>IFERROR(VLOOKUP(VALUE(LEFT(A461,8)),Накл!$A$9:$D$550,4,0),"-")</f>
        <v>-</v>
      </c>
      <c r="C461" s="26">
        <f>Накл!J468</f>
        <v>0</v>
      </c>
      <c r="D461" s="33" t="str">
        <f t="array" ref="D461">CONCATENATE(IFERROR(INDEX(Накл!$C$9:$C$550,SMALL(IF(Накл!$B$9:$B$550=A461,ROW(Накл!$B$9:$B$550)-ROW(Накл!$B$9)+1),ROW(D461)-ROW(A461)+1)),"")," ",IFERROR(INDEX(Накл!$C$9:$C$550,SMALL(IF(Накл!$B$9:$B$550=A461,ROW(Накл!$B$9:$B$550)-ROW(Накл!$B$9)+1),ROW(D462)-ROW(A461)+1)),"")," ",IFERROR(INDEX(Накл!$C$9:$C$550,SMALL(IF(Накл!$B$9:$B$550=A461,ROW(Накл!$B$9:$B$550)-ROW(Накл!$B$9)+1),ROW(D463)-ROW(A461)+1)),"")," ",IFERROR(INDEX(Накл!$C$9:$C$550,SMALL(IF(Накл!$B$9:$B$550=A461,ROW(Накл!$B$9:$B$550)-ROW(Накл!$B$9)+1),ROW(D464)-ROW(A461)+1)),"")," ",IFERROR(INDEX(Накл!$C$9:$C$550,SMALL(IF(Накл!$B$9:$B$550=A461,ROW(Накл!$B$9:$B$550)-ROW(Накл!$B$9)+1),ROW(D465)-ROW(A461)+1)),"")," ",IFERROR(INDEX(Накл!$C$9:$C$550,SMALL(IF(Накл!$B$9:$B$550=A461,ROW(Накл!$B$9:$B$550)-ROW(Накл!$B$9)+1),ROW(D466)-ROW(A461)+1)),"")," ",IFERROR(INDEX(Накл!$C$9:$C$550,SMALL(IF(Накл!$B$9:$B$550=A461,ROW(Накл!$B$9:$B$550)-ROW(Накл!$B$9)+1),ROW(D467)-ROW(A461)+1)),"")," ",IFERROR(INDEX(Накл!$C$9:$C$550,SMALL(IF(Накл!$B$9:$B$550=A461,ROW(Накл!$B$9:$B$550)-ROW(Накл!$B$9)+1),ROW(D468)-ROW(A461)+1)),"")," ",IFERROR(INDEX(Накл!$C$9:$C$550,SMALL(IF(Накл!$B$9:$B$550=A461,ROW(Накл!$B$9:$B$550)-ROW(Накл!$B$9)+1),ROW(D469)-ROW(A461)+1)),"")," ",IFERROR(INDEX(Накл!$C$9:$C$550,SMALL(IF(Накл!$B$9:$B$550=A461,ROW(Накл!$B$9:$B$550)-ROW(Накл!$B$9)+1),ROW(D470)-ROW(A461)+1)),""))</f>
        <v xml:space="preserve">         </v>
      </c>
      <c r="E461" s="26" t="str">
        <f t="array" ref="E461">IF(LEN(D461)&lt;10,CONCATENATE(IFERROR(INDEX(Накл!$C$9:$C$550,SMALL(IF(Накл!$A$9:$A$550=VALUE(LEFT(A461,8)),ROW(Накл!$A$9:$A$550)-ROW(Накл!$A$9)+1),ROW(E461)-ROW(B461)+1)),"")," ",IFERROR(INDEX(Накл!$C$9:$C$550,SMALL(IF(Накл!$A$9:$A$550=VALUE(LEFT(A461,8)),ROW(Накл!$A$9:$A$550)-ROW(Накл!$A$9)+1),ROW(E462)-ROW(B461)+1)),"")," ",IFERROR(INDEX(Накл!$C$9:$C$550,SMALL(IF(Накл!$A$9:$A$550=VALUE(LEFT(A461,8)),ROW(Накл!$A$9:$A$550)-ROW(Накл!$A$9)+1),ROW(E463)-ROW(B461)+1)),"")," ",IFERROR(INDEX(Накл!$C$9:$C$550,SMALL(IF(Накл!$A$9:$A$550=VALUE(LEFT(A461,8)),ROW(Накл!$A$9:$A$550)-ROW(Накл!$A$9)+1),ROW(E464)-ROW(B461)+1)),"")),"")</f>
        <v xml:space="preserve">   </v>
      </c>
    </row>
    <row r="462" spans="1:5">
      <c r="A462" s="26" t="str">
        <f>IFERROR(CONCATENATE(VALUE(SUBSTITUTE(SUBSTITUTE(LEFT(Накл!G469,11),".",""),"-",""))," ",Накл!J469),"-")</f>
        <v>-</v>
      </c>
      <c r="B462" s="26" t="str">
        <f>IFERROR(VLOOKUP(VALUE(LEFT(A462,8)),Накл!$A$9:$D$550,4,0),"-")</f>
        <v>-</v>
      </c>
      <c r="C462" s="26">
        <f>Накл!J469</f>
        <v>0</v>
      </c>
      <c r="D462" s="33" t="str">
        <f t="array" ref="D462">CONCATENATE(IFERROR(INDEX(Накл!$C$9:$C$550,SMALL(IF(Накл!$B$9:$B$550=A462,ROW(Накл!$B$9:$B$550)-ROW(Накл!$B$9)+1),ROW(D462)-ROW(A462)+1)),"")," ",IFERROR(INDEX(Накл!$C$9:$C$550,SMALL(IF(Накл!$B$9:$B$550=A462,ROW(Накл!$B$9:$B$550)-ROW(Накл!$B$9)+1),ROW(D463)-ROW(A462)+1)),"")," ",IFERROR(INDEX(Накл!$C$9:$C$550,SMALL(IF(Накл!$B$9:$B$550=A462,ROW(Накл!$B$9:$B$550)-ROW(Накл!$B$9)+1),ROW(D464)-ROW(A462)+1)),"")," ",IFERROR(INDEX(Накл!$C$9:$C$550,SMALL(IF(Накл!$B$9:$B$550=A462,ROW(Накл!$B$9:$B$550)-ROW(Накл!$B$9)+1),ROW(D465)-ROW(A462)+1)),"")," ",IFERROR(INDEX(Накл!$C$9:$C$550,SMALL(IF(Накл!$B$9:$B$550=A462,ROW(Накл!$B$9:$B$550)-ROW(Накл!$B$9)+1),ROW(D466)-ROW(A462)+1)),"")," ",IFERROR(INDEX(Накл!$C$9:$C$550,SMALL(IF(Накл!$B$9:$B$550=A462,ROW(Накл!$B$9:$B$550)-ROW(Накл!$B$9)+1),ROW(D467)-ROW(A462)+1)),"")," ",IFERROR(INDEX(Накл!$C$9:$C$550,SMALL(IF(Накл!$B$9:$B$550=A462,ROW(Накл!$B$9:$B$550)-ROW(Накл!$B$9)+1),ROW(D468)-ROW(A462)+1)),"")," ",IFERROR(INDEX(Накл!$C$9:$C$550,SMALL(IF(Накл!$B$9:$B$550=A462,ROW(Накл!$B$9:$B$550)-ROW(Накл!$B$9)+1),ROW(D469)-ROW(A462)+1)),"")," ",IFERROR(INDEX(Накл!$C$9:$C$550,SMALL(IF(Накл!$B$9:$B$550=A462,ROW(Накл!$B$9:$B$550)-ROW(Накл!$B$9)+1),ROW(D470)-ROW(A462)+1)),"")," ",IFERROR(INDEX(Накл!$C$9:$C$550,SMALL(IF(Накл!$B$9:$B$550=A462,ROW(Накл!$B$9:$B$550)-ROW(Накл!$B$9)+1),ROW(D471)-ROW(A462)+1)),""))</f>
        <v xml:space="preserve">         </v>
      </c>
      <c r="E462" s="26" t="str">
        <f t="array" ref="E462">IF(LEN(D462)&lt;10,CONCATENATE(IFERROR(INDEX(Накл!$C$9:$C$550,SMALL(IF(Накл!$A$9:$A$550=VALUE(LEFT(A462,8)),ROW(Накл!$A$9:$A$550)-ROW(Накл!$A$9)+1),ROW(E462)-ROW(B462)+1)),"")," ",IFERROR(INDEX(Накл!$C$9:$C$550,SMALL(IF(Накл!$A$9:$A$550=VALUE(LEFT(A462,8)),ROW(Накл!$A$9:$A$550)-ROW(Накл!$A$9)+1),ROW(E463)-ROW(B462)+1)),"")," ",IFERROR(INDEX(Накл!$C$9:$C$550,SMALL(IF(Накл!$A$9:$A$550=VALUE(LEFT(A462,8)),ROW(Накл!$A$9:$A$550)-ROW(Накл!$A$9)+1),ROW(E464)-ROW(B462)+1)),"")," ",IFERROR(INDEX(Накл!$C$9:$C$550,SMALL(IF(Накл!$A$9:$A$550=VALUE(LEFT(A462,8)),ROW(Накл!$A$9:$A$550)-ROW(Накл!$A$9)+1),ROW(E465)-ROW(B462)+1)),"")),"")</f>
        <v xml:space="preserve">   </v>
      </c>
    </row>
    <row r="463" spans="1:5">
      <c r="A463" s="26" t="str">
        <f>IFERROR(CONCATENATE(VALUE(SUBSTITUTE(SUBSTITUTE(LEFT(Накл!G470,11),".",""),"-",""))," ",Накл!J470),"-")</f>
        <v>-</v>
      </c>
      <c r="B463" s="26" t="str">
        <f>IFERROR(VLOOKUP(VALUE(LEFT(A463,8)),Накл!$A$9:$D$550,4,0),"-")</f>
        <v>-</v>
      </c>
      <c r="C463" s="26">
        <f>Накл!J470</f>
        <v>0</v>
      </c>
      <c r="D463" s="33" t="str">
        <f t="array" ref="D463">CONCATENATE(IFERROR(INDEX(Накл!$C$9:$C$550,SMALL(IF(Накл!$B$9:$B$550=A463,ROW(Накл!$B$9:$B$550)-ROW(Накл!$B$9)+1),ROW(D463)-ROW(A463)+1)),"")," ",IFERROR(INDEX(Накл!$C$9:$C$550,SMALL(IF(Накл!$B$9:$B$550=A463,ROW(Накл!$B$9:$B$550)-ROW(Накл!$B$9)+1),ROW(D464)-ROW(A463)+1)),"")," ",IFERROR(INDEX(Накл!$C$9:$C$550,SMALL(IF(Накл!$B$9:$B$550=A463,ROW(Накл!$B$9:$B$550)-ROW(Накл!$B$9)+1),ROW(D465)-ROW(A463)+1)),"")," ",IFERROR(INDEX(Накл!$C$9:$C$550,SMALL(IF(Накл!$B$9:$B$550=A463,ROW(Накл!$B$9:$B$550)-ROW(Накл!$B$9)+1),ROW(D466)-ROW(A463)+1)),"")," ",IFERROR(INDEX(Накл!$C$9:$C$550,SMALL(IF(Накл!$B$9:$B$550=A463,ROW(Накл!$B$9:$B$550)-ROW(Накл!$B$9)+1),ROW(D467)-ROW(A463)+1)),"")," ",IFERROR(INDEX(Накл!$C$9:$C$550,SMALL(IF(Накл!$B$9:$B$550=A463,ROW(Накл!$B$9:$B$550)-ROW(Накл!$B$9)+1),ROW(D468)-ROW(A463)+1)),"")," ",IFERROR(INDEX(Накл!$C$9:$C$550,SMALL(IF(Накл!$B$9:$B$550=A463,ROW(Накл!$B$9:$B$550)-ROW(Накл!$B$9)+1),ROW(D469)-ROW(A463)+1)),"")," ",IFERROR(INDEX(Накл!$C$9:$C$550,SMALL(IF(Накл!$B$9:$B$550=A463,ROW(Накл!$B$9:$B$550)-ROW(Накл!$B$9)+1),ROW(D470)-ROW(A463)+1)),"")," ",IFERROR(INDEX(Накл!$C$9:$C$550,SMALL(IF(Накл!$B$9:$B$550=A463,ROW(Накл!$B$9:$B$550)-ROW(Накл!$B$9)+1),ROW(D471)-ROW(A463)+1)),"")," ",IFERROR(INDEX(Накл!$C$9:$C$550,SMALL(IF(Накл!$B$9:$B$550=A463,ROW(Накл!$B$9:$B$550)-ROW(Накл!$B$9)+1),ROW(D472)-ROW(A463)+1)),""))</f>
        <v xml:space="preserve">         </v>
      </c>
      <c r="E463" s="26" t="str">
        <f t="array" ref="E463">IF(LEN(D463)&lt;10,CONCATENATE(IFERROR(INDEX(Накл!$C$9:$C$550,SMALL(IF(Накл!$A$9:$A$550=VALUE(LEFT(A463,8)),ROW(Накл!$A$9:$A$550)-ROW(Накл!$A$9)+1),ROW(E463)-ROW(B463)+1)),"")," ",IFERROR(INDEX(Накл!$C$9:$C$550,SMALL(IF(Накл!$A$9:$A$550=VALUE(LEFT(A463,8)),ROW(Накл!$A$9:$A$550)-ROW(Накл!$A$9)+1),ROW(E464)-ROW(B463)+1)),"")," ",IFERROR(INDEX(Накл!$C$9:$C$550,SMALL(IF(Накл!$A$9:$A$550=VALUE(LEFT(A463,8)),ROW(Накл!$A$9:$A$550)-ROW(Накл!$A$9)+1),ROW(E465)-ROW(B463)+1)),"")," ",IFERROR(INDEX(Накл!$C$9:$C$550,SMALL(IF(Накл!$A$9:$A$550=VALUE(LEFT(A463,8)),ROW(Накл!$A$9:$A$550)-ROW(Накл!$A$9)+1),ROW(E466)-ROW(B463)+1)),"")),"")</f>
        <v xml:space="preserve">   </v>
      </c>
    </row>
    <row r="464" spans="1:5">
      <c r="A464" s="26" t="str">
        <f>IFERROR(CONCATENATE(VALUE(SUBSTITUTE(SUBSTITUTE(LEFT(Накл!G471,11),".",""),"-",""))," ",Накл!J471),"-")</f>
        <v>-</v>
      </c>
      <c r="B464" s="26" t="str">
        <f>IFERROR(VLOOKUP(VALUE(LEFT(A464,8)),Накл!$A$9:$D$550,4,0),"-")</f>
        <v>-</v>
      </c>
      <c r="C464" s="26">
        <f>Накл!J471</f>
        <v>0</v>
      </c>
      <c r="D464" s="33" t="str">
        <f t="array" ref="D464">CONCATENATE(IFERROR(INDEX(Накл!$C$9:$C$550,SMALL(IF(Накл!$B$9:$B$550=A464,ROW(Накл!$B$9:$B$550)-ROW(Накл!$B$9)+1),ROW(D464)-ROW(A464)+1)),"")," ",IFERROR(INDEX(Накл!$C$9:$C$550,SMALL(IF(Накл!$B$9:$B$550=A464,ROW(Накл!$B$9:$B$550)-ROW(Накл!$B$9)+1),ROW(D465)-ROW(A464)+1)),"")," ",IFERROR(INDEX(Накл!$C$9:$C$550,SMALL(IF(Накл!$B$9:$B$550=A464,ROW(Накл!$B$9:$B$550)-ROW(Накл!$B$9)+1),ROW(D466)-ROW(A464)+1)),"")," ",IFERROR(INDEX(Накл!$C$9:$C$550,SMALL(IF(Накл!$B$9:$B$550=A464,ROW(Накл!$B$9:$B$550)-ROW(Накл!$B$9)+1),ROW(D467)-ROW(A464)+1)),"")," ",IFERROR(INDEX(Накл!$C$9:$C$550,SMALL(IF(Накл!$B$9:$B$550=A464,ROW(Накл!$B$9:$B$550)-ROW(Накл!$B$9)+1),ROW(D468)-ROW(A464)+1)),"")," ",IFERROR(INDEX(Накл!$C$9:$C$550,SMALL(IF(Накл!$B$9:$B$550=A464,ROW(Накл!$B$9:$B$550)-ROW(Накл!$B$9)+1),ROW(D469)-ROW(A464)+1)),"")," ",IFERROR(INDEX(Накл!$C$9:$C$550,SMALL(IF(Накл!$B$9:$B$550=A464,ROW(Накл!$B$9:$B$550)-ROW(Накл!$B$9)+1),ROW(D470)-ROW(A464)+1)),"")," ",IFERROR(INDEX(Накл!$C$9:$C$550,SMALL(IF(Накл!$B$9:$B$550=A464,ROW(Накл!$B$9:$B$550)-ROW(Накл!$B$9)+1),ROW(D471)-ROW(A464)+1)),"")," ",IFERROR(INDEX(Накл!$C$9:$C$550,SMALL(IF(Накл!$B$9:$B$550=A464,ROW(Накл!$B$9:$B$550)-ROW(Накл!$B$9)+1),ROW(D472)-ROW(A464)+1)),"")," ",IFERROR(INDEX(Накл!$C$9:$C$550,SMALL(IF(Накл!$B$9:$B$550=A464,ROW(Накл!$B$9:$B$550)-ROW(Накл!$B$9)+1),ROW(D473)-ROW(A464)+1)),""))</f>
        <v xml:space="preserve">         </v>
      </c>
      <c r="E464" s="26" t="str">
        <f t="array" ref="E464">IF(LEN(D464)&lt;10,CONCATENATE(IFERROR(INDEX(Накл!$C$9:$C$550,SMALL(IF(Накл!$A$9:$A$550=VALUE(LEFT(A464,8)),ROW(Накл!$A$9:$A$550)-ROW(Накл!$A$9)+1),ROW(E464)-ROW(B464)+1)),"")," ",IFERROR(INDEX(Накл!$C$9:$C$550,SMALL(IF(Накл!$A$9:$A$550=VALUE(LEFT(A464,8)),ROW(Накл!$A$9:$A$550)-ROW(Накл!$A$9)+1),ROW(E465)-ROW(B464)+1)),"")," ",IFERROR(INDEX(Накл!$C$9:$C$550,SMALL(IF(Накл!$A$9:$A$550=VALUE(LEFT(A464,8)),ROW(Накл!$A$9:$A$550)-ROW(Накл!$A$9)+1),ROW(E466)-ROW(B464)+1)),"")," ",IFERROR(INDEX(Накл!$C$9:$C$550,SMALL(IF(Накл!$A$9:$A$550=VALUE(LEFT(A464,8)),ROW(Накл!$A$9:$A$550)-ROW(Накл!$A$9)+1),ROW(E467)-ROW(B464)+1)),"")),"")</f>
        <v xml:space="preserve">   </v>
      </c>
    </row>
    <row r="465" spans="1:5">
      <c r="A465" s="26" t="str">
        <f>IFERROR(CONCATENATE(VALUE(SUBSTITUTE(SUBSTITUTE(LEFT(Накл!G472,11),".",""),"-",""))," ",Накл!J472),"-")</f>
        <v>-</v>
      </c>
      <c r="B465" s="26" t="str">
        <f>IFERROR(VLOOKUP(VALUE(LEFT(A465,8)),Накл!$A$9:$D$550,4,0),"-")</f>
        <v>-</v>
      </c>
      <c r="C465" s="26">
        <f>Накл!J472</f>
        <v>0</v>
      </c>
      <c r="D465" s="33" t="str">
        <f t="array" ref="D465">CONCATENATE(IFERROR(INDEX(Накл!$C$9:$C$550,SMALL(IF(Накл!$B$9:$B$550=A465,ROW(Накл!$B$9:$B$550)-ROW(Накл!$B$9)+1),ROW(D465)-ROW(A465)+1)),"")," ",IFERROR(INDEX(Накл!$C$9:$C$550,SMALL(IF(Накл!$B$9:$B$550=A465,ROW(Накл!$B$9:$B$550)-ROW(Накл!$B$9)+1),ROW(D466)-ROW(A465)+1)),"")," ",IFERROR(INDEX(Накл!$C$9:$C$550,SMALL(IF(Накл!$B$9:$B$550=A465,ROW(Накл!$B$9:$B$550)-ROW(Накл!$B$9)+1),ROW(D467)-ROW(A465)+1)),"")," ",IFERROR(INDEX(Накл!$C$9:$C$550,SMALL(IF(Накл!$B$9:$B$550=A465,ROW(Накл!$B$9:$B$550)-ROW(Накл!$B$9)+1),ROW(D468)-ROW(A465)+1)),"")," ",IFERROR(INDEX(Накл!$C$9:$C$550,SMALL(IF(Накл!$B$9:$B$550=A465,ROW(Накл!$B$9:$B$550)-ROW(Накл!$B$9)+1),ROW(D469)-ROW(A465)+1)),"")," ",IFERROR(INDEX(Накл!$C$9:$C$550,SMALL(IF(Накл!$B$9:$B$550=A465,ROW(Накл!$B$9:$B$550)-ROW(Накл!$B$9)+1),ROW(D470)-ROW(A465)+1)),"")," ",IFERROR(INDEX(Накл!$C$9:$C$550,SMALL(IF(Накл!$B$9:$B$550=A465,ROW(Накл!$B$9:$B$550)-ROW(Накл!$B$9)+1),ROW(D471)-ROW(A465)+1)),"")," ",IFERROR(INDEX(Накл!$C$9:$C$550,SMALL(IF(Накл!$B$9:$B$550=A465,ROW(Накл!$B$9:$B$550)-ROW(Накл!$B$9)+1),ROW(D472)-ROW(A465)+1)),"")," ",IFERROR(INDEX(Накл!$C$9:$C$550,SMALL(IF(Накл!$B$9:$B$550=A465,ROW(Накл!$B$9:$B$550)-ROW(Накл!$B$9)+1),ROW(D473)-ROW(A465)+1)),"")," ",IFERROR(INDEX(Накл!$C$9:$C$550,SMALL(IF(Накл!$B$9:$B$550=A465,ROW(Накл!$B$9:$B$550)-ROW(Накл!$B$9)+1),ROW(D474)-ROW(A465)+1)),""))</f>
        <v xml:space="preserve">         </v>
      </c>
      <c r="E465" s="26" t="str">
        <f t="array" ref="E465">IF(LEN(D465)&lt;10,CONCATENATE(IFERROR(INDEX(Накл!$C$9:$C$550,SMALL(IF(Накл!$A$9:$A$550=VALUE(LEFT(A465,8)),ROW(Накл!$A$9:$A$550)-ROW(Накл!$A$9)+1),ROW(E465)-ROW(B465)+1)),"")," ",IFERROR(INDEX(Накл!$C$9:$C$550,SMALL(IF(Накл!$A$9:$A$550=VALUE(LEFT(A465,8)),ROW(Накл!$A$9:$A$550)-ROW(Накл!$A$9)+1),ROW(E466)-ROW(B465)+1)),"")," ",IFERROR(INDEX(Накл!$C$9:$C$550,SMALL(IF(Накл!$A$9:$A$550=VALUE(LEFT(A465,8)),ROW(Накл!$A$9:$A$550)-ROW(Накл!$A$9)+1),ROW(E467)-ROW(B465)+1)),"")," ",IFERROR(INDEX(Накл!$C$9:$C$550,SMALL(IF(Накл!$A$9:$A$550=VALUE(LEFT(A465,8)),ROW(Накл!$A$9:$A$550)-ROW(Накл!$A$9)+1),ROW(E468)-ROW(B465)+1)),"")),"")</f>
        <v xml:space="preserve">   </v>
      </c>
    </row>
    <row r="466" spans="1:5">
      <c r="A466" s="26" t="str">
        <f>IFERROR(CONCATENATE(VALUE(SUBSTITUTE(SUBSTITUTE(LEFT(Накл!G473,11),".",""),"-",""))," ",Накл!J473),"-")</f>
        <v>-</v>
      </c>
      <c r="B466" s="26" t="str">
        <f>IFERROR(VLOOKUP(VALUE(LEFT(A466,8)),Накл!$A$9:$D$550,4,0),"-")</f>
        <v>-</v>
      </c>
      <c r="C466" s="26">
        <f>Накл!J473</f>
        <v>0</v>
      </c>
      <c r="D466" s="33" t="str">
        <f t="array" ref="D466">CONCATENATE(IFERROR(INDEX(Накл!$C$9:$C$550,SMALL(IF(Накл!$B$9:$B$550=A466,ROW(Накл!$B$9:$B$550)-ROW(Накл!$B$9)+1),ROW(D466)-ROW(A466)+1)),"")," ",IFERROR(INDEX(Накл!$C$9:$C$550,SMALL(IF(Накл!$B$9:$B$550=A466,ROW(Накл!$B$9:$B$550)-ROW(Накл!$B$9)+1),ROW(D467)-ROW(A466)+1)),"")," ",IFERROR(INDEX(Накл!$C$9:$C$550,SMALL(IF(Накл!$B$9:$B$550=A466,ROW(Накл!$B$9:$B$550)-ROW(Накл!$B$9)+1),ROW(D468)-ROW(A466)+1)),"")," ",IFERROR(INDEX(Накл!$C$9:$C$550,SMALL(IF(Накл!$B$9:$B$550=A466,ROW(Накл!$B$9:$B$550)-ROW(Накл!$B$9)+1),ROW(D469)-ROW(A466)+1)),"")," ",IFERROR(INDEX(Накл!$C$9:$C$550,SMALL(IF(Накл!$B$9:$B$550=A466,ROW(Накл!$B$9:$B$550)-ROW(Накл!$B$9)+1),ROW(D470)-ROW(A466)+1)),"")," ",IFERROR(INDEX(Накл!$C$9:$C$550,SMALL(IF(Накл!$B$9:$B$550=A466,ROW(Накл!$B$9:$B$550)-ROW(Накл!$B$9)+1),ROW(D471)-ROW(A466)+1)),"")," ",IFERROR(INDEX(Накл!$C$9:$C$550,SMALL(IF(Накл!$B$9:$B$550=A466,ROW(Накл!$B$9:$B$550)-ROW(Накл!$B$9)+1),ROW(D472)-ROW(A466)+1)),"")," ",IFERROR(INDEX(Накл!$C$9:$C$550,SMALL(IF(Накл!$B$9:$B$550=A466,ROW(Накл!$B$9:$B$550)-ROW(Накл!$B$9)+1),ROW(D473)-ROW(A466)+1)),"")," ",IFERROR(INDEX(Накл!$C$9:$C$550,SMALL(IF(Накл!$B$9:$B$550=A466,ROW(Накл!$B$9:$B$550)-ROW(Накл!$B$9)+1),ROW(D474)-ROW(A466)+1)),"")," ",IFERROR(INDEX(Накл!$C$9:$C$550,SMALL(IF(Накл!$B$9:$B$550=A466,ROW(Накл!$B$9:$B$550)-ROW(Накл!$B$9)+1),ROW(D475)-ROW(A466)+1)),""))</f>
        <v xml:space="preserve">         </v>
      </c>
      <c r="E466" s="26" t="str">
        <f t="array" ref="E466">IF(LEN(D466)&lt;10,CONCATENATE(IFERROR(INDEX(Накл!$C$9:$C$550,SMALL(IF(Накл!$A$9:$A$550=VALUE(LEFT(A466,8)),ROW(Накл!$A$9:$A$550)-ROW(Накл!$A$9)+1),ROW(E466)-ROW(B466)+1)),"")," ",IFERROR(INDEX(Накл!$C$9:$C$550,SMALL(IF(Накл!$A$9:$A$550=VALUE(LEFT(A466,8)),ROW(Накл!$A$9:$A$550)-ROW(Накл!$A$9)+1),ROW(E467)-ROW(B466)+1)),"")," ",IFERROR(INDEX(Накл!$C$9:$C$550,SMALL(IF(Накл!$A$9:$A$550=VALUE(LEFT(A466,8)),ROW(Накл!$A$9:$A$550)-ROW(Накл!$A$9)+1),ROW(E468)-ROW(B466)+1)),"")," ",IFERROR(INDEX(Накл!$C$9:$C$550,SMALL(IF(Накл!$A$9:$A$550=VALUE(LEFT(A466,8)),ROW(Накл!$A$9:$A$550)-ROW(Накл!$A$9)+1),ROW(E469)-ROW(B466)+1)),"")),"")</f>
        <v xml:space="preserve">   </v>
      </c>
    </row>
    <row r="467" spans="1:5">
      <c r="A467" s="26" t="str">
        <f>IFERROR(CONCATENATE(VALUE(SUBSTITUTE(SUBSTITUTE(LEFT(Накл!G474,11),".",""),"-",""))," ",Накл!J474),"-")</f>
        <v>-</v>
      </c>
      <c r="B467" s="26" t="str">
        <f>IFERROR(VLOOKUP(VALUE(LEFT(A467,8)),Накл!$A$9:$D$550,4,0),"-")</f>
        <v>-</v>
      </c>
      <c r="C467" s="26">
        <f>Накл!J474</f>
        <v>0</v>
      </c>
      <c r="D467" s="33" t="str">
        <f t="array" ref="D467">CONCATENATE(IFERROR(INDEX(Накл!$C$9:$C$550,SMALL(IF(Накл!$B$9:$B$550=A467,ROW(Накл!$B$9:$B$550)-ROW(Накл!$B$9)+1),ROW(D467)-ROW(A467)+1)),"")," ",IFERROR(INDEX(Накл!$C$9:$C$550,SMALL(IF(Накл!$B$9:$B$550=A467,ROW(Накл!$B$9:$B$550)-ROW(Накл!$B$9)+1),ROW(D468)-ROW(A467)+1)),"")," ",IFERROR(INDEX(Накл!$C$9:$C$550,SMALL(IF(Накл!$B$9:$B$550=A467,ROW(Накл!$B$9:$B$550)-ROW(Накл!$B$9)+1),ROW(D469)-ROW(A467)+1)),"")," ",IFERROR(INDEX(Накл!$C$9:$C$550,SMALL(IF(Накл!$B$9:$B$550=A467,ROW(Накл!$B$9:$B$550)-ROW(Накл!$B$9)+1),ROW(D470)-ROW(A467)+1)),"")," ",IFERROR(INDEX(Накл!$C$9:$C$550,SMALL(IF(Накл!$B$9:$B$550=A467,ROW(Накл!$B$9:$B$550)-ROW(Накл!$B$9)+1),ROW(D471)-ROW(A467)+1)),"")," ",IFERROR(INDEX(Накл!$C$9:$C$550,SMALL(IF(Накл!$B$9:$B$550=A467,ROW(Накл!$B$9:$B$550)-ROW(Накл!$B$9)+1),ROW(D472)-ROW(A467)+1)),"")," ",IFERROR(INDEX(Накл!$C$9:$C$550,SMALL(IF(Накл!$B$9:$B$550=A467,ROW(Накл!$B$9:$B$550)-ROW(Накл!$B$9)+1),ROW(D473)-ROW(A467)+1)),"")," ",IFERROR(INDEX(Накл!$C$9:$C$550,SMALL(IF(Накл!$B$9:$B$550=A467,ROW(Накл!$B$9:$B$550)-ROW(Накл!$B$9)+1),ROW(D474)-ROW(A467)+1)),"")," ",IFERROR(INDEX(Накл!$C$9:$C$550,SMALL(IF(Накл!$B$9:$B$550=A467,ROW(Накл!$B$9:$B$550)-ROW(Накл!$B$9)+1),ROW(D475)-ROW(A467)+1)),"")," ",IFERROR(INDEX(Накл!$C$9:$C$550,SMALL(IF(Накл!$B$9:$B$550=A467,ROW(Накл!$B$9:$B$550)-ROW(Накл!$B$9)+1),ROW(D476)-ROW(A467)+1)),""))</f>
        <v xml:space="preserve">         </v>
      </c>
      <c r="E467" s="26" t="str">
        <f t="array" ref="E467">IF(LEN(D467)&lt;10,CONCATENATE(IFERROR(INDEX(Накл!$C$9:$C$550,SMALL(IF(Накл!$A$9:$A$550=VALUE(LEFT(A467,8)),ROW(Накл!$A$9:$A$550)-ROW(Накл!$A$9)+1),ROW(E467)-ROW(B467)+1)),"")," ",IFERROR(INDEX(Накл!$C$9:$C$550,SMALL(IF(Накл!$A$9:$A$550=VALUE(LEFT(A467,8)),ROW(Накл!$A$9:$A$550)-ROW(Накл!$A$9)+1),ROW(E468)-ROW(B467)+1)),"")," ",IFERROR(INDEX(Накл!$C$9:$C$550,SMALL(IF(Накл!$A$9:$A$550=VALUE(LEFT(A467,8)),ROW(Накл!$A$9:$A$550)-ROW(Накл!$A$9)+1),ROW(E469)-ROW(B467)+1)),"")," ",IFERROR(INDEX(Накл!$C$9:$C$550,SMALL(IF(Накл!$A$9:$A$550=VALUE(LEFT(A467,8)),ROW(Накл!$A$9:$A$550)-ROW(Накл!$A$9)+1),ROW(E470)-ROW(B467)+1)),"")),"")</f>
        <v xml:space="preserve">   </v>
      </c>
    </row>
    <row r="468" spans="1:5">
      <c r="A468" s="26" t="str">
        <f>IFERROR(CONCATENATE(VALUE(SUBSTITUTE(SUBSTITUTE(LEFT(Накл!G475,11),".",""),"-",""))," ",Накл!J475),"-")</f>
        <v>-</v>
      </c>
      <c r="B468" s="26" t="str">
        <f>IFERROR(VLOOKUP(VALUE(LEFT(A468,8)),Накл!$A$9:$D$550,4,0),"-")</f>
        <v>-</v>
      </c>
      <c r="C468" s="26">
        <f>Накл!J475</f>
        <v>0</v>
      </c>
      <c r="D468" s="33" t="str">
        <f t="array" ref="D468">CONCATENATE(IFERROR(INDEX(Накл!$C$9:$C$550,SMALL(IF(Накл!$B$9:$B$550=A468,ROW(Накл!$B$9:$B$550)-ROW(Накл!$B$9)+1),ROW(D468)-ROW(A468)+1)),"")," ",IFERROR(INDEX(Накл!$C$9:$C$550,SMALL(IF(Накл!$B$9:$B$550=A468,ROW(Накл!$B$9:$B$550)-ROW(Накл!$B$9)+1),ROW(D469)-ROW(A468)+1)),"")," ",IFERROR(INDEX(Накл!$C$9:$C$550,SMALL(IF(Накл!$B$9:$B$550=A468,ROW(Накл!$B$9:$B$550)-ROW(Накл!$B$9)+1),ROW(D470)-ROW(A468)+1)),"")," ",IFERROR(INDEX(Накл!$C$9:$C$550,SMALL(IF(Накл!$B$9:$B$550=A468,ROW(Накл!$B$9:$B$550)-ROW(Накл!$B$9)+1),ROW(D471)-ROW(A468)+1)),"")," ",IFERROR(INDEX(Накл!$C$9:$C$550,SMALL(IF(Накл!$B$9:$B$550=A468,ROW(Накл!$B$9:$B$550)-ROW(Накл!$B$9)+1),ROW(D472)-ROW(A468)+1)),"")," ",IFERROR(INDEX(Накл!$C$9:$C$550,SMALL(IF(Накл!$B$9:$B$550=A468,ROW(Накл!$B$9:$B$550)-ROW(Накл!$B$9)+1),ROW(D473)-ROW(A468)+1)),"")," ",IFERROR(INDEX(Накл!$C$9:$C$550,SMALL(IF(Накл!$B$9:$B$550=A468,ROW(Накл!$B$9:$B$550)-ROW(Накл!$B$9)+1),ROW(D474)-ROW(A468)+1)),"")," ",IFERROR(INDEX(Накл!$C$9:$C$550,SMALL(IF(Накл!$B$9:$B$550=A468,ROW(Накл!$B$9:$B$550)-ROW(Накл!$B$9)+1),ROW(D475)-ROW(A468)+1)),"")," ",IFERROR(INDEX(Накл!$C$9:$C$550,SMALL(IF(Накл!$B$9:$B$550=A468,ROW(Накл!$B$9:$B$550)-ROW(Накл!$B$9)+1),ROW(D476)-ROW(A468)+1)),"")," ",IFERROR(INDEX(Накл!$C$9:$C$550,SMALL(IF(Накл!$B$9:$B$550=A468,ROW(Накл!$B$9:$B$550)-ROW(Накл!$B$9)+1),ROW(D477)-ROW(A468)+1)),""))</f>
        <v xml:space="preserve">         </v>
      </c>
      <c r="E468" s="26" t="str">
        <f t="array" ref="E468">IF(LEN(D468)&lt;10,CONCATENATE(IFERROR(INDEX(Накл!$C$9:$C$550,SMALL(IF(Накл!$A$9:$A$550=VALUE(LEFT(A468,8)),ROW(Накл!$A$9:$A$550)-ROW(Накл!$A$9)+1),ROW(E468)-ROW(B468)+1)),"")," ",IFERROR(INDEX(Накл!$C$9:$C$550,SMALL(IF(Накл!$A$9:$A$550=VALUE(LEFT(A468,8)),ROW(Накл!$A$9:$A$550)-ROW(Накл!$A$9)+1),ROW(E469)-ROW(B468)+1)),"")," ",IFERROR(INDEX(Накл!$C$9:$C$550,SMALL(IF(Накл!$A$9:$A$550=VALUE(LEFT(A468,8)),ROW(Накл!$A$9:$A$550)-ROW(Накл!$A$9)+1),ROW(E470)-ROW(B468)+1)),"")," ",IFERROR(INDEX(Накл!$C$9:$C$550,SMALL(IF(Накл!$A$9:$A$550=VALUE(LEFT(A468,8)),ROW(Накл!$A$9:$A$550)-ROW(Накл!$A$9)+1),ROW(E471)-ROW(B468)+1)),"")),"")</f>
        <v xml:space="preserve">   </v>
      </c>
    </row>
    <row r="469" spans="1:5">
      <c r="A469" s="26" t="str">
        <f>IFERROR(CONCATENATE(VALUE(SUBSTITUTE(SUBSTITUTE(LEFT(Накл!G476,11),".",""),"-",""))," ",Накл!J476),"-")</f>
        <v>-</v>
      </c>
      <c r="B469" s="26" t="str">
        <f>IFERROR(VLOOKUP(VALUE(LEFT(A469,8)),Накл!$A$9:$D$550,4,0),"-")</f>
        <v>-</v>
      </c>
      <c r="C469" s="26">
        <f>Накл!J476</f>
        <v>0</v>
      </c>
      <c r="D469" s="33" t="str">
        <f t="array" ref="D469">CONCATENATE(IFERROR(INDEX(Накл!$C$9:$C$550,SMALL(IF(Накл!$B$9:$B$550=A469,ROW(Накл!$B$9:$B$550)-ROW(Накл!$B$9)+1),ROW(D469)-ROW(A469)+1)),"")," ",IFERROR(INDEX(Накл!$C$9:$C$550,SMALL(IF(Накл!$B$9:$B$550=A469,ROW(Накл!$B$9:$B$550)-ROW(Накл!$B$9)+1),ROW(D470)-ROW(A469)+1)),"")," ",IFERROR(INDEX(Накл!$C$9:$C$550,SMALL(IF(Накл!$B$9:$B$550=A469,ROW(Накл!$B$9:$B$550)-ROW(Накл!$B$9)+1),ROW(D471)-ROW(A469)+1)),"")," ",IFERROR(INDEX(Накл!$C$9:$C$550,SMALL(IF(Накл!$B$9:$B$550=A469,ROW(Накл!$B$9:$B$550)-ROW(Накл!$B$9)+1),ROW(D472)-ROW(A469)+1)),"")," ",IFERROR(INDEX(Накл!$C$9:$C$550,SMALL(IF(Накл!$B$9:$B$550=A469,ROW(Накл!$B$9:$B$550)-ROW(Накл!$B$9)+1),ROW(D473)-ROW(A469)+1)),"")," ",IFERROR(INDEX(Накл!$C$9:$C$550,SMALL(IF(Накл!$B$9:$B$550=A469,ROW(Накл!$B$9:$B$550)-ROW(Накл!$B$9)+1),ROW(D474)-ROW(A469)+1)),"")," ",IFERROR(INDEX(Накл!$C$9:$C$550,SMALL(IF(Накл!$B$9:$B$550=A469,ROW(Накл!$B$9:$B$550)-ROW(Накл!$B$9)+1),ROW(D475)-ROW(A469)+1)),"")," ",IFERROR(INDEX(Накл!$C$9:$C$550,SMALL(IF(Накл!$B$9:$B$550=A469,ROW(Накл!$B$9:$B$550)-ROW(Накл!$B$9)+1),ROW(D476)-ROW(A469)+1)),"")," ",IFERROR(INDEX(Накл!$C$9:$C$550,SMALL(IF(Накл!$B$9:$B$550=A469,ROW(Накл!$B$9:$B$550)-ROW(Накл!$B$9)+1),ROW(D477)-ROW(A469)+1)),"")," ",IFERROR(INDEX(Накл!$C$9:$C$550,SMALL(IF(Накл!$B$9:$B$550=A469,ROW(Накл!$B$9:$B$550)-ROW(Накл!$B$9)+1),ROW(D478)-ROW(A469)+1)),""))</f>
        <v xml:space="preserve">         </v>
      </c>
      <c r="E469" s="26" t="str">
        <f t="array" ref="E469">IF(LEN(D469)&lt;10,CONCATENATE(IFERROR(INDEX(Накл!$C$9:$C$550,SMALL(IF(Накл!$A$9:$A$550=VALUE(LEFT(A469,8)),ROW(Накл!$A$9:$A$550)-ROW(Накл!$A$9)+1),ROW(E469)-ROW(B469)+1)),"")," ",IFERROR(INDEX(Накл!$C$9:$C$550,SMALL(IF(Накл!$A$9:$A$550=VALUE(LEFT(A469,8)),ROW(Накл!$A$9:$A$550)-ROW(Накл!$A$9)+1),ROW(E470)-ROW(B469)+1)),"")," ",IFERROR(INDEX(Накл!$C$9:$C$550,SMALL(IF(Накл!$A$9:$A$550=VALUE(LEFT(A469,8)),ROW(Накл!$A$9:$A$550)-ROW(Накл!$A$9)+1),ROW(E471)-ROW(B469)+1)),"")," ",IFERROR(INDEX(Накл!$C$9:$C$550,SMALL(IF(Накл!$A$9:$A$550=VALUE(LEFT(A469,8)),ROW(Накл!$A$9:$A$550)-ROW(Накл!$A$9)+1),ROW(E472)-ROW(B469)+1)),"")),"")</f>
        <v xml:space="preserve">   </v>
      </c>
    </row>
    <row r="470" spans="1:5">
      <c r="A470" s="26" t="str">
        <f>IFERROR(CONCATENATE(VALUE(SUBSTITUTE(SUBSTITUTE(LEFT(Накл!G477,11),".",""),"-",""))," ",Накл!J477),"-")</f>
        <v>-</v>
      </c>
      <c r="B470" s="26" t="str">
        <f>IFERROR(VLOOKUP(VALUE(LEFT(A470,8)),Накл!$A$9:$D$550,4,0),"-")</f>
        <v>-</v>
      </c>
      <c r="C470" s="26">
        <f>Накл!J477</f>
        <v>0</v>
      </c>
      <c r="D470" s="33" t="str">
        <f t="array" ref="D470">CONCATENATE(IFERROR(INDEX(Накл!$C$9:$C$550,SMALL(IF(Накл!$B$9:$B$550=A470,ROW(Накл!$B$9:$B$550)-ROW(Накл!$B$9)+1),ROW(D470)-ROW(A470)+1)),"")," ",IFERROR(INDEX(Накл!$C$9:$C$550,SMALL(IF(Накл!$B$9:$B$550=A470,ROW(Накл!$B$9:$B$550)-ROW(Накл!$B$9)+1),ROW(D471)-ROW(A470)+1)),"")," ",IFERROR(INDEX(Накл!$C$9:$C$550,SMALL(IF(Накл!$B$9:$B$550=A470,ROW(Накл!$B$9:$B$550)-ROW(Накл!$B$9)+1),ROW(D472)-ROW(A470)+1)),"")," ",IFERROR(INDEX(Накл!$C$9:$C$550,SMALL(IF(Накл!$B$9:$B$550=A470,ROW(Накл!$B$9:$B$550)-ROW(Накл!$B$9)+1),ROW(D473)-ROW(A470)+1)),"")," ",IFERROR(INDEX(Накл!$C$9:$C$550,SMALL(IF(Накл!$B$9:$B$550=A470,ROW(Накл!$B$9:$B$550)-ROW(Накл!$B$9)+1),ROW(D474)-ROW(A470)+1)),"")," ",IFERROR(INDEX(Накл!$C$9:$C$550,SMALL(IF(Накл!$B$9:$B$550=A470,ROW(Накл!$B$9:$B$550)-ROW(Накл!$B$9)+1),ROW(D475)-ROW(A470)+1)),"")," ",IFERROR(INDEX(Накл!$C$9:$C$550,SMALL(IF(Накл!$B$9:$B$550=A470,ROW(Накл!$B$9:$B$550)-ROW(Накл!$B$9)+1),ROW(D476)-ROW(A470)+1)),"")," ",IFERROR(INDEX(Накл!$C$9:$C$550,SMALL(IF(Накл!$B$9:$B$550=A470,ROW(Накл!$B$9:$B$550)-ROW(Накл!$B$9)+1),ROW(D477)-ROW(A470)+1)),"")," ",IFERROR(INDEX(Накл!$C$9:$C$550,SMALL(IF(Накл!$B$9:$B$550=A470,ROW(Накл!$B$9:$B$550)-ROW(Накл!$B$9)+1),ROW(D478)-ROW(A470)+1)),"")," ",IFERROR(INDEX(Накл!$C$9:$C$550,SMALL(IF(Накл!$B$9:$B$550=A470,ROW(Накл!$B$9:$B$550)-ROW(Накл!$B$9)+1),ROW(D479)-ROW(A470)+1)),""))</f>
        <v xml:space="preserve">         </v>
      </c>
      <c r="E470" s="26" t="str">
        <f t="array" ref="E470">IF(LEN(D470)&lt;10,CONCATENATE(IFERROR(INDEX(Накл!$C$9:$C$550,SMALL(IF(Накл!$A$9:$A$550=VALUE(LEFT(A470,8)),ROW(Накл!$A$9:$A$550)-ROW(Накл!$A$9)+1),ROW(E470)-ROW(B470)+1)),"")," ",IFERROR(INDEX(Накл!$C$9:$C$550,SMALL(IF(Накл!$A$9:$A$550=VALUE(LEFT(A470,8)),ROW(Накл!$A$9:$A$550)-ROW(Накл!$A$9)+1),ROW(E471)-ROW(B470)+1)),"")," ",IFERROR(INDEX(Накл!$C$9:$C$550,SMALL(IF(Накл!$A$9:$A$550=VALUE(LEFT(A470,8)),ROW(Накл!$A$9:$A$550)-ROW(Накл!$A$9)+1),ROW(E472)-ROW(B470)+1)),"")," ",IFERROR(INDEX(Накл!$C$9:$C$550,SMALL(IF(Накл!$A$9:$A$550=VALUE(LEFT(A470,8)),ROW(Накл!$A$9:$A$550)-ROW(Накл!$A$9)+1),ROW(E473)-ROW(B470)+1)),"")),"")</f>
        <v xml:space="preserve">   </v>
      </c>
    </row>
    <row r="471" spans="1:5">
      <c r="A471" s="26" t="str">
        <f>IFERROR(CONCATENATE(VALUE(SUBSTITUTE(SUBSTITUTE(LEFT(Накл!G478,11),".",""),"-",""))," ",Накл!J478),"-")</f>
        <v>-</v>
      </c>
      <c r="B471" s="26" t="str">
        <f>IFERROR(VLOOKUP(VALUE(LEFT(A471,8)),Накл!$A$9:$D$550,4,0),"-")</f>
        <v>-</v>
      </c>
      <c r="C471" s="26">
        <f>Накл!J478</f>
        <v>0</v>
      </c>
      <c r="D471" s="33" t="str">
        <f t="array" ref="D471">CONCATENATE(IFERROR(INDEX(Накл!$C$9:$C$550,SMALL(IF(Накл!$B$9:$B$550=A471,ROW(Накл!$B$9:$B$550)-ROW(Накл!$B$9)+1),ROW(D471)-ROW(A471)+1)),"")," ",IFERROR(INDEX(Накл!$C$9:$C$550,SMALL(IF(Накл!$B$9:$B$550=A471,ROW(Накл!$B$9:$B$550)-ROW(Накл!$B$9)+1),ROW(D472)-ROW(A471)+1)),"")," ",IFERROR(INDEX(Накл!$C$9:$C$550,SMALL(IF(Накл!$B$9:$B$550=A471,ROW(Накл!$B$9:$B$550)-ROW(Накл!$B$9)+1),ROW(D473)-ROW(A471)+1)),"")," ",IFERROR(INDEX(Накл!$C$9:$C$550,SMALL(IF(Накл!$B$9:$B$550=A471,ROW(Накл!$B$9:$B$550)-ROW(Накл!$B$9)+1),ROW(D474)-ROW(A471)+1)),"")," ",IFERROR(INDEX(Накл!$C$9:$C$550,SMALL(IF(Накл!$B$9:$B$550=A471,ROW(Накл!$B$9:$B$550)-ROW(Накл!$B$9)+1),ROW(D475)-ROW(A471)+1)),"")," ",IFERROR(INDEX(Накл!$C$9:$C$550,SMALL(IF(Накл!$B$9:$B$550=A471,ROW(Накл!$B$9:$B$550)-ROW(Накл!$B$9)+1),ROW(D476)-ROW(A471)+1)),"")," ",IFERROR(INDEX(Накл!$C$9:$C$550,SMALL(IF(Накл!$B$9:$B$550=A471,ROW(Накл!$B$9:$B$550)-ROW(Накл!$B$9)+1),ROW(D477)-ROW(A471)+1)),"")," ",IFERROR(INDEX(Накл!$C$9:$C$550,SMALL(IF(Накл!$B$9:$B$550=A471,ROW(Накл!$B$9:$B$550)-ROW(Накл!$B$9)+1),ROW(D478)-ROW(A471)+1)),"")," ",IFERROR(INDEX(Накл!$C$9:$C$550,SMALL(IF(Накл!$B$9:$B$550=A471,ROW(Накл!$B$9:$B$550)-ROW(Накл!$B$9)+1),ROW(D479)-ROW(A471)+1)),"")," ",IFERROR(INDEX(Накл!$C$9:$C$550,SMALL(IF(Накл!$B$9:$B$550=A471,ROW(Накл!$B$9:$B$550)-ROW(Накл!$B$9)+1),ROW(D480)-ROW(A471)+1)),""))</f>
        <v xml:space="preserve">         </v>
      </c>
      <c r="E471" s="26" t="str">
        <f t="array" ref="E471">IF(LEN(D471)&lt;10,CONCATENATE(IFERROR(INDEX(Накл!$C$9:$C$550,SMALL(IF(Накл!$A$9:$A$550=VALUE(LEFT(A471,8)),ROW(Накл!$A$9:$A$550)-ROW(Накл!$A$9)+1),ROW(E471)-ROW(B471)+1)),"")," ",IFERROR(INDEX(Накл!$C$9:$C$550,SMALL(IF(Накл!$A$9:$A$550=VALUE(LEFT(A471,8)),ROW(Накл!$A$9:$A$550)-ROW(Накл!$A$9)+1),ROW(E472)-ROW(B471)+1)),"")," ",IFERROR(INDEX(Накл!$C$9:$C$550,SMALL(IF(Накл!$A$9:$A$550=VALUE(LEFT(A471,8)),ROW(Накл!$A$9:$A$550)-ROW(Накл!$A$9)+1),ROW(E473)-ROW(B471)+1)),"")," ",IFERROR(INDEX(Накл!$C$9:$C$550,SMALL(IF(Накл!$A$9:$A$550=VALUE(LEFT(A471,8)),ROW(Накл!$A$9:$A$550)-ROW(Накл!$A$9)+1),ROW(E474)-ROW(B471)+1)),"")),"")</f>
        <v xml:space="preserve">   </v>
      </c>
    </row>
    <row r="472" spans="1:5">
      <c r="A472" s="26" t="str">
        <f>IFERROR(CONCATENATE(VALUE(SUBSTITUTE(SUBSTITUTE(LEFT(Накл!G479,11),".",""),"-",""))," ",Накл!J479),"-")</f>
        <v>-</v>
      </c>
      <c r="B472" s="26" t="str">
        <f>IFERROR(VLOOKUP(VALUE(LEFT(A472,8)),Накл!$A$9:$D$550,4,0),"-")</f>
        <v>-</v>
      </c>
      <c r="C472" s="26">
        <f>Накл!J479</f>
        <v>0</v>
      </c>
      <c r="D472" s="33" t="str">
        <f t="array" ref="D472">CONCATENATE(IFERROR(INDEX(Накл!$C$9:$C$550,SMALL(IF(Накл!$B$9:$B$550=A472,ROW(Накл!$B$9:$B$550)-ROW(Накл!$B$9)+1),ROW(D472)-ROW(A472)+1)),"")," ",IFERROR(INDEX(Накл!$C$9:$C$550,SMALL(IF(Накл!$B$9:$B$550=A472,ROW(Накл!$B$9:$B$550)-ROW(Накл!$B$9)+1),ROW(D473)-ROW(A472)+1)),"")," ",IFERROR(INDEX(Накл!$C$9:$C$550,SMALL(IF(Накл!$B$9:$B$550=A472,ROW(Накл!$B$9:$B$550)-ROW(Накл!$B$9)+1),ROW(D474)-ROW(A472)+1)),"")," ",IFERROR(INDEX(Накл!$C$9:$C$550,SMALL(IF(Накл!$B$9:$B$550=A472,ROW(Накл!$B$9:$B$550)-ROW(Накл!$B$9)+1),ROW(D475)-ROW(A472)+1)),"")," ",IFERROR(INDEX(Накл!$C$9:$C$550,SMALL(IF(Накл!$B$9:$B$550=A472,ROW(Накл!$B$9:$B$550)-ROW(Накл!$B$9)+1),ROW(D476)-ROW(A472)+1)),"")," ",IFERROR(INDEX(Накл!$C$9:$C$550,SMALL(IF(Накл!$B$9:$B$550=A472,ROW(Накл!$B$9:$B$550)-ROW(Накл!$B$9)+1),ROW(D477)-ROW(A472)+1)),"")," ",IFERROR(INDEX(Накл!$C$9:$C$550,SMALL(IF(Накл!$B$9:$B$550=A472,ROW(Накл!$B$9:$B$550)-ROW(Накл!$B$9)+1),ROW(D478)-ROW(A472)+1)),"")," ",IFERROR(INDEX(Накл!$C$9:$C$550,SMALL(IF(Накл!$B$9:$B$550=A472,ROW(Накл!$B$9:$B$550)-ROW(Накл!$B$9)+1),ROW(D479)-ROW(A472)+1)),"")," ",IFERROR(INDEX(Накл!$C$9:$C$550,SMALL(IF(Накл!$B$9:$B$550=A472,ROW(Накл!$B$9:$B$550)-ROW(Накл!$B$9)+1),ROW(D480)-ROW(A472)+1)),"")," ",IFERROR(INDEX(Накл!$C$9:$C$550,SMALL(IF(Накл!$B$9:$B$550=A472,ROW(Накл!$B$9:$B$550)-ROW(Накл!$B$9)+1),ROW(D481)-ROW(A472)+1)),""))</f>
        <v xml:space="preserve">         </v>
      </c>
      <c r="E472" s="26" t="str">
        <f t="array" ref="E472">IF(LEN(D472)&lt;10,CONCATENATE(IFERROR(INDEX(Накл!$C$9:$C$550,SMALL(IF(Накл!$A$9:$A$550=VALUE(LEFT(A472,8)),ROW(Накл!$A$9:$A$550)-ROW(Накл!$A$9)+1),ROW(E472)-ROW(B472)+1)),"")," ",IFERROR(INDEX(Накл!$C$9:$C$550,SMALL(IF(Накл!$A$9:$A$550=VALUE(LEFT(A472,8)),ROW(Накл!$A$9:$A$550)-ROW(Накл!$A$9)+1),ROW(E473)-ROW(B472)+1)),"")," ",IFERROR(INDEX(Накл!$C$9:$C$550,SMALL(IF(Накл!$A$9:$A$550=VALUE(LEFT(A472,8)),ROW(Накл!$A$9:$A$550)-ROW(Накл!$A$9)+1),ROW(E474)-ROW(B472)+1)),"")," ",IFERROR(INDEX(Накл!$C$9:$C$550,SMALL(IF(Накл!$A$9:$A$550=VALUE(LEFT(A472,8)),ROW(Накл!$A$9:$A$550)-ROW(Накл!$A$9)+1),ROW(E475)-ROW(B472)+1)),"")),"")</f>
        <v xml:space="preserve">   </v>
      </c>
    </row>
    <row r="473" spans="1:5">
      <c r="A473" s="26" t="str">
        <f>IFERROR(CONCATENATE(VALUE(SUBSTITUTE(SUBSTITUTE(LEFT(Накл!G480,11),".",""),"-",""))," ",Накл!J480),"-")</f>
        <v>-</v>
      </c>
      <c r="B473" s="26" t="str">
        <f>IFERROR(VLOOKUP(VALUE(LEFT(A473,8)),Накл!$A$9:$D$550,4,0),"-")</f>
        <v>-</v>
      </c>
      <c r="C473" s="26">
        <f>Накл!J480</f>
        <v>0</v>
      </c>
      <c r="D473" s="33" t="str">
        <f t="array" ref="D473">CONCATENATE(IFERROR(INDEX(Накл!$C$9:$C$550,SMALL(IF(Накл!$B$9:$B$550=A473,ROW(Накл!$B$9:$B$550)-ROW(Накл!$B$9)+1),ROW(D473)-ROW(A473)+1)),"")," ",IFERROR(INDEX(Накл!$C$9:$C$550,SMALL(IF(Накл!$B$9:$B$550=A473,ROW(Накл!$B$9:$B$550)-ROW(Накл!$B$9)+1),ROW(D474)-ROW(A473)+1)),"")," ",IFERROR(INDEX(Накл!$C$9:$C$550,SMALL(IF(Накл!$B$9:$B$550=A473,ROW(Накл!$B$9:$B$550)-ROW(Накл!$B$9)+1),ROW(D475)-ROW(A473)+1)),"")," ",IFERROR(INDEX(Накл!$C$9:$C$550,SMALL(IF(Накл!$B$9:$B$550=A473,ROW(Накл!$B$9:$B$550)-ROW(Накл!$B$9)+1),ROW(D476)-ROW(A473)+1)),"")," ",IFERROR(INDEX(Накл!$C$9:$C$550,SMALL(IF(Накл!$B$9:$B$550=A473,ROW(Накл!$B$9:$B$550)-ROW(Накл!$B$9)+1),ROW(D477)-ROW(A473)+1)),"")," ",IFERROR(INDEX(Накл!$C$9:$C$550,SMALL(IF(Накл!$B$9:$B$550=A473,ROW(Накл!$B$9:$B$550)-ROW(Накл!$B$9)+1),ROW(D478)-ROW(A473)+1)),"")," ",IFERROR(INDEX(Накл!$C$9:$C$550,SMALL(IF(Накл!$B$9:$B$550=A473,ROW(Накл!$B$9:$B$550)-ROW(Накл!$B$9)+1),ROW(D479)-ROW(A473)+1)),"")," ",IFERROR(INDEX(Накл!$C$9:$C$550,SMALL(IF(Накл!$B$9:$B$550=A473,ROW(Накл!$B$9:$B$550)-ROW(Накл!$B$9)+1),ROW(D480)-ROW(A473)+1)),"")," ",IFERROR(INDEX(Накл!$C$9:$C$550,SMALL(IF(Накл!$B$9:$B$550=A473,ROW(Накл!$B$9:$B$550)-ROW(Накл!$B$9)+1),ROW(D481)-ROW(A473)+1)),"")," ",IFERROR(INDEX(Накл!$C$9:$C$550,SMALL(IF(Накл!$B$9:$B$550=A473,ROW(Накл!$B$9:$B$550)-ROW(Накл!$B$9)+1),ROW(D482)-ROW(A473)+1)),""))</f>
        <v xml:space="preserve">         </v>
      </c>
      <c r="E473" s="26" t="str">
        <f t="array" ref="E473">IF(LEN(D473)&lt;10,CONCATENATE(IFERROR(INDEX(Накл!$C$9:$C$550,SMALL(IF(Накл!$A$9:$A$550=VALUE(LEFT(A473,8)),ROW(Накл!$A$9:$A$550)-ROW(Накл!$A$9)+1),ROW(E473)-ROW(B473)+1)),"")," ",IFERROR(INDEX(Накл!$C$9:$C$550,SMALL(IF(Накл!$A$9:$A$550=VALUE(LEFT(A473,8)),ROW(Накл!$A$9:$A$550)-ROW(Накл!$A$9)+1),ROW(E474)-ROW(B473)+1)),"")," ",IFERROR(INDEX(Накл!$C$9:$C$550,SMALL(IF(Накл!$A$9:$A$550=VALUE(LEFT(A473,8)),ROW(Накл!$A$9:$A$550)-ROW(Накл!$A$9)+1),ROW(E475)-ROW(B473)+1)),"")," ",IFERROR(INDEX(Накл!$C$9:$C$550,SMALL(IF(Накл!$A$9:$A$550=VALUE(LEFT(A473,8)),ROW(Накл!$A$9:$A$550)-ROW(Накл!$A$9)+1),ROW(E476)-ROW(B473)+1)),"")),"")</f>
        <v xml:space="preserve">   </v>
      </c>
    </row>
    <row r="474" spans="1:5">
      <c r="A474" s="26" t="str">
        <f>IFERROR(CONCATENATE(VALUE(SUBSTITUTE(SUBSTITUTE(LEFT(Накл!G481,11),".",""),"-",""))," ",Накл!J481),"-")</f>
        <v>-</v>
      </c>
      <c r="B474" s="26" t="str">
        <f>IFERROR(VLOOKUP(VALUE(LEFT(A474,8)),Накл!$A$9:$D$550,4,0),"-")</f>
        <v>-</v>
      </c>
      <c r="C474" s="26">
        <f>Накл!J481</f>
        <v>0</v>
      </c>
      <c r="D474" s="33" t="str">
        <f t="array" ref="D474">CONCATENATE(IFERROR(INDEX(Накл!$C$9:$C$550,SMALL(IF(Накл!$B$9:$B$550=A474,ROW(Накл!$B$9:$B$550)-ROW(Накл!$B$9)+1),ROW(D474)-ROW(A474)+1)),"")," ",IFERROR(INDEX(Накл!$C$9:$C$550,SMALL(IF(Накл!$B$9:$B$550=A474,ROW(Накл!$B$9:$B$550)-ROW(Накл!$B$9)+1),ROW(D475)-ROW(A474)+1)),"")," ",IFERROR(INDEX(Накл!$C$9:$C$550,SMALL(IF(Накл!$B$9:$B$550=A474,ROW(Накл!$B$9:$B$550)-ROW(Накл!$B$9)+1),ROW(D476)-ROW(A474)+1)),"")," ",IFERROR(INDEX(Накл!$C$9:$C$550,SMALL(IF(Накл!$B$9:$B$550=A474,ROW(Накл!$B$9:$B$550)-ROW(Накл!$B$9)+1),ROW(D477)-ROW(A474)+1)),"")," ",IFERROR(INDEX(Накл!$C$9:$C$550,SMALL(IF(Накл!$B$9:$B$550=A474,ROW(Накл!$B$9:$B$550)-ROW(Накл!$B$9)+1),ROW(D478)-ROW(A474)+1)),"")," ",IFERROR(INDEX(Накл!$C$9:$C$550,SMALL(IF(Накл!$B$9:$B$550=A474,ROW(Накл!$B$9:$B$550)-ROW(Накл!$B$9)+1),ROW(D479)-ROW(A474)+1)),"")," ",IFERROR(INDEX(Накл!$C$9:$C$550,SMALL(IF(Накл!$B$9:$B$550=A474,ROW(Накл!$B$9:$B$550)-ROW(Накл!$B$9)+1),ROW(D480)-ROW(A474)+1)),"")," ",IFERROR(INDEX(Накл!$C$9:$C$550,SMALL(IF(Накл!$B$9:$B$550=A474,ROW(Накл!$B$9:$B$550)-ROW(Накл!$B$9)+1),ROW(D481)-ROW(A474)+1)),"")," ",IFERROR(INDEX(Накл!$C$9:$C$550,SMALL(IF(Накл!$B$9:$B$550=A474,ROW(Накл!$B$9:$B$550)-ROW(Накл!$B$9)+1),ROW(D482)-ROW(A474)+1)),"")," ",IFERROR(INDEX(Накл!$C$9:$C$550,SMALL(IF(Накл!$B$9:$B$550=A474,ROW(Накл!$B$9:$B$550)-ROW(Накл!$B$9)+1),ROW(D483)-ROW(A474)+1)),""))</f>
        <v xml:space="preserve">         </v>
      </c>
      <c r="E474" s="26" t="str">
        <f t="array" ref="E474">IF(LEN(D474)&lt;10,CONCATENATE(IFERROR(INDEX(Накл!$C$9:$C$550,SMALL(IF(Накл!$A$9:$A$550=VALUE(LEFT(A474,8)),ROW(Накл!$A$9:$A$550)-ROW(Накл!$A$9)+1),ROW(E474)-ROW(B474)+1)),"")," ",IFERROR(INDEX(Накл!$C$9:$C$550,SMALL(IF(Накл!$A$9:$A$550=VALUE(LEFT(A474,8)),ROW(Накл!$A$9:$A$550)-ROW(Накл!$A$9)+1),ROW(E475)-ROW(B474)+1)),"")," ",IFERROR(INDEX(Накл!$C$9:$C$550,SMALL(IF(Накл!$A$9:$A$550=VALUE(LEFT(A474,8)),ROW(Накл!$A$9:$A$550)-ROW(Накл!$A$9)+1),ROW(E476)-ROW(B474)+1)),"")," ",IFERROR(INDEX(Накл!$C$9:$C$550,SMALL(IF(Накл!$A$9:$A$550=VALUE(LEFT(A474,8)),ROW(Накл!$A$9:$A$550)-ROW(Накл!$A$9)+1),ROW(E477)-ROW(B474)+1)),"")),"")</f>
        <v xml:space="preserve">   </v>
      </c>
    </row>
    <row r="475" spans="1:5">
      <c r="A475" s="26" t="str">
        <f>IFERROR(CONCATENATE(VALUE(SUBSTITUTE(SUBSTITUTE(LEFT(Накл!G482,11),".",""),"-",""))," ",Накл!J482),"-")</f>
        <v>-</v>
      </c>
      <c r="B475" s="26" t="str">
        <f>IFERROR(VLOOKUP(VALUE(LEFT(A475,8)),Накл!$A$9:$D$550,4,0),"-")</f>
        <v>-</v>
      </c>
      <c r="C475" s="26">
        <f>Накл!J482</f>
        <v>0</v>
      </c>
      <c r="D475" s="33" t="str">
        <f t="array" ref="D475">CONCATENATE(IFERROR(INDEX(Накл!$C$9:$C$550,SMALL(IF(Накл!$B$9:$B$550=A475,ROW(Накл!$B$9:$B$550)-ROW(Накл!$B$9)+1),ROW(D475)-ROW(A475)+1)),"")," ",IFERROR(INDEX(Накл!$C$9:$C$550,SMALL(IF(Накл!$B$9:$B$550=A475,ROW(Накл!$B$9:$B$550)-ROW(Накл!$B$9)+1),ROW(D476)-ROW(A475)+1)),"")," ",IFERROR(INDEX(Накл!$C$9:$C$550,SMALL(IF(Накл!$B$9:$B$550=A475,ROW(Накл!$B$9:$B$550)-ROW(Накл!$B$9)+1),ROW(D477)-ROW(A475)+1)),"")," ",IFERROR(INDEX(Накл!$C$9:$C$550,SMALL(IF(Накл!$B$9:$B$550=A475,ROW(Накл!$B$9:$B$550)-ROW(Накл!$B$9)+1),ROW(D478)-ROW(A475)+1)),"")," ",IFERROR(INDEX(Накл!$C$9:$C$550,SMALL(IF(Накл!$B$9:$B$550=A475,ROW(Накл!$B$9:$B$550)-ROW(Накл!$B$9)+1),ROW(D479)-ROW(A475)+1)),"")," ",IFERROR(INDEX(Накл!$C$9:$C$550,SMALL(IF(Накл!$B$9:$B$550=A475,ROW(Накл!$B$9:$B$550)-ROW(Накл!$B$9)+1),ROW(D480)-ROW(A475)+1)),"")," ",IFERROR(INDEX(Накл!$C$9:$C$550,SMALL(IF(Накл!$B$9:$B$550=A475,ROW(Накл!$B$9:$B$550)-ROW(Накл!$B$9)+1),ROW(D481)-ROW(A475)+1)),"")," ",IFERROR(INDEX(Накл!$C$9:$C$550,SMALL(IF(Накл!$B$9:$B$550=A475,ROW(Накл!$B$9:$B$550)-ROW(Накл!$B$9)+1),ROW(D482)-ROW(A475)+1)),"")," ",IFERROR(INDEX(Накл!$C$9:$C$550,SMALL(IF(Накл!$B$9:$B$550=A475,ROW(Накл!$B$9:$B$550)-ROW(Накл!$B$9)+1),ROW(D483)-ROW(A475)+1)),"")," ",IFERROR(INDEX(Накл!$C$9:$C$550,SMALL(IF(Накл!$B$9:$B$550=A475,ROW(Накл!$B$9:$B$550)-ROW(Накл!$B$9)+1),ROW(D484)-ROW(A475)+1)),""))</f>
        <v xml:space="preserve">         </v>
      </c>
      <c r="E475" s="26" t="str">
        <f t="array" ref="E475">IF(LEN(D475)&lt;10,CONCATENATE(IFERROR(INDEX(Накл!$C$9:$C$550,SMALL(IF(Накл!$A$9:$A$550=VALUE(LEFT(A475,8)),ROW(Накл!$A$9:$A$550)-ROW(Накл!$A$9)+1),ROW(E475)-ROW(B475)+1)),"")," ",IFERROR(INDEX(Накл!$C$9:$C$550,SMALL(IF(Накл!$A$9:$A$550=VALUE(LEFT(A475,8)),ROW(Накл!$A$9:$A$550)-ROW(Накл!$A$9)+1),ROW(E476)-ROW(B475)+1)),"")," ",IFERROR(INDEX(Накл!$C$9:$C$550,SMALL(IF(Накл!$A$9:$A$550=VALUE(LEFT(A475,8)),ROW(Накл!$A$9:$A$550)-ROW(Накл!$A$9)+1),ROW(E477)-ROW(B475)+1)),"")," ",IFERROR(INDEX(Накл!$C$9:$C$550,SMALL(IF(Накл!$A$9:$A$550=VALUE(LEFT(A475,8)),ROW(Накл!$A$9:$A$550)-ROW(Накл!$A$9)+1),ROW(E478)-ROW(B475)+1)),"")),"")</f>
        <v xml:space="preserve">   </v>
      </c>
    </row>
    <row r="476" spans="1:5">
      <c r="A476" s="26" t="str">
        <f>IFERROR(CONCATENATE(VALUE(SUBSTITUTE(SUBSTITUTE(LEFT(Накл!G483,11),".",""),"-",""))," ",Накл!J483),"-")</f>
        <v>-</v>
      </c>
      <c r="B476" s="26" t="str">
        <f>IFERROR(VLOOKUP(VALUE(LEFT(A476,8)),Накл!$A$9:$D$550,4,0),"-")</f>
        <v>-</v>
      </c>
      <c r="C476" s="26">
        <f>Накл!J483</f>
        <v>0</v>
      </c>
      <c r="D476" s="33" t="str">
        <f t="array" ref="D476">CONCATENATE(IFERROR(INDEX(Накл!$C$9:$C$550,SMALL(IF(Накл!$B$9:$B$550=A476,ROW(Накл!$B$9:$B$550)-ROW(Накл!$B$9)+1),ROW(D476)-ROW(A476)+1)),"")," ",IFERROR(INDEX(Накл!$C$9:$C$550,SMALL(IF(Накл!$B$9:$B$550=A476,ROW(Накл!$B$9:$B$550)-ROW(Накл!$B$9)+1),ROW(D477)-ROW(A476)+1)),"")," ",IFERROR(INDEX(Накл!$C$9:$C$550,SMALL(IF(Накл!$B$9:$B$550=A476,ROW(Накл!$B$9:$B$550)-ROW(Накл!$B$9)+1),ROW(D478)-ROW(A476)+1)),"")," ",IFERROR(INDEX(Накл!$C$9:$C$550,SMALL(IF(Накл!$B$9:$B$550=A476,ROW(Накл!$B$9:$B$550)-ROW(Накл!$B$9)+1),ROW(D479)-ROW(A476)+1)),"")," ",IFERROR(INDEX(Накл!$C$9:$C$550,SMALL(IF(Накл!$B$9:$B$550=A476,ROW(Накл!$B$9:$B$550)-ROW(Накл!$B$9)+1),ROW(D480)-ROW(A476)+1)),"")," ",IFERROR(INDEX(Накл!$C$9:$C$550,SMALL(IF(Накл!$B$9:$B$550=A476,ROW(Накл!$B$9:$B$550)-ROW(Накл!$B$9)+1),ROW(D481)-ROW(A476)+1)),"")," ",IFERROR(INDEX(Накл!$C$9:$C$550,SMALL(IF(Накл!$B$9:$B$550=A476,ROW(Накл!$B$9:$B$550)-ROW(Накл!$B$9)+1),ROW(D482)-ROW(A476)+1)),"")," ",IFERROR(INDEX(Накл!$C$9:$C$550,SMALL(IF(Накл!$B$9:$B$550=A476,ROW(Накл!$B$9:$B$550)-ROW(Накл!$B$9)+1),ROW(D483)-ROW(A476)+1)),"")," ",IFERROR(INDEX(Накл!$C$9:$C$550,SMALL(IF(Накл!$B$9:$B$550=A476,ROW(Накл!$B$9:$B$550)-ROW(Накл!$B$9)+1),ROW(D484)-ROW(A476)+1)),"")," ",IFERROR(INDEX(Накл!$C$9:$C$550,SMALL(IF(Накл!$B$9:$B$550=A476,ROW(Накл!$B$9:$B$550)-ROW(Накл!$B$9)+1),ROW(D485)-ROW(A476)+1)),""))</f>
        <v xml:space="preserve">         </v>
      </c>
      <c r="E476" s="26" t="str">
        <f t="array" ref="E476">IF(LEN(D476)&lt;10,CONCATENATE(IFERROR(INDEX(Накл!$C$9:$C$550,SMALL(IF(Накл!$A$9:$A$550=VALUE(LEFT(A476,8)),ROW(Накл!$A$9:$A$550)-ROW(Накл!$A$9)+1),ROW(E476)-ROW(B476)+1)),"")," ",IFERROR(INDEX(Накл!$C$9:$C$550,SMALL(IF(Накл!$A$9:$A$550=VALUE(LEFT(A476,8)),ROW(Накл!$A$9:$A$550)-ROW(Накл!$A$9)+1),ROW(E477)-ROW(B476)+1)),"")," ",IFERROR(INDEX(Накл!$C$9:$C$550,SMALL(IF(Накл!$A$9:$A$550=VALUE(LEFT(A476,8)),ROW(Накл!$A$9:$A$550)-ROW(Накл!$A$9)+1),ROW(E478)-ROW(B476)+1)),"")," ",IFERROR(INDEX(Накл!$C$9:$C$550,SMALL(IF(Накл!$A$9:$A$550=VALUE(LEFT(A476,8)),ROW(Накл!$A$9:$A$550)-ROW(Накл!$A$9)+1),ROW(E479)-ROW(B476)+1)),"")),"")</f>
        <v xml:space="preserve">   </v>
      </c>
    </row>
    <row r="477" spans="1:5">
      <c r="A477" s="26" t="str">
        <f>IFERROR(CONCATENATE(VALUE(SUBSTITUTE(SUBSTITUTE(LEFT(Накл!G484,11),".",""),"-",""))," ",Накл!J484),"-")</f>
        <v>-</v>
      </c>
      <c r="B477" s="26" t="str">
        <f>IFERROR(VLOOKUP(VALUE(LEFT(A477,8)),Накл!$A$9:$D$550,4,0),"-")</f>
        <v>-</v>
      </c>
      <c r="C477" s="26">
        <f>Накл!J484</f>
        <v>0</v>
      </c>
      <c r="D477" s="33" t="str">
        <f t="array" ref="D477">CONCATENATE(IFERROR(INDEX(Накл!$C$9:$C$550,SMALL(IF(Накл!$B$9:$B$550=A477,ROW(Накл!$B$9:$B$550)-ROW(Накл!$B$9)+1),ROW(D477)-ROW(A477)+1)),"")," ",IFERROR(INDEX(Накл!$C$9:$C$550,SMALL(IF(Накл!$B$9:$B$550=A477,ROW(Накл!$B$9:$B$550)-ROW(Накл!$B$9)+1),ROW(D478)-ROW(A477)+1)),"")," ",IFERROR(INDEX(Накл!$C$9:$C$550,SMALL(IF(Накл!$B$9:$B$550=A477,ROW(Накл!$B$9:$B$550)-ROW(Накл!$B$9)+1),ROW(D479)-ROW(A477)+1)),"")," ",IFERROR(INDEX(Накл!$C$9:$C$550,SMALL(IF(Накл!$B$9:$B$550=A477,ROW(Накл!$B$9:$B$550)-ROW(Накл!$B$9)+1),ROW(D480)-ROW(A477)+1)),"")," ",IFERROR(INDEX(Накл!$C$9:$C$550,SMALL(IF(Накл!$B$9:$B$550=A477,ROW(Накл!$B$9:$B$550)-ROW(Накл!$B$9)+1),ROW(D481)-ROW(A477)+1)),"")," ",IFERROR(INDEX(Накл!$C$9:$C$550,SMALL(IF(Накл!$B$9:$B$550=A477,ROW(Накл!$B$9:$B$550)-ROW(Накл!$B$9)+1),ROW(D482)-ROW(A477)+1)),"")," ",IFERROR(INDEX(Накл!$C$9:$C$550,SMALL(IF(Накл!$B$9:$B$550=A477,ROW(Накл!$B$9:$B$550)-ROW(Накл!$B$9)+1),ROW(D483)-ROW(A477)+1)),"")," ",IFERROR(INDEX(Накл!$C$9:$C$550,SMALL(IF(Накл!$B$9:$B$550=A477,ROW(Накл!$B$9:$B$550)-ROW(Накл!$B$9)+1),ROW(D484)-ROW(A477)+1)),"")," ",IFERROR(INDEX(Накл!$C$9:$C$550,SMALL(IF(Накл!$B$9:$B$550=A477,ROW(Накл!$B$9:$B$550)-ROW(Накл!$B$9)+1),ROW(D485)-ROW(A477)+1)),"")," ",IFERROR(INDEX(Накл!$C$9:$C$550,SMALL(IF(Накл!$B$9:$B$550=A477,ROW(Накл!$B$9:$B$550)-ROW(Накл!$B$9)+1),ROW(D486)-ROW(A477)+1)),""))</f>
        <v xml:space="preserve">         </v>
      </c>
      <c r="E477" s="26" t="str">
        <f t="array" ref="E477">IF(LEN(D477)&lt;10,CONCATENATE(IFERROR(INDEX(Накл!$C$9:$C$550,SMALL(IF(Накл!$A$9:$A$550=VALUE(LEFT(A477,8)),ROW(Накл!$A$9:$A$550)-ROW(Накл!$A$9)+1),ROW(E477)-ROW(B477)+1)),"")," ",IFERROR(INDEX(Накл!$C$9:$C$550,SMALL(IF(Накл!$A$9:$A$550=VALUE(LEFT(A477,8)),ROW(Накл!$A$9:$A$550)-ROW(Накл!$A$9)+1),ROW(E478)-ROW(B477)+1)),"")," ",IFERROR(INDEX(Накл!$C$9:$C$550,SMALL(IF(Накл!$A$9:$A$550=VALUE(LEFT(A477,8)),ROW(Накл!$A$9:$A$550)-ROW(Накл!$A$9)+1),ROW(E479)-ROW(B477)+1)),"")," ",IFERROR(INDEX(Накл!$C$9:$C$550,SMALL(IF(Накл!$A$9:$A$550=VALUE(LEFT(A477,8)),ROW(Накл!$A$9:$A$550)-ROW(Накл!$A$9)+1),ROW(E480)-ROW(B477)+1)),"")),"")</f>
        <v xml:space="preserve">   </v>
      </c>
    </row>
    <row r="478" spans="1:5">
      <c r="A478" s="26" t="str">
        <f>IFERROR(CONCATENATE(VALUE(SUBSTITUTE(SUBSTITUTE(LEFT(Накл!G485,11),".",""),"-",""))," ",Накл!J485),"-")</f>
        <v>-</v>
      </c>
      <c r="B478" s="26" t="str">
        <f>IFERROR(VLOOKUP(VALUE(LEFT(A478,8)),Накл!$A$9:$D$550,4,0),"-")</f>
        <v>-</v>
      </c>
      <c r="C478" s="26">
        <f>Накл!J485</f>
        <v>0</v>
      </c>
      <c r="D478" s="33" t="str">
        <f t="array" ref="D478">CONCATENATE(IFERROR(INDEX(Накл!$C$9:$C$550,SMALL(IF(Накл!$B$9:$B$550=A478,ROW(Накл!$B$9:$B$550)-ROW(Накл!$B$9)+1),ROW(D478)-ROW(A478)+1)),"")," ",IFERROR(INDEX(Накл!$C$9:$C$550,SMALL(IF(Накл!$B$9:$B$550=A478,ROW(Накл!$B$9:$B$550)-ROW(Накл!$B$9)+1),ROW(D479)-ROW(A478)+1)),"")," ",IFERROR(INDEX(Накл!$C$9:$C$550,SMALL(IF(Накл!$B$9:$B$550=A478,ROW(Накл!$B$9:$B$550)-ROW(Накл!$B$9)+1),ROW(D480)-ROW(A478)+1)),"")," ",IFERROR(INDEX(Накл!$C$9:$C$550,SMALL(IF(Накл!$B$9:$B$550=A478,ROW(Накл!$B$9:$B$550)-ROW(Накл!$B$9)+1),ROW(D481)-ROW(A478)+1)),"")," ",IFERROR(INDEX(Накл!$C$9:$C$550,SMALL(IF(Накл!$B$9:$B$550=A478,ROW(Накл!$B$9:$B$550)-ROW(Накл!$B$9)+1),ROW(D482)-ROW(A478)+1)),"")," ",IFERROR(INDEX(Накл!$C$9:$C$550,SMALL(IF(Накл!$B$9:$B$550=A478,ROW(Накл!$B$9:$B$550)-ROW(Накл!$B$9)+1),ROW(D483)-ROW(A478)+1)),"")," ",IFERROR(INDEX(Накл!$C$9:$C$550,SMALL(IF(Накл!$B$9:$B$550=A478,ROW(Накл!$B$9:$B$550)-ROW(Накл!$B$9)+1),ROW(D484)-ROW(A478)+1)),"")," ",IFERROR(INDEX(Накл!$C$9:$C$550,SMALL(IF(Накл!$B$9:$B$550=A478,ROW(Накл!$B$9:$B$550)-ROW(Накл!$B$9)+1),ROW(D485)-ROW(A478)+1)),"")," ",IFERROR(INDEX(Накл!$C$9:$C$550,SMALL(IF(Накл!$B$9:$B$550=A478,ROW(Накл!$B$9:$B$550)-ROW(Накл!$B$9)+1),ROW(D486)-ROW(A478)+1)),"")," ",IFERROR(INDEX(Накл!$C$9:$C$550,SMALL(IF(Накл!$B$9:$B$550=A478,ROW(Накл!$B$9:$B$550)-ROW(Накл!$B$9)+1),ROW(D487)-ROW(A478)+1)),""))</f>
        <v xml:space="preserve">         </v>
      </c>
      <c r="E478" s="26" t="str">
        <f t="array" ref="E478">IF(LEN(D478)&lt;10,CONCATENATE(IFERROR(INDEX(Накл!$C$9:$C$550,SMALL(IF(Накл!$A$9:$A$550=VALUE(LEFT(A478,8)),ROW(Накл!$A$9:$A$550)-ROW(Накл!$A$9)+1),ROW(E478)-ROW(B478)+1)),"")," ",IFERROR(INDEX(Накл!$C$9:$C$550,SMALL(IF(Накл!$A$9:$A$550=VALUE(LEFT(A478,8)),ROW(Накл!$A$9:$A$550)-ROW(Накл!$A$9)+1),ROW(E479)-ROW(B478)+1)),"")," ",IFERROR(INDEX(Накл!$C$9:$C$550,SMALL(IF(Накл!$A$9:$A$550=VALUE(LEFT(A478,8)),ROW(Накл!$A$9:$A$550)-ROW(Накл!$A$9)+1),ROW(E480)-ROW(B478)+1)),"")," ",IFERROR(INDEX(Накл!$C$9:$C$550,SMALL(IF(Накл!$A$9:$A$550=VALUE(LEFT(A478,8)),ROW(Накл!$A$9:$A$550)-ROW(Накл!$A$9)+1),ROW(E481)-ROW(B478)+1)),"")),"")</f>
        <v xml:space="preserve">   </v>
      </c>
    </row>
    <row r="479" spans="1:5">
      <c r="A479" s="26" t="str">
        <f>IFERROR(CONCATENATE(VALUE(SUBSTITUTE(SUBSTITUTE(LEFT(Накл!G486,11),".",""),"-",""))," ",Накл!J486),"-")</f>
        <v>-</v>
      </c>
      <c r="B479" s="26" t="str">
        <f>IFERROR(VLOOKUP(VALUE(LEFT(A479,8)),Накл!$A$9:$D$550,4,0),"-")</f>
        <v>-</v>
      </c>
      <c r="C479" s="26">
        <f>Накл!J486</f>
        <v>0</v>
      </c>
      <c r="D479" s="33" t="str">
        <f t="array" ref="D479">CONCATENATE(IFERROR(INDEX(Накл!$C$9:$C$550,SMALL(IF(Накл!$B$9:$B$550=A479,ROW(Накл!$B$9:$B$550)-ROW(Накл!$B$9)+1),ROW(D479)-ROW(A479)+1)),"")," ",IFERROR(INDEX(Накл!$C$9:$C$550,SMALL(IF(Накл!$B$9:$B$550=A479,ROW(Накл!$B$9:$B$550)-ROW(Накл!$B$9)+1),ROW(D480)-ROW(A479)+1)),"")," ",IFERROR(INDEX(Накл!$C$9:$C$550,SMALL(IF(Накл!$B$9:$B$550=A479,ROW(Накл!$B$9:$B$550)-ROW(Накл!$B$9)+1),ROW(D481)-ROW(A479)+1)),"")," ",IFERROR(INDEX(Накл!$C$9:$C$550,SMALL(IF(Накл!$B$9:$B$550=A479,ROW(Накл!$B$9:$B$550)-ROW(Накл!$B$9)+1),ROW(D482)-ROW(A479)+1)),"")," ",IFERROR(INDEX(Накл!$C$9:$C$550,SMALL(IF(Накл!$B$9:$B$550=A479,ROW(Накл!$B$9:$B$550)-ROW(Накл!$B$9)+1),ROW(D483)-ROW(A479)+1)),"")," ",IFERROR(INDEX(Накл!$C$9:$C$550,SMALL(IF(Накл!$B$9:$B$550=A479,ROW(Накл!$B$9:$B$550)-ROW(Накл!$B$9)+1),ROW(D484)-ROW(A479)+1)),"")," ",IFERROR(INDEX(Накл!$C$9:$C$550,SMALL(IF(Накл!$B$9:$B$550=A479,ROW(Накл!$B$9:$B$550)-ROW(Накл!$B$9)+1),ROW(D485)-ROW(A479)+1)),"")," ",IFERROR(INDEX(Накл!$C$9:$C$550,SMALL(IF(Накл!$B$9:$B$550=A479,ROW(Накл!$B$9:$B$550)-ROW(Накл!$B$9)+1),ROW(D486)-ROW(A479)+1)),"")," ",IFERROR(INDEX(Накл!$C$9:$C$550,SMALL(IF(Накл!$B$9:$B$550=A479,ROW(Накл!$B$9:$B$550)-ROW(Накл!$B$9)+1),ROW(D487)-ROW(A479)+1)),"")," ",IFERROR(INDEX(Накл!$C$9:$C$550,SMALL(IF(Накл!$B$9:$B$550=A479,ROW(Накл!$B$9:$B$550)-ROW(Накл!$B$9)+1),ROW(D488)-ROW(A479)+1)),""))</f>
        <v xml:space="preserve">         </v>
      </c>
      <c r="E479" s="26" t="str">
        <f t="array" ref="E479">IF(LEN(D479)&lt;10,CONCATENATE(IFERROR(INDEX(Накл!$C$9:$C$550,SMALL(IF(Накл!$A$9:$A$550=VALUE(LEFT(A479,8)),ROW(Накл!$A$9:$A$550)-ROW(Накл!$A$9)+1),ROW(E479)-ROW(B479)+1)),"")," ",IFERROR(INDEX(Накл!$C$9:$C$550,SMALL(IF(Накл!$A$9:$A$550=VALUE(LEFT(A479,8)),ROW(Накл!$A$9:$A$550)-ROW(Накл!$A$9)+1),ROW(E480)-ROW(B479)+1)),"")," ",IFERROR(INDEX(Накл!$C$9:$C$550,SMALL(IF(Накл!$A$9:$A$550=VALUE(LEFT(A479,8)),ROW(Накл!$A$9:$A$550)-ROW(Накл!$A$9)+1),ROW(E481)-ROW(B479)+1)),"")," ",IFERROR(INDEX(Накл!$C$9:$C$550,SMALL(IF(Накл!$A$9:$A$550=VALUE(LEFT(A479,8)),ROW(Накл!$A$9:$A$550)-ROW(Накл!$A$9)+1),ROW(E482)-ROW(B479)+1)),"")),"")</f>
        <v xml:space="preserve">   </v>
      </c>
    </row>
    <row r="480" spans="1:5">
      <c r="A480" s="26" t="str">
        <f>IFERROR(CONCATENATE(VALUE(SUBSTITUTE(SUBSTITUTE(LEFT(Накл!G487,11),".",""),"-",""))," ",Накл!J487),"-")</f>
        <v>-</v>
      </c>
      <c r="B480" s="26" t="str">
        <f>IFERROR(VLOOKUP(VALUE(LEFT(A480,8)),Накл!$A$9:$D$550,4,0),"-")</f>
        <v>-</v>
      </c>
      <c r="C480" s="26">
        <f>Накл!J487</f>
        <v>0</v>
      </c>
      <c r="D480" s="33" t="str">
        <f t="array" ref="D480">CONCATENATE(IFERROR(INDEX(Накл!$C$9:$C$550,SMALL(IF(Накл!$B$9:$B$550=A480,ROW(Накл!$B$9:$B$550)-ROW(Накл!$B$9)+1),ROW(D480)-ROW(A480)+1)),"")," ",IFERROR(INDEX(Накл!$C$9:$C$550,SMALL(IF(Накл!$B$9:$B$550=A480,ROW(Накл!$B$9:$B$550)-ROW(Накл!$B$9)+1),ROW(D481)-ROW(A480)+1)),"")," ",IFERROR(INDEX(Накл!$C$9:$C$550,SMALL(IF(Накл!$B$9:$B$550=A480,ROW(Накл!$B$9:$B$550)-ROW(Накл!$B$9)+1),ROW(D482)-ROW(A480)+1)),"")," ",IFERROR(INDEX(Накл!$C$9:$C$550,SMALL(IF(Накл!$B$9:$B$550=A480,ROW(Накл!$B$9:$B$550)-ROW(Накл!$B$9)+1),ROW(D483)-ROW(A480)+1)),"")," ",IFERROR(INDEX(Накл!$C$9:$C$550,SMALL(IF(Накл!$B$9:$B$550=A480,ROW(Накл!$B$9:$B$550)-ROW(Накл!$B$9)+1),ROW(D484)-ROW(A480)+1)),"")," ",IFERROR(INDEX(Накл!$C$9:$C$550,SMALL(IF(Накл!$B$9:$B$550=A480,ROW(Накл!$B$9:$B$550)-ROW(Накл!$B$9)+1),ROW(D485)-ROW(A480)+1)),"")," ",IFERROR(INDEX(Накл!$C$9:$C$550,SMALL(IF(Накл!$B$9:$B$550=A480,ROW(Накл!$B$9:$B$550)-ROW(Накл!$B$9)+1),ROW(D486)-ROW(A480)+1)),"")," ",IFERROR(INDEX(Накл!$C$9:$C$550,SMALL(IF(Накл!$B$9:$B$550=A480,ROW(Накл!$B$9:$B$550)-ROW(Накл!$B$9)+1),ROW(D487)-ROW(A480)+1)),"")," ",IFERROR(INDEX(Накл!$C$9:$C$550,SMALL(IF(Накл!$B$9:$B$550=A480,ROW(Накл!$B$9:$B$550)-ROW(Накл!$B$9)+1),ROW(D488)-ROW(A480)+1)),"")," ",IFERROR(INDEX(Накл!$C$9:$C$550,SMALL(IF(Накл!$B$9:$B$550=A480,ROW(Накл!$B$9:$B$550)-ROW(Накл!$B$9)+1),ROW(D489)-ROW(A480)+1)),""))</f>
        <v xml:space="preserve">         </v>
      </c>
      <c r="E480" s="26" t="str">
        <f t="array" ref="E480">IF(LEN(D480)&lt;10,CONCATENATE(IFERROR(INDEX(Накл!$C$9:$C$550,SMALL(IF(Накл!$A$9:$A$550=VALUE(LEFT(A480,8)),ROW(Накл!$A$9:$A$550)-ROW(Накл!$A$9)+1),ROW(E480)-ROW(B480)+1)),"")," ",IFERROR(INDEX(Накл!$C$9:$C$550,SMALL(IF(Накл!$A$9:$A$550=VALUE(LEFT(A480,8)),ROW(Накл!$A$9:$A$550)-ROW(Накл!$A$9)+1),ROW(E481)-ROW(B480)+1)),"")," ",IFERROR(INDEX(Накл!$C$9:$C$550,SMALL(IF(Накл!$A$9:$A$550=VALUE(LEFT(A480,8)),ROW(Накл!$A$9:$A$550)-ROW(Накл!$A$9)+1),ROW(E482)-ROW(B480)+1)),"")," ",IFERROR(INDEX(Накл!$C$9:$C$550,SMALL(IF(Накл!$A$9:$A$550=VALUE(LEFT(A480,8)),ROW(Накл!$A$9:$A$550)-ROW(Накл!$A$9)+1),ROW(E483)-ROW(B480)+1)),"")),"")</f>
        <v xml:space="preserve">   </v>
      </c>
    </row>
    <row r="481" spans="1:5">
      <c r="A481" s="26" t="str">
        <f>IFERROR(CONCATENATE(VALUE(SUBSTITUTE(SUBSTITUTE(LEFT(Накл!G488,11),".",""),"-",""))," ",Накл!J488),"-")</f>
        <v>-</v>
      </c>
      <c r="B481" s="26" t="str">
        <f>IFERROR(VLOOKUP(VALUE(LEFT(A481,8)),Накл!$A$9:$D$550,4,0),"-")</f>
        <v>-</v>
      </c>
      <c r="C481" s="26">
        <f>Накл!J488</f>
        <v>0</v>
      </c>
      <c r="D481" s="33" t="str">
        <f t="array" ref="D481">CONCATENATE(IFERROR(INDEX(Накл!$C$9:$C$550,SMALL(IF(Накл!$B$9:$B$550=A481,ROW(Накл!$B$9:$B$550)-ROW(Накл!$B$9)+1),ROW(D481)-ROW(A481)+1)),"")," ",IFERROR(INDEX(Накл!$C$9:$C$550,SMALL(IF(Накл!$B$9:$B$550=A481,ROW(Накл!$B$9:$B$550)-ROW(Накл!$B$9)+1),ROW(D482)-ROW(A481)+1)),"")," ",IFERROR(INDEX(Накл!$C$9:$C$550,SMALL(IF(Накл!$B$9:$B$550=A481,ROW(Накл!$B$9:$B$550)-ROW(Накл!$B$9)+1),ROW(D483)-ROW(A481)+1)),"")," ",IFERROR(INDEX(Накл!$C$9:$C$550,SMALL(IF(Накл!$B$9:$B$550=A481,ROW(Накл!$B$9:$B$550)-ROW(Накл!$B$9)+1),ROW(D484)-ROW(A481)+1)),"")," ",IFERROR(INDEX(Накл!$C$9:$C$550,SMALL(IF(Накл!$B$9:$B$550=A481,ROW(Накл!$B$9:$B$550)-ROW(Накл!$B$9)+1),ROW(D485)-ROW(A481)+1)),"")," ",IFERROR(INDEX(Накл!$C$9:$C$550,SMALL(IF(Накл!$B$9:$B$550=A481,ROW(Накл!$B$9:$B$550)-ROW(Накл!$B$9)+1),ROW(D486)-ROW(A481)+1)),"")," ",IFERROR(INDEX(Накл!$C$9:$C$550,SMALL(IF(Накл!$B$9:$B$550=A481,ROW(Накл!$B$9:$B$550)-ROW(Накл!$B$9)+1),ROW(D487)-ROW(A481)+1)),"")," ",IFERROR(INDEX(Накл!$C$9:$C$550,SMALL(IF(Накл!$B$9:$B$550=A481,ROW(Накл!$B$9:$B$550)-ROW(Накл!$B$9)+1),ROW(D488)-ROW(A481)+1)),"")," ",IFERROR(INDEX(Накл!$C$9:$C$550,SMALL(IF(Накл!$B$9:$B$550=A481,ROW(Накл!$B$9:$B$550)-ROW(Накл!$B$9)+1),ROW(D489)-ROW(A481)+1)),"")," ",IFERROR(INDEX(Накл!$C$9:$C$550,SMALL(IF(Накл!$B$9:$B$550=A481,ROW(Накл!$B$9:$B$550)-ROW(Накл!$B$9)+1),ROW(D490)-ROW(A481)+1)),""))</f>
        <v xml:space="preserve">         </v>
      </c>
      <c r="E481" s="26" t="str">
        <f t="array" ref="E481">IF(LEN(D481)&lt;10,CONCATENATE(IFERROR(INDEX(Накл!$C$9:$C$550,SMALL(IF(Накл!$A$9:$A$550=VALUE(LEFT(A481,8)),ROW(Накл!$A$9:$A$550)-ROW(Накл!$A$9)+1),ROW(E481)-ROW(B481)+1)),"")," ",IFERROR(INDEX(Накл!$C$9:$C$550,SMALL(IF(Накл!$A$9:$A$550=VALUE(LEFT(A481,8)),ROW(Накл!$A$9:$A$550)-ROW(Накл!$A$9)+1),ROW(E482)-ROW(B481)+1)),"")," ",IFERROR(INDEX(Накл!$C$9:$C$550,SMALL(IF(Накл!$A$9:$A$550=VALUE(LEFT(A481,8)),ROW(Накл!$A$9:$A$550)-ROW(Накл!$A$9)+1),ROW(E483)-ROW(B481)+1)),"")," ",IFERROR(INDEX(Накл!$C$9:$C$550,SMALL(IF(Накл!$A$9:$A$550=VALUE(LEFT(A481,8)),ROW(Накл!$A$9:$A$550)-ROW(Накл!$A$9)+1),ROW(E484)-ROW(B481)+1)),"")),"")</f>
        <v xml:space="preserve">   </v>
      </c>
    </row>
    <row r="482" spans="1:5">
      <c r="A482" s="26" t="str">
        <f>IFERROR(CONCATENATE(VALUE(SUBSTITUTE(SUBSTITUTE(LEFT(Накл!G489,11),".",""),"-",""))," ",Накл!J489),"-")</f>
        <v>-</v>
      </c>
      <c r="B482" s="26" t="str">
        <f>IFERROR(VLOOKUP(VALUE(LEFT(A482,8)),Накл!$A$9:$D$550,4,0),"-")</f>
        <v>-</v>
      </c>
      <c r="C482" s="26">
        <f>Накл!J489</f>
        <v>0</v>
      </c>
      <c r="D482" s="33" t="str">
        <f t="array" ref="D482">CONCATENATE(IFERROR(INDEX(Накл!$C$9:$C$550,SMALL(IF(Накл!$B$9:$B$550=A482,ROW(Накл!$B$9:$B$550)-ROW(Накл!$B$9)+1),ROW(D482)-ROW(A482)+1)),"")," ",IFERROR(INDEX(Накл!$C$9:$C$550,SMALL(IF(Накл!$B$9:$B$550=A482,ROW(Накл!$B$9:$B$550)-ROW(Накл!$B$9)+1),ROW(D483)-ROW(A482)+1)),"")," ",IFERROR(INDEX(Накл!$C$9:$C$550,SMALL(IF(Накл!$B$9:$B$550=A482,ROW(Накл!$B$9:$B$550)-ROW(Накл!$B$9)+1),ROW(D484)-ROW(A482)+1)),"")," ",IFERROR(INDEX(Накл!$C$9:$C$550,SMALL(IF(Накл!$B$9:$B$550=A482,ROW(Накл!$B$9:$B$550)-ROW(Накл!$B$9)+1),ROW(D485)-ROW(A482)+1)),"")," ",IFERROR(INDEX(Накл!$C$9:$C$550,SMALL(IF(Накл!$B$9:$B$550=A482,ROW(Накл!$B$9:$B$550)-ROW(Накл!$B$9)+1),ROW(D486)-ROW(A482)+1)),"")," ",IFERROR(INDEX(Накл!$C$9:$C$550,SMALL(IF(Накл!$B$9:$B$550=A482,ROW(Накл!$B$9:$B$550)-ROW(Накл!$B$9)+1),ROW(D487)-ROW(A482)+1)),"")," ",IFERROR(INDEX(Накл!$C$9:$C$550,SMALL(IF(Накл!$B$9:$B$550=A482,ROW(Накл!$B$9:$B$550)-ROW(Накл!$B$9)+1),ROW(D488)-ROW(A482)+1)),"")," ",IFERROR(INDEX(Накл!$C$9:$C$550,SMALL(IF(Накл!$B$9:$B$550=A482,ROW(Накл!$B$9:$B$550)-ROW(Накл!$B$9)+1),ROW(D489)-ROW(A482)+1)),"")," ",IFERROR(INDEX(Накл!$C$9:$C$550,SMALL(IF(Накл!$B$9:$B$550=A482,ROW(Накл!$B$9:$B$550)-ROW(Накл!$B$9)+1),ROW(D490)-ROW(A482)+1)),"")," ",IFERROR(INDEX(Накл!$C$9:$C$550,SMALL(IF(Накл!$B$9:$B$550=A482,ROW(Накл!$B$9:$B$550)-ROW(Накл!$B$9)+1),ROW(D491)-ROW(A482)+1)),""))</f>
        <v xml:space="preserve">         </v>
      </c>
      <c r="E482" s="26" t="str">
        <f t="array" ref="E482">IF(LEN(D482)&lt;10,CONCATENATE(IFERROR(INDEX(Накл!$C$9:$C$550,SMALL(IF(Накл!$A$9:$A$550=VALUE(LEFT(A482,8)),ROW(Накл!$A$9:$A$550)-ROW(Накл!$A$9)+1),ROW(E482)-ROW(B482)+1)),"")," ",IFERROR(INDEX(Накл!$C$9:$C$550,SMALL(IF(Накл!$A$9:$A$550=VALUE(LEFT(A482,8)),ROW(Накл!$A$9:$A$550)-ROW(Накл!$A$9)+1),ROW(E483)-ROW(B482)+1)),"")," ",IFERROR(INDEX(Накл!$C$9:$C$550,SMALL(IF(Накл!$A$9:$A$550=VALUE(LEFT(A482,8)),ROW(Накл!$A$9:$A$550)-ROW(Накл!$A$9)+1),ROW(E484)-ROW(B482)+1)),"")," ",IFERROR(INDEX(Накл!$C$9:$C$550,SMALL(IF(Накл!$A$9:$A$550=VALUE(LEFT(A482,8)),ROW(Накл!$A$9:$A$550)-ROW(Накл!$A$9)+1),ROW(E485)-ROW(B482)+1)),"")),"")</f>
        <v xml:space="preserve">   </v>
      </c>
    </row>
    <row r="483" spans="1:5">
      <c r="A483" s="26" t="str">
        <f>IFERROR(CONCATENATE(VALUE(SUBSTITUTE(SUBSTITUTE(LEFT(Накл!G490,11),".",""),"-",""))," ",Накл!J490),"-")</f>
        <v>-</v>
      </c>
      <c r="B483" s="26" t="str">
        <f>IFERROR(VLOOKUP(VALUE(LEFT(A483,8)),Накл!$A$9:$D$550,4,0),"-")</f>
        <v>-</v>
      </c>
      <c r="C483" s="26">
        <f>Накл!J490</f>
        <v>0</v>
      </c>
      <c r="D483" s="33" t="str">
        <f t="array" ref="D483">CONCATENATE(IFERROR(INDEX(Накл!$C$9:$C$550,SMALL(IF(Накл!$B$9:$B$550=A483,ROW(Накл!$B$9:$B$550)-ROW(Накл!$B$9)+1),ROW(D483)-ROW(A483)+1)),"")," ",IFERROR(INDEX(Накл!$C$9:$C$550,SMALL(IF(Накл!$B$9:$B$550=A483,ROW(Накл!$B$9:$B$550)-ROW(Накл!$B$9)+1),ROW(D484)-ROW(A483)+1)),"")," ",IFERROR(INDEX(Накл!$C$9:$C$550,SMALL(IF(Накл!$B$9:$B$550=A483,ROW(Накл!$B$9:$B$550)-ROW(Накл!$B$9)+1),ROW(D485)-ROW(A483)+1)),"")," ",IFERROR(INDEX(Накл!$C$9:$C$550,SMALL(IF(Накл!$B$9:$B$550=A483,ROW(Накл!$B$9:$B$550)-ROW(Накл!$B$9)+1),ROW(D486)-ROW(A483)+1)),"")," ",IFERROR(INDEX(Накл!$C$9:$C$550,SMALL(IF(Накл!$B$9:$B$550=A483,ROW(Накл!$B$9:$B$550)-ROW(Накл!$B$9)+1),ROW(D487)-ROW(A483)+1)),"")," ",IFERROR(INDEX(Накл!$C$9:$C$550,SMALL(IF(Накл!$B$9:$B$550=A483,ROW(Накл!$B$9:$B$550)-ROW(Накл!$B$9)+1),ROW(D488)-ROW(A483)+1)),"")," ",IFERROR(INDEX(Накл!$C$9:$C$550,SMALL(IF(Накл!$B$9:$B$550=A483,ROW(Накл!$B$9:$B$550)-ROW(Накл!$B$9)+1),ROW(D489)-ROW(A483)+1)),"")," ",IFERROR(INDEX(Накл!$C$9:$C$550,SMALL(IF(Накл!$B$9:$B$550=A483,ROW(Накл!$B$9:$B$550)-ROW(Накл!$B$9)+1),ROW(D490)-ROW(A483)+1)),"")," ",IFERROR(INDEX(Накл!$C$9:$C$550,SMALL(IF(Накл!$B$9:$B$550=A483,ROW(Накл!$B$9:$B$550)-ROW(Накл!$B$9)+1),ROW(D491)-ROW(A483)+1)),"")," ",IFERROR(INDEX(Накл!$C$9:$C$550,SMALL(IF(Накл!$B$9:$B$550=A483,ROW(Накл!$B$9:$B$550)-ROW(Накл!$B$9)+1),ROW(D492)-ROW(A483)+1)),""))</f>
        <v xml:space="preserve">         </v>
      </c>
      <c r="E483" s="26" t="str">
        <f t="array" ref="E483">IF(LEN(D483)&lt;10,CONCATENATE(IFERROR(INDEX(Накл!$C$9:$C$550,SMALL(IF(Накл!$A$9:$A$550=VALUE(LEFT(A483,8)),ROW(Накл!$A$9:$A$550)-ROW(Накл!$A$9)+1),ROW(E483)-ROW(B483)+1)),"")," ",IFERROR(INDEX(Накл!$C$9:$C$550,SMALL(IF(Накл!$A$9:$A$550=VALUE(LEFT(A483,8)),ROW(Накл!$A$9:$A$550)-ROW(Накл!$A$9)+1),ROW(E484)-ROW(B483)+1)),"")," ",IFERROR(INDEX(Накл!$C$9:$C$550,SMALL(IF(Накл!$A$9:$A$550=VALUE(LEFT(A483,8)),ROW(Накл!$A$9:$A$550)-ROW(Накл!$A$9)+1),ROW(E485)-ROW(B483)+1)),"")," ",IFERROR(INDEX(Накл!$C$9:$C$550,SMALL(IF(Накл!$A$9:$A$550=VALUE(LEFT(A483,8)),ROW(Накл!$A$9:$A$550)-ROW(Накл!$A$9)+1),ROW(E486)-ROW(B483)+1)),"")),"")</f>
        <v xml:space="preserve">   </v>
      </c>
    </row>
    <row r="484" spans="1:5">
      <c r="A484" s="26" t="str">
        <f>IFERROR(CONCATENATE(VALUE(SUBSTITUTE(SUBSTITUTE(LEFT(Накл!G491,11),".",""),"-",""))," ",Накл!J491),"-")</f>
        <v>-</v>
      </c>
      <c r="B484" s="26" t="str">
        <f>IFERROR(VLOOKUP(VALUE(LEFT(A484,8)),Накл!$A$9:$D$550,4,0),"-")</f>
        <v>-</v>
      </c>
      <c r="C484" s="26">
        <f>Накл!J491</f>
        <v>0</v>
      </c>
      <c r="D484" s="33" t="str">
        <f t="array" ref="D484">CONCATENATE(IFERROR(INDEX(Накл!$C$9:$C$550,SMALL(IF(Накл!$B$9:$B$550=A484,ROW(Накл!$B$9:$B$550)-ROW(Накл!$B$9)+1),ROW(D484)-ROW(A484)+1)),"")," ",IFERROR(INDEX(Накл!$C$9:$C$550,SMALL(IF(Накл!$B$9:$B$550=A484,ROW(Накл!$B$9:$B$550)-ROW(Накл!$B$9)+1),ROW(D485)-ROW(A484)+1)),"")," ",IFERROR(INDEX(Накл!$C$9:$C$550,SMALL(IF(Накл!$B$9:$B$550=A484,ROW(Накл!$B$9:$B$550)-ROW(Накл!$B$9)+1),ROW(D486)-ROW(A484)+1)),"")," ",IFERROR(INDEX(Накл!$C$9:$C$550,SMALL(IF(Накл!$B$9:$B$550=A484,ROW(Накл!$B$9:$B$550)-ROW(Накл!$B$9)+1),ROW(D487)-ROW(A484)+1)),"")," ",IFERROR(INDEX(Накл!$C$9:$C$550,SMALL(IF(Накл!$B$9:$B$550=A484,ROW(Накл!$B$9:$B$550)-ROW(Накл!$B$9)+1),ROW(D488)-ROW(A484)+1)),"")," ",IFERROR(INDEX(Накл!$C$9:$C$550,SMALL(IF(Накл!$B$9:$B$550=A484,ROW(Накл!$B$9:$B$550)-ROW(Накл!$B$9)+1),ROW(D489)-ROW(A484)+1)),"")," ",IFERROR(INDEX(Накл!$C$9:$C$550,SMALL(IF(Накл!$B$9:$B$550=A484,ROW(Накл!$B$9:$B$550)-ROW(Накл!$B$9)+1),ROW(D490)-ROW(A484)+1)),"")," ",IFERROR(INDEX(Накл!$C$9:$C$550,SMALL(IF(Накл!$B$9:$B$550=A484,ROW(Накл!$B$9:$B$550)-ROW(Накл!$B$9)+1),ROW(D491)-ROW(A484)+1)),"")," ",IFERROR(INDEX(Накл!$C$9:$C$550,SMALL(IF(Накл!$B$9:$B$550=A484,ROW(Накл!$B$9:$B$550)-ROW(Накл!$B$9)+1),ROW(D492)-ROW(A484)+1)),"")," ",IFERROR(INDEX(Накл!$C$9:$C$550,SMALL(IF(Накл!$B$9:$B$550=A484,ROW(Накл!$B$9:$B$550)-ROW(Накл!$B$9)+1),ROW(D493)-ROW(A484)+1)),""))</f>
        <v xml:space="preserve">         </v>
      </c>
      <c r="E484" s="26" t="str">
        <f t="array" ref="E484">IF(LEN(D484)&lt;10,CONCATENATE(IFERROR(INDEX(Накл!$C$9:$C$550,SMALL(IF(Накл!$A$9:$A$550=VALUE(LEFT(A484,8)),ROW(Накл!$A$9:$A$550)-ROW(Накл!$A$9)+1),ROW(E484)-ROW(B484)+1)),"")," ",IFERROR(INDEX(Накл!$C$9:$C$550,SMALL(IF(Накл!$A$9:$A$550=VALUE(LEFT(A484,8)),ROW(Накл!$A$9:$A$550)-ROW(Накл!$A$9)+1),ROW(E485)-ROW(B484)+1)),"")," ",IFERROR(INDEX(Накл!$C$9:$C$550,SMALL(IF(Накл!$A$9:$A$550=VALUE(LEFT(A484,8)),ROW(Накл!$A$9:$A$550)-ROW(Накл!$A$9)+1),ROW(E486)-ROW(B484)+1)),"")," ",IFERROR(INDEX(Накл!$C$9:$C$550,SMALL(IF(Накл!$A$9:$A$550=VALUE(LEFT(A484,8)),ROW(Накл!$A$9:$A$550)-ROW(Накл!$A$9)+1),ROW(E487)-ROW(B484)+1)),"")),"")</f>
        <v xml:space="preserve">   </v>
      </c>
    </row>
    <row r="485" spans="1:5">
      <c r="A485" s="26" t="str">
        <f>IFERROR(CONCATENATE(VALUE(SUBSTITUTE(SUBSTITUTE(LEFT(Накл!G492,11),".",""),"-",""))," ",Накл!J492),"-")</f>
        <v>-</v>
      </c>
      <c r="B485" s="26" t="str">
        <f>IFERROR(VLOOKUP(VALUE(LEFT(A485,8)),Накл!$A$9:$D$550,4,0),"-")</f>
        <v>-</v>
      </c>
      <c r="C485" s="26">
        <f>Накл!J492</f>
        <v>0</v>
      </c>
      <c r="D485" s="33" t="str">
        <f t="array" ref="D485">CONCATENATE(IFERROR(INDEX(Накл!$C$9:$C$550,SMALL(IF(Накл!$B$9:$B$550=A485,ROW(Накл!$B$9:$B$550)-ROW(Накл!$B$9)+1),ROW(D485)-ROW(A485)+1)),"")," ",IFERROR(INDEX(Накл!$C$9:$C$550,SMALL(IF(Накл!$B$9:$B$550=A485,ROW(Накл!$B$9:$B$550)-ROW(Накл!$B$9)+1),ROW(D486)-ROW(A485)+1)),"")," ",IFERROR(INDEX(Накл!$C$9:$C$550,SMALL(IF(Накл!$B$9:$B$550=A485,ROW(Накл!$B$9:$B$550)-ROW(Накл!$B$9)+1),ROW(D487)-ROW(A485)+1)),"")," ",IFERROR(INDEX(Накл!$C$9:$C$550,SMALL(IF(Накл!$B$9:$B$550=A485,ROW(Накл!$B$9:$B$550)-ROW(Накл!$B$9)+1),ROW(D488)-ROW(A485)+1)),"")," ",IFERROR(INDEX(Накл!$C$9:$C$550,SMALL(IF(Накл!$B$9:$B$550=A485,ROW(Накл!$B$9:$B$550)-ROW(Накл!$B$9)+1),ROW(D489)-ROW(A485)+1)),"")," ",IFERROR(INDEX(Накл!$C$9:$C$550,SMALL(IF(Накл!$B$9:$B$550=A485,ROW(Накл!$B$9:$B$550)-ROW(Накл!$B$9)+1),ROW(D490)-ROW(A485)+1)),"")," ",IFERROR(INDEX(Накл!$C$9:$C$550,SMALL(IF(Накл!$B$9:$B$550=A485,ROW(Накл!$B$9:$B$550)-ROW(Накл!$B$9)+1),ROW(D491)-ROW(A485)+1)),"")," ",IFERROR(INDEX(Накл!$C$9:$C$550,SMALL(IF(Накл!$B$9:$B$550=A485,ROW(Накл!$B$9:$B$550)-ROW(Накл!$B$9)+1),ROW(D492)-ROW(A485)+1)),"")," ",IFERROR(INDEX(Накл!$C$9:$C$550,SMALL(IF(Накл!$B$9:$B$550=A485,ROW(Накл!$B$9:$B$550)-ROW(Накл!$B$9)+1),ROW(D493)-ROW(A485)+1)),"")," ",IFERROR(INDEX(Накл!$C$9:$C$550,SMALL(IF(Накл!$B$9:$B$550=A485,ROW(Накл!$B$9:$B$550)-ROW(Накл!$B$9)+1),ROW(D494)-ROW(A485)+1)),""))</f>
        <v xml:space="preserve">         </v>
      </c>
      <c r="E485" s="26" t="str">
        <f t="array" ref="E485">IF(LEN(D485)&lt;10,CONCATENATE(IFERROR(INDEX(Накл!$C$9:$C$550,SMALL(IF(Накл!$A$9:$A$550=VALUE(LEFT(A485,8)),ROW(Накл!$A$9:$A$550)-ROW(Накл!$A$9)+1),ROW(E485)-ROW(B485)+1)),"")," ",IFERROR(INDEX(Накл!$C$9:$C$550,SMALL(IF(Накл!$A$9:$A$550=VALUE(LEFT(A485,8)),ROW(Накл!$A$9:$A$550)-ROW(Накл!$A$9)+1),ROW(E486)-ROW(B485)+1)),"")," ",IFERROR(INDEX(Накл!$C$9:$C$550,SMALL(IF(Накл!$A$9:$A$550=VALUE(LEFT(A485,8)),ROW(Накл!$A$9:$A$550)-ROW(Накл!$A$9)+1),ROW(E487)-ROW(B485)+1)),"")," ",IFERROR(INDEX(Накл!$C$9:$C$550,SMALL(IF(Накл!$A$9:$A$550=VALUE(LEFT(A485,8)),ROW(Накл!$A$9:$A$550)-ROW(Накл!$A$9)+1),ROW(E488)-ROW(B485)+1)),"")),"")</f>
        <v xml:space="preserve">   </v>
      </c>
    </row>
    <row r="486" spans="1:5">
      <c r="A486" s="26" t="str">
        <f>IFERROR(CONCATENATE(VALUE(SUBSTITUTE(SUBSTITUTE(LEFT(Накл!G493,11),".",""),"-",""))," ",Накл!J493),"-")</f>
        <v>-</v>
      </c>
      <c r="B486" s="26" t="str">
        <f>IFERROR(VLOOKUP(VALUE(LEFT(A486,8)),Накл!$A$9:$D$550,4,0),"-")</f>
        <v>-</v>
      </c>
      <c r="C486" s="26">
        <f>Накл!J493</f>
        <v>0</v>
      </c>
      <c r="D486" s="33" t="str">
        <f t="array" ref="D486">CONCATENATE(IFERROR(INDEX(Накл!$C$9:$C$550,SMALL(IF(Накл!$B$9:$B$550=A486,ROW(Накл!$B$9:$B$550)-ROW(Накл!$B$9)+1),ROW(D486)-ROW(A486)+1)),"")," ",IFERROR(INDEX(Накл!$C$9:$C$550,SMALL(IF(Накл!$B$9:$B$550=A486,ROW(Накл!$B$9:$B$550)-ROW(Накл!$B$9)+1),ROW(D487)-ROW(A486)+1)),"")," ",IFERROR(INDEX(Накл!$C$9:$C$550,SMALL(IF(Накл!$B$9:$B$550=A486,ROW(Накл!$B$9:$B$550)-ROW(Накл!$B$9)+1),ROW(D488)-ROW(A486)+1)),"")," ",IFERROR(INDEX(Накл!$C$9:$C$550,SMALL(IF(Накл!$B$9:$B$550=A486,ROW(Накл!$B$9:$B$550)-ROW(Накл!$B$9)+1),ROW(D489)-ROW(A486)+1)),"")," ",IFERROR(INDEX(Накл!$C$9:$C$550,SMALL(IF(Накл!$B$9:$B$550=A486,ROW(Накл!$B$9:$B$550)-ROW(Накл!$B$9)+1),ROW(D490)-ROW(A486)+1)),"")," ",IFERROR(INDEX(Накл!$C$9:$C$550,SMALL(IF(Накл!$B$9:$B$550=A486,ROW(Накл!$B$9:$B$550)-ROW(Накл!$B$9)+1),ROW(D491)-ROW(A486)+1)),"")," ",IFERROR(INDEX(Накл!$C$9:$C$550,SMALL(IF(Накл!$B$9:$B$550=A486,ROW(Накл!$B$9:$B$550)-ROW(Накл!$B$9)+1),ROW(D492)-ROW(A486)+1)),"")," ",IFERROR(INDEX(Накл!$C$9:$C$550,SMALL(IF(Накл!$B$9:$B$550=A486,ROW(Накл!$B$9:$B$550)-ROW(Накл!$B$9)+1),ROW(D493)-ROW(A486)+1)),"")," ",IFERROR(INDEX(Накл!$C$9:$C$550,SMALL(IF(Накл!$B$9:$B$550=A486,ROW(Накл!$B$9:$B$550)-ROW(Накл!$B$9)+1),ROW(D494)-ROW(A486)+1)),"")," ",IFERROR(INDEX(Накл!$C$9:$C$550,SMALL(IF(Накл!$B$9:$B$550=A486,ROW(Накл!$B$9:$B$550)-ROW(Накл!$B$9)+1),ROW(D495)-ROW(A486)+1)),""))</f>
        <v xml:space="preserve">         </v>
      </c>
      <c r="E486" s="26" t="str">
        <f t="array" ref="E486">IF(LEN(D486)&lt;10,CONCATENATE(IFERROR(INDEX(Накл!$C$9:$C$550,SMALL(IF(Накл!$A$9:$A$550=VALUE(LEFT(A486,8)),ROW(Накл!$A$9:$A$550)-ROW(Накл!$A$9)+1),ROW(E486)-ROW(B486)+1)),"")," ",IFERROR(INDEX(Накл!$C$9:$C$550,SMALL(IF(Накл!$A$9:$A$550=VALUE(LEFT(A486,8)),ROW(Накл!$A$9:$A$550)-ROW(Накл!$A$9)+1),ROW(E487)-ROW(B486)+1)),"")," ",IFERROR(INDEX(Накл!$C$9:$C$550,SMALL(IF(Накл!$A$9:$A$550=VALUE(LEFT(A486,8)),ROW(Накл!$A$9:$A$550)-ROW(Накл!$A$9)+1),ROW(E488)-ROW(B486)+1)),"")," ",IFERROR(INDEX(Накл!$C$9:$C$550,SMALL(IF(Накл!$A$9:$A$550=VALUE(LEFT(A486,8)),ROW(Накл!$A$9:$A$550)-ROW(Накл!$A$9)+1),ROW(E489)-ROW(B486)+1)),"")),"")</f>
        <v xml:space="preserve">   </v>
      </c>
    </row>
    <row r="487" spans="1:5">
      <c r="A487" s="26" t="str">
        <f>IFERROR(CONCATENATE(VALUE(SUBSTITUTE(SUBSTITUTE(LEFT(Накл!G494,11),".",""),"-",""))," ",Накл!J494),"-")</f>
        <v>-</v>
      </c>
      <c r="B487" s="26" t="str">
        <f>IFERROR(VLOOKUP(VALUE(LEFT(A487,8)),Накл!$A$9:$D$550,4,0),"-")</f>
        <v>-</v>
      </c>
      <c r="C487" s="26">
        <f>Накл!J494</f>
        <v>0</v>
      </c>
      <c r="D487" s="33" t="str">
        <f t="array" ref="D487">CONCATENATE(IFERROR(INDEX(Накл!$C$9:$C$550,SMALL(IF(Накл!$B$9:$B$550=A487,ROW(Накл!$B$9:$B$550)-ROW(Накл!$B$9)+1),ROW(D487)-ROW(A487)+1)),"")," ",IFERROR(INDEX(Накл!$C$9:$C$550,SMALL(IF(Накл!$B$9:$B$550=A487,ROW(Накл!$B$9:$B$550)-ROW(Накл!$B$9)+1),ROW(D488)-ROW(A487)+1)),"")," ",IFERROR(INDEX(Накл!$C$9:$C$550,SMALL(IF(Накл!$B$9:$B$550=A487,ROW(Накл!$B$9:$B$550)-ROW(Накл!$B$9)+1),ROW(D489)-ROW(A487)+1)),"")," ",IFERROR(INDEX(Накл!$C$9:$C$550,SMALL(IF(Накл!$B$9:$B$550=A487,ROW(Накл!$B$9:$B$550)-ROW(Накл!$B$9)+1),ROW(D490)-ROW(A487)+1)),"")," ",IFERROR(INDEX(Накл!$C$9:$C$550,SMALL(IF(Накл!$B$9:$B$550=A487,ROW(Накл!$B$9:$B$550)-ROW(Накл!$B$9)+1),ROW(D491)-ROW(A487)+1)),"")," ",IFERROR(INDEX(Накл!$C$9:$C$550,SMALL(IF(Накл!$B$9:$B$550=A487,ROW(Накл!$B$9:$B$550)-ROW(Накл!$B$9)+1),ROW(D492)-ROW(A487)+1)),"")," ",IFERROR(INDEX(Накл!$C$9:$C$550,SMALL(IF(Накл!$B$9:$B$550=A487,ROW(Накл!$B$9:$B$550)-ROW(Накл!$B$9)+1),ROW(D493)-ROW(A487)+1)),"")," ",IFERROR(INDEX(Накл!$C$9:$C$550,SMALL(IF(Накл!$B$9:$B$550=A487,ROW(Накл!$B$9:$B$550)-ROW(Накл!$B$9)+1),ROW(D494)-ROW(A487)+1)),"")," ",IFERROR(INDEX(Накл!$C$9:$C$550,SMALL(IF(Накл!$B$9:$B$550=A487,ROW(Накл!$B$9:$B$550)-ROW(Накл!$B$9)+1),ROW(D495)-ROW(A487)+1)),"")," ",IFERROR(INDEX(Накл!$C$9:$C$550,SMALL(IF(Накл!$B$9:$B$550=A487,ROW(Накл!$B$9:$B$550)-ROW(Накл!$B$9)+1),ROW(D496)-ROW(A487)+1)),""))</f>
        <v xml:space="preserve">         </v>
      </c>
      <c r="E487" s="26" t="str">
        <f t="array" ref="E487">IF(LEN(D487)&lt;10,CONCATENATE(IFERROR(INDEX(Накл!$C$9:$C$550,SMALL(IF(Накл!$A$9:$A$550=VALUE(LEFT(A487,8)),ROW(Накл!$A$9:$A$550)-ROW(Накл!$A$9)+1),ROW(E487)-ROW(B487)+1)),"")," ",IFERROR(INDEX(Накл!$C$9:$C$550,SMALL(IF(Накл!$A$9:$A$550=VALUE(LEFT(A487,8)),ROW(Накл!$A$9:$A$550)-ROW(Накл!$A$9)+1),ROW(E488)-ROW(B487)+1)),"")," ",IFERROR(INDEX(Накл!$C$9:$C$550,SMALL(IF(Накл!$A$9:$A$550=VALUE(LEFT(A487,8)),ROW(Накл!$A$9:$A$550)-ROW(Накл!$A$9)+1),ROW(E489)-ROW(B487)+1)),"")," ",IFERROR(INDEX(Накл!$C$9:$C$550,SMALL(IF(Накл!$A$9:$A$550=VALUE(LEFT(A487,8)),ROW(Накл!$A$9:$A$550)-ROW(Накл!$A$9)+1),ROW(E490)-ROW(B487)+1)),"")),"")</f>
        <v xml:space="preserve">   </v>
      </c>
    </row>
    <row r="488" spans="1:5">
      <c r="A488" s="26" t="str">
        <f>IFERROR(CONCATENATE(VALUE(SUBSTITUTE(SUBSTITUTE(LEFT(Накл!G495,11),".",""),"-",""))," ",Накл!J495),"-")</f>
        <v>-</v>
      </c>
      <c r="B488" s="26" t="str">
        <f>IFERROR(VLOOKUP(VALUE(LEFT(A488,8)),Накл!$A$9:$D$550,4,0),"-")</f>
        <v>-</v>
      </c>
      <c r="C488" s="26">
        <f>Накл!J495</f>
        <v>0</v>
      </c>
      <c r="D488" s="33" t="str">
        <f t="array" ref="D488">CONCATENATE(IFERROR(INDEX(Накл!$C$9:$C$550,SMALL(IF(Накл!$B$9:$B$550=A488,ROW(Накл!$B$9:$B$550)-ROW(Накл!$B$9)+1),ROW(D488)-ROW(A488)+1)),"")," ",IFERROR(INDEX(Накл!$C$9:$C$550,SMALL(IF(Накл!$B$9:$B$550=A488,ROW(Накл!$B$9:$B$550)-ROW(Накл!$B$9)+1),ROW(D489)-ROW(A488)+1)),"")," ",IFERROR(INDEX(Накл!$C$9:$C$550,SMALL(IF(Накл!$B$9:$B$550=A488,ROW(Накл!$B$9:$B$550)-ROW(Накл!$B$9)+1),ROW(D490)-ROW(A488)+1)),"")," ",IFERROR(INDEX(Накл!$C$9:$C$550,SMALL(IF(Накл!$B$9:$B$550=A488,ROW(Накл!$B$9:$B$550)-ROW(Накл!$B$9)+1),ROW(D491)-ROW(A488)+1)),"")," ",IFERROR(INDEX(Накл!$C$9:$C$550,SMALL(IF(Накл!$B$9:$B$550=A488,ROW(Накл!$B$9:$B$550)-ROW(Накл!$B$9)+1),ROW(D492)-ROW(A488)+1)),"")," ",IFERROR(INDEX(Накл!$C$9:$C$550,SMALL(IF(Накл!$B$9:$B$550=A488,ROW(Накл!$B$9:$B$550)-ROW(Накл!$B$9)+1),ROW(D493)-ROW(A488)+1)),"")," ",IFERROR(INDEX(Накл!$C$9:$C$550,SMALL(IF(Накл!$B$9:$B$550=A488,ROW(Накл!$B$9:$B$550)-ROW(Накл!$B$9)+1),ROW(D494)-ROW(A488)+1)),"")," ",IFERROR(INDEX(Накл!$C$9:$C$550,SMALL(IF(Накл!$B$9:$B$550=A488,ROW(Накл!$B$9:$B$550)-ROW(Накл!$B$9)+1),ROW(D495)-ROW(A488)+1)),"")," ",IFERROR(INDEX(Накл!$C$9:$C$550,SMALL(IF(Накл!$B$9:$B$550=A488,ROW(Накл!$B$9:$B$550)-ROW(Накл!$B$9)+1),ROW(D496)-ROW(A488)+1)),"")," ",IFERROR(INDEX(Накл!$C$9:$C$550,SMALL(IF(Накл!$B$9:$B$550=A488,ROW(Накл!$B$9:$B$550)-ROW(Накл!$B$9)+1),ROW(D497)-ROW(A488)+1)),""))</f>
        <v xml:space="preserve">         </v>
      </c>
      <c r="E488" s="26" t="str">
        <f t="array" ref="E488">IF(LEN(D488)&lt;10,CONCATENATE(IFERROR(INDEX(Накл!$C$9:$C$550,SMALL(IF(Накл!$A$9:$A$550=VALUE(LEFT(A488,8)),ROW(Накл!$A$9:$A$550)-ROW(Накл!$A$9)+1),ROW(E488)-ROW(B488)+1)),"")," ",IFERROR(INDEX(Накл!$C$9:$C$550,SMALL(IF(Накл!$A$9:$A$550=VALUE(LEFT(A488,8)),ROW(Накл!$A$9:$A$550)-ROW(Накл!$A$9)+1),ROW(E489)-ROW(B488)+1)),"")," ",IFERROR(INDEX(Накл!$C$9:$C$550,SMALL(IF(Накл!$A$9:$A$550=VALUE(LEFT(A488,8)),ROW(Накл!$A$9:$A$550)-ROW(Накл!$A$9)+1),ROW(E490)-ROW(B488)+1)),"")," ",IFERROR(INDEX(Накл!$C$9:$C$550,SMALL(IF(Накл!$A$9:$A$550=VALUE(LEFT(A488,8)),ROW(Накл!$A$9:$A$550)-ROW(Накл!$A$9)+1),ROW(E491)-ROW(B488)+1)),"")),"")</f>
        <v xml:space="preserve">   </v>
      </c>
    </row>
    <row r="489" spans="1:5">
      <c r="A489" s="26" t="str">
        <f>IFERROR(CONCATENATE(VALUE(SUBSTITUTE(SUBSTITUTE(LEFT(Накл!G496,11),".",""),"-",""))," ",Накл!J496),"-")</f>
        <v>-</v>
      </c>
      <c r="B489" s="26" t="str">
        <f>IFERROR(VLOOKUP(VALUE(LEFT(A489,8)),Накл!$A$9:$D$550,4,0),"-")</f>
        <v>-</v>
      </c>
      <c r="C489" s="26">
        <f>Накл!J496</f>
        <v>0</v>
      </c>
      <c r="D489" s="33" t="str">
        <f t="array" ref="D489">CONCATENATE(IFERROR(INDEX(Накл!$C$9:$C$550,SMALL(IF(Накл!$B$9:$B$550=A489,ROW(Накл!$B$9:$B$550)-ROW(Накл!$B$9)+1),ROW(D489)-ROW(A489)+1)),"")," ",IFERROR(INDEX(Накл!$C$9:$C$550,SMALL(IF(Накл!$B$9:$B$550=A489,ROW(Накл!$B$9:$B$550)-ROW(Накл!$B$9)+1),ROW(D490)-ROW(A489)+1)),"")," ",IFERROR(INDEX(Накл!$C$9:$C$550,SMALL(IF(Накл!$B$9:$B$550=A489,ROW(Накл!$B$9:$B$550)-ROW(Накл!$B$9)+1),ROW(D491)-ROW(A489)+1)),"")," ",IFERROR(INDEX(Накл!$C$9:$C$550,SMALL(IF(Накл!$B$9:$B$550=A489,ROW(Накл!$B$9:$B$550)-ROW(Накл!$B$9)+1),ROW(D492)-ROW(A489)+1)),"")," ",IFERROR(INDEX(Накл!$C$9:$C$550,SMALL(IF(Накл!$B$9:$B$550=A489,ROW(Накл!$B$9:$B$550)-ROW(Накл!$B$9)+1),ROW(D493)-ROW(A489)+1)),"")," ",IFERROR(INDEX(Накл!$C$9:$C$550,SMALL(IF(Накл!$B$9:$B$550=A489,ROW(Накл!$B$9:$B$550)-ROW(Накл!$B$9)+1),ROW(D494)-ROW(A489)+1)),"")," ",IFERROR(INDEX(Накл!$C$9:$C$550,SMALL(IF(Накл!$B$9:$B$550=A489,ROW(Накл!$B$9:$B$550)-ROW(Накл!$B$9)+1),ROW(D495)-ROW(A489)+1)),"")," ",IFERROR(INDEX(Накл!$C$9:$C$550,SMALL(IF(Накл!$B$9:$B$550=A489,ROW(Накл!$B$9:$B$550)-ROW(Накл!$B$9)+1),ROW(D496)-ROW(A489)+1)),"")," ",IFERROR(INDEX(Накл!$C$9:$C$550,SMALL(IF(Накл!$B$9:$B$550=A489,ROW(Накл!$B$9:$B$550)-ROW(Накл!$B$9)+1),ROW(D497)-ROW(A489)+1)),"")," ",IFERROR(INDEX(Накл!$C$9:$C$550,SMALL(IF(Накл!$B$9:$B$550=A489,ROW(Накл!$B$9:$B$550)-ROW(Накл!$B$9)+1),ROW(D498)-ROW(A489)+1)),""))</f>
        <v xml:space="preserve">         </v>
      </c>
      <c r="E489" s="26" t="str">
        <f t="array" ref="E489">IF(LEN(D489)&lt;10,CONCATENATE(IFERROR(INDEX(Накл!$C$9:$C$550,SMALL(IF(Накл!$A$9:$A$550=VALUE(LEFT(A489,8)),ROW(Накл!$A$9:$A$550)-ROW(Накл!$A$9)+1),ROW(E489)-ROW(B489)+1)),"")," ",IFERROR(INDEX(Накл!$C$9:$C$550,SMALL(IF(Накл!$A$9:$A$550=VALUE(LEFT(A489,8)),ROW(Накл!$A$9:$A$550)-ROW(Накл!$A$9)+1),ROW(E490)-ROW(B489)+1)),"")," ",IFERROR(INDEX(Накл!$C$9:$C$550,SMALL(IF(Накл!$A$9:$A$550=VALUE(LEFT(A489,8)),ROW(Накл!$A$9:$A$550)-ROW(Накл!$A$9)+1),ROW(E491)-ROW(B489)+1)),"")," ",IFERROR(INDEX(Накл!$C$9:$C$550,SMALL(IF(Накл!$A$9:$A$550=VALUE(LEFT(A489,8)),ROW(Накл!$A$9:$A$550)-ROW(Накл!$A$9)+1),ROW(E492)-ROW(B489)+1)),"")),"")</f>
        <v xml:space="preserve">   </v>
      </c>
    </row>
    <row r="490" spans="1:5">
      <c r="A490" s="26" t="str">
        <f>IFERROR(CONCATENATE(VALUE(SUBSTITUTE(SUBSTITUTE(LEFT(Накл!G497,11),".",""),"-",""))," ",Накл!J497),"-")</f>
        <v>-</v>
      </c>
      <c r="B490" s="26" t="str">
        <f>IFERROR(VLOOKUP(VALUE(LEFT(A490,8)),Накл!$A$9:$D$550,4,0),"-")</f>
        <v>-</v>
      </c>
      <c r="C490" s="26">
        <f>Накл!J497</f>
        <v>0</v>
      </c>
      <c r="D490" s="33" t="str">
        <f t="array" ref="D490">CONCATENATE(IFERROR(INDEX(Накл!$C$9:$C$550,SMALL(IF(Накл!$B$9:$B$550=A490,ROW(Накл!$B$9:$B$550)-ROW(Накл!$B$9)+1),ROW(D490)-ROW(A490)+1)),"")," ",IFERROR(INDEX(Накл!$C$9:$C$550,SMALL(IF(Накл!$B$9:$B$550=A490,ROW(Накл!$B$9:$B$550)-ROW(Накл!$B$9)+1),ROW(D491)-ROW(A490)+1)),"")," ",IFERROR(INDEX(Накл!$C$9:$C$550,SMALL(IF(Накл!$B$9:$B$550=A490,ROW(Накл!$B$9:$B$550)-ROW(Накл!$B$9)+1),ROW(D492)-ROW(A490)+1)),"")," ",IFERROR(INDEX(Накл!$C$9:$C$550,SMALL(IF(Накл!$B$9:$B$550=A490,ROW(Накл!$B$9:$B$550)-ROW(Накл!$B$9)+1),ROW(D493)-ROW(A490)+1)),"")," ",IFERROR(INDEX(Накл!$C$9:$C$550,SMALL(IF(Накл!$B$9:$B$550=A490,ROW(Накл!$B$9:$B$550)-ROW(Накл!$B$9)+1),ROW(D494)-ROW(A490)+1)),"")," ",IFERROR(INDEX(Накл!$C$9:$C$550,SMALL(IF(Накл!$B$9:$B$550=A490,ROW(Накл!$B$9:$B$550)-ROW(Накл!$B$9)+1),ROW(D495)-ROW(A490)+1)),"")," ",IFERROR(INDEX(Накл!$C$9:$C$550,SMALL(IF(Накл!$B$9:$B$550=A490,ROW(Накл!$B$9:$B$550)-ROW(Накл!$B$9)+1),ROW(D496)-ROW(A490)+1)),"")," ",IFERROR(INDEX(Накл!$C$9:$C$550,SMALL(IF(Накл!$B$9:$B$550=A490,ROW(Накл!$B$9:$B$550)-ROW(Накл!$B$9)+1),ROW(D497)-ROW(A490)+1)),"")," ",IFERROR(INDEX(Накл!$C$9:$C$550,SMALL(IF(Накл!$B$9:$B$550=A490,ROW(Накл!$B$9:$B$550)-ROW(Накл!$B$9)+1),ROW(D498)-ROW(A490)+1)),"")," ",IFERROR(INDEX(Накл!$C$9:$C$550,SMALL(IF(Накл!$B$9:$B$550=A490,ROW(Накл!$B$9:$B$550)-ROW(Накл!$B$9)+1),ROW(D499)-ROW(A490)+1)),""))</f>
        <v xml:space="preserve">         </v>
      </c>
      <c r="E490" s="26" t="str">
        <f t="array" ref="E490">IF(LEN(D490)&lt;10,CONCATENATE(IFERROR(INDEX(Накл!$C$9:$C$550,SMALL(IF(Накл!$A$9:$A$550=VALUE(LEFT(A490,8)),ROW(Накл!$A$9:$A$550)-ROW(Накл!$A$9)+1),ROW(E490)-ROW(B490)+1)),"")," ",IFERROR(INDEX(Накл!$C$9:$C$550,SMALL(IF(Накл!$A$9:$A$550=VALUE(LEFT(A490,8)),ROW(Накл!$A$9:$A$550)-ROW(Накл!$A$9)+1),ROW(E491)-ROW(B490)+1)),"")," ",IFERROR(INDEX(Накл!$C$9:$C$550,SMALL(IF(Накл!$A$9:$A$550=VALUE(LEFT(A490,8)),ROW(Накл!$A$9:$A$550)-ROW(Накл!$A$9)+1),ROW(E492)-ROW(B490)+1)),"")," ",IFERROR(INDEX(Накл!$C$9:$C$550,SMALL(IF(Накл!$A$9:$A$550=VALUE(LEFT(A490,8)),ROW(Накл!$A$9:$A$550)-ROW(Накл!$A$9)+1),ROW(E493)-ROW(B490)+1)),"")),"")</f>
        <v xml:space="preserve">   </v>
      </c>
    </row>
    <row r="491" spans="1:5">
      <c r="A491" s="26" t="str">
        <f>IFERROR(CONCATENATE(VALUE(SUBSTITUTE(SUBSTITUTE(LEFT(Накл!G498,11),".",""),"-",""))," ",Накл!J498),"-")</f>
        <v>-</v>
      </c>
      <c r="B491" s="26" t="str">
        <f>IFERROR(VLOOKUP(VALUE(LEFT(A491,8)),Накл!$A$9:$D$550,4,0),"-")</f>
        <v>-</v>
      </c>
      <c r="C491" s="26">
        <f>Накл!J498</f>
        <v>0</v>
      </c>
      <c r="D491" s="33" t="str">
        <f t="array" ref="D491">CONCATENATE(IFERROR(INDEX(Накл!$C$9:$C$550,SMALL(IF(Накл!$B$9:$B$550=A491,ROW(Накл!$B$9:$B$550)-ROW(Накл!$B$9)+1),ROW(D491)-ROW(A491)+1)),"")," ",IFERROR(INDEX(Накл!$C$9:$C$550,SMALL(IF(Накл!$B$9:$B$550=A491,ROW(Накл!$B$9:$B$550)-ROW(Накл!$B$9)+1),ROW(D492)-ROW(A491)+1)),"")," ",IFERROR(INDEX(Накл!$C$9:$C$550,SMALL(IF(Накл!$B$9:$B$550=A491,ROW(Накл!$B$9:$B$550)-ROW(Накл!$B$9)+1),ROW(D493)-ROW(A491)+1)),"")," ",IFERROR(INDEX(Накл!$C$9:$C$550,SMALL(IF(Накл!$B$9:$B$550=A491,ROW(Накл!$B$9:$B$550)-ROW(Накл!$B$9)+1),ROW(D494)-ROW(A491)+1)),"")," ",IFERROR(INDEX(Накл!$C$9:$C$550,SMALL(IF(Накл!$B$9:$B$550=A491,ROW(Накл!$B$9:$B$550)-ROW(Накл!$B$9)+1),ROW(D495)-ROW(A491)+1)),"")," ",IFERROR(INDEX(Накл!$C$9:$C$550,SMALL(IF(Накл!$B$9:$B$550=A491,ROW(Накл!$B$9:$B$550)-ROW(Накл!$B$9)+1),ROW(D496)-ROW(A491)+1)),"")," ",IFERROR(INDEX(Накл!$C$9:$C$550,SMALL(IF(Накл!$B$9:$B$550=A491,ROW(Накл!$B$9:$B$550)-ROW(Накл!$B$9)+1),ROW(D497)-ROW(A491)+1)),"")," ",IFERROR(INDEX(Накл!$C$9:$C$550,SMALL(IF(Накл!$B$9:$B$550=A491,ROW(Накл!$B$9:$B$550)-ROW(Накл!$B$9)+1),ROW(D498)-ROW(A491)+1)),"")," ",IFERROR(INDEX(Накл!$C$9:$C$550,SMALL(IF(Накл!$B$9:$B$550=A491,ROW(Накл!$B$9:$B$550)-ROW(Накл!$B$9)+1),ROW(D499)-ROW(A491)+1)),"")," ",IFERROR(INDEX(Накл!$C$9:$C$550,SMALL(IF(Накл!$B$9:$B$550=A491,ROW(Накл!$B$9:$B$550)-ROW(Накл!$B$9)+1),ROW(D500)-ROW(A491)+1)),""))</f>
        <v xml:space="preserve">         </v>
      </c>
      <c r="E491" s="26" t="str">
        <f t="array" ref="E491">IF(LEN(D491)&lt;10,CONCATENATE(IFERROR(INDEX(Накл!$C$9:$C$550,SMALL(IF(Накл!$A$9:$A$550=VALUE(LEFT(A491,8)),ROW(Накл!$A$9:$A$550)-ROW(Накл!$A$9)+1),ROW(E491)-ROW(B491)+1)),"")," ",IFERROR(INDEX(Накл!$C$9:$C$550,SMALL(IF(Накл!$A$9:$A$550=VALUE(LEFT(A491,8)),ROW(Накл!$A$9:$A$550)-ROW(Накл!$A$9)+1),ROW(E492)-ROW(B491)+1)),"")," ",IFERROR(INDEX(Накл!$C$9:$C$550,SMALL(IF(Накл!$A$9:$A$550=VALUE(LEFT(A491,8)),ROW(Накл!$A$9:$A$550)-ROW(Накл!$A$9)+1),ROW(E493)-ROW(B491)+1)),"")," ",IFERROR(INDEX(Накл!$C$9:$C$550,SMALL(IF(Накл!$A$9:$A$550=VALUE(LEFT(A491,8)),ROW(Накл!$A$9:$A$550)-ROW(Накл!$A$9)+1),ROW(E494)-ROW(B491)+1)),"")),"")</f>
        <v xml:space="preserve">   </v>
      </c>
    </row>
    <row r="492" spans="1:5">
      <c r="A492" s="26" t="str">
        <f>IFERROR(CONCATENATE(VALUE(SUBSTITUTE(SUBSTITUTE(LEFT(Накл!G499,11),".",""),"-",""))," ",Накл!J499),"-")</f>
        <v>-</v>
      </c>
      <c r="B492" s="26" t="str">
        <f>IFERROR(VLOOKUP(VALUE(LEFT(A492,8)),Накл!$A$9:$D$550,4,0),"-")</f>
        <v>-</v>
      </c>
      <c r="C492" s="26">
        <f>Накл!J499</f>
        <v>0</v>
      </c>
      <c r="D492" s="33" t="str">
        <f t="array" ref="D492">CONCATENATE(IFERROR(INDEX(Накл!$C$9:$C$550,SMALL(IF(Накл!$B$9:$B$550=A492,ROW(Накл!$B$9:$B$550)-ROW(Накл!$B$9)+1),ROW(D492)-ROW(A492)+1)),"")," ",IFERROR(INDEX(Накл!$C$9:$C$550,SMALL(IF(Накл!$B$9:$B$550=A492,ROW(Накл!$B$9:$B$550)-ROW(Накл!$B$9)+1),ROW(D493)-ROW(A492)+1)),"")," ",IFERROR(INDEX(Накл!$C$9:$C$550,SMALL(IF(Накл!$B$9:$B$550=A492,ROW(Накл!$B$9:$B$550)-ROW(Накл!$B$9)+1),ROW(D494)-ROW(A492)+1)),"")," ",IFERROR(INDEX(Накл!$C$9:$C$550,SMALL(IF(Накл!$B$9:$B$550=A492,ROW(Накл!$B$9:$B$550)-ROW(Накл!$B$9)+1),ROW(D495)-ROW(A492)+1)),"")," ",IFERROR(INDEX(Накл!$C$9:$C$550,SMALL(IF(Накл!$B$9:$B$550=A492,ROW(Накл!$B$9:$B$550)-ROW(Накл!$B$9)+1),ROW(D496)-ROW(A492)+1)),"")," ",IFERROR(INDEX(Накл!$C$9:$C$550,SMALL(IF(Накл!$B$9:$B$550=A492,ROW(Накл!$B$9:$B$550)-ROW(Накл!$B$9)+1),ROW(D497)-ROW(A492)+1)),"")," ",IFERROR(INDEX(Накл!$C$9:$C$550,SMALL(IF(Накл!$B$9:$B$550=A492,ROW(Накл!$B$9:$B$550)-ROW(Накл!$B$9)+1),ROW(D498)-ROW(A492)+1)),"")," ",IFERROR(INDEX(Накл!$C$9:$C$550,SMALL(IF(Накл!$B$9:$B$550=A492,ROW(Накл!$B$9:$B$550)-ROW(Накл!$B$9)+1),ROW(D499)-ROW(A492)+1)),"")," ",IFERROR(INDEX(Накл!$C$9:$C$550,SMALL(IF(Накл!$B$9:$B$550=A492,ROW(Накл!$B$9:$B$550)-ROW(Накл!$B$9)+1),ROW(D500)-ROW(A492)+1)),"")," ",IFERROR(INDEX(Накл!$C$9:$C$550,SMALL(IF(Накл!$B$9:$B$550=A492,ROW(Накл!$B$9:$B$550)-ROW(Накл!$B$9)+1),ROW(D501)-ROW(A492)+1)),""))</f>
        <v xml:space="preserve">         </v>
      </c>
      <c r="E492" s="26" t="str">
        <f t="array" ref="E492">IF(LEN(D492)&lt;10,CONCATENATE(IFERROR(INDEX(Накл!$C$9:$C$550,SMALL(IF(Накл!$A$9:$A$550=VALUE(LEFT(A492,8)),ROW(Накл!$A$9:$A$550)-ROW(Накл!$A$9)+1),ROW(E492)-ROW(B492)+1)),"")," ",IFERROR(INDEX(Накл!$C$9:$C$550,SMALL(IF(Накл!$A$9:$A$550=VALUE(LEFT(A492,8)),ROW(Накл!$A$9:$A$550)-ROW(Накл!$A$9)+1),ROW(E493)-ROW(B492)+1)),"")," ",IFERROR(INDEX(Накл!$C$9:$C$550,SMALL(IF(Накл!$A$9:$A$550=VALUE(LEFT(A492,8)),ROW(Накл!$A$9:$A$550)-ROW(Накл!$A$9)+1),ROW(E494)-ROW(B492)+1)),"")," ",IFERROR(INDEX(Накл!$C$9:$C$550,SMALL(IF(Накл!$A$9:$A$550=VALUE(LEFT(A492,8)),ROW(Накл!$A$9:$A$550)-ROW(Накл!$A$9)+1),ROW(E495)-ROW(B492)+1)),"")),"")</f>
        <v xml:space="preserve">   </v>
      </c>
    </row>
    <row r="493" spans="1:5">
      <c r="A493" s="26" t="str">
        <f>IFERROR(CONCATENATE(VALUE(SUBSTITUTE(SUBSTITUTE(LEFT(Накл!G500,11),".",""),"-",""))," ",Накл!J500),"-")</f>
        <v>-</v>
      </c>
      <c r="B493" s="26" t="str">
        <f>IFERROR(VLOOKUP(VALUE(LEFT(A493,8)),Накл!$A$9:$D$550,4,0),"-")</f>
        <v>-</v>
      </c>
      <c r="C493" s="26">
        <f>Накл!J500</f>
        <v>0</v>
      </c>
      <c r="D493" s="33" t="str">
        <f t="array" ref="D493">CONCATENATE(IFERROR(INDEX(Накл!$C$9:$C$550,SMALL(IF(Накл!$B$9:$B$550=A493,ROW(Накл!$B$9:$B$550)-ROW(Накл!$B$9)+1),ROW(D493)-ROW(A493)+1)),"")," ",IFERROR(INDEX(Накл!$C$9:$C$550,SMALL(IF(Накл!$B$9:$B$550=A493,ROW(Накл!$B$9:$B$550)-ROW(Накл!$B$9)+1),ROW(D494)-ROW(A493)+1)),"")," ",IFERROR(INDEX(Накл!$C$9:$C$550,SMALL(IF(Накл!$B$9:$B$550=A493,ROW(Накл!$B$9:$B$550)-ROW(Накл!$B$9)+1),ROW(D495)-ROW(A493)+1)),"")," ",IFERROR(INDEX(Накл!$C$9:$C$550,SMALL(IF(Накл!$B$9:$B$550=A493,ROW(Накл!$B$9:$B$550)-ROW(Накл!$B$9)+1),ROW(D496)-ROW(A493)+1)),"")," ",IFERROR(INDEX(Накл!$C$9:$C$550,SMALL(IF(Накл!$B$9:$B$550=A493,ROW(Накл!$B$9:$B$550)-ROW(Накл!$B$9)+1),ROW(D497)-ROW(A493)+1)),"")," ",IFERROR(INDEX(Накл!$C$9:$C$550,SMALL(IF(Накл!$B$9:$B$550=A493,ROW(Накл!$B$9:$B$550)-ROW(Накл!$B$9)+1),ROW(D498)-ROW(A493)+1)),"")," ",IFERROR(INDEX(Накл!$C$9:$C$550,SMALL(IF(Накл!$B$9:$B$550=A493,ROW(Накл!$B$9:$B$550)-ROW(Накл!$B$9)+1),ROW(D499)-ROW(A493)+1)),"")," ",IFERROR(INDEX(Накл!$C$9:$C$550,SMALL(IF(Накл!$B$9:$B$550=A493,ROW(Накл!$B$9:$B$550)-ROW(Накл!$B$9)+1),ROW(D500)-ROW(A493)+1)),"")," ",IFERROR(INDEX(Накл!$C$9:$C$550,SMALL(IF(Накл!$B$9:$B$550=A493,ROW(Накл!$B$9:$B$550)-ROW(Накл!$B$9)+1),ROW(D501)-ROW(A493)+1)),"")," ",IFERROR(INDEX(Накл!$C$9:$C$550,SMALL(IF(Накл!$B$9:$B$550=A493,ROW(Накл!$B$9:$B$550)-ROW(Накл!$B$9)+1),ROW(D502)-ROW(A493)+1)),""))</f>
        <v xml:space="preserve">         </v>
      </c>
      <c r="E493" s="26" t="str">
        <f t="array" ref="E493">IF(LEN(D493)&lt;10,CONCATENATE(IFERROR(INDEX(Накл!$C$9:$C$550,SMALL(IF(Накл!$A$9:$A$550=VALUE(LEFT(A493,8)),ROW(Накл!$A$9:$A$550)-ROW(Накл!$A$9)+1),ROW(E493)-ROW(B493)+1)),"")," ",IFERROR(INDEX(Накл!$C$9:$C$550,SMALL(IF(Накл!$A$9:$A$550=VALUE(LEFT(A493,8)),ROW(Накл!$A$9:$A$550)-ROW(Накл!$A$9)+1),ROW(E494)-ROW(B493)+1)),"")," ",IFERROR(INDEX(Накл!$C$9:$C$550,SMALL(IF(Накл!$A$9:$A$550=VALUE(LEFT(A493,8)),ROW(Накл!$A$9:$A$550)-ROW(Накл!$A$9)+1),ROW(E495)-ROW(B493)+1)),"")," ",IFERROR(INDEX(Накл!$C$9:$C$550,SMALL(IF(Накл!$A$9:$A$550=VALUE(LEFT(A493,8)),ROW(Накл!$A$9:$A$550)-ROW(Накл!$A$9)+1),ROW(E496)-ROW(B493)+1)),"")),"")</f>
        <v xml:space="preserve">   </v>
      </c>
    </row>
    <row r="494" spans="1:5">
      <c r="A494" s="26" t="str">
        <f>IFERROR(CONCATENATE(VALUE(SUBSTITUTE(SUBSTITUTE(LEFT(Накл!G501,11),".",""),"-",""))," ",Накл!J501),"-")</f>
        <v>-</v>
      </c>
      <c r="B494" s="26" t="str">
        <f>IFERROR(VLOOKUP(VALUE(LEFT(A494,8)),Накл!$A$9:$D$550,4,0),"-")</f>
        <v>-</v>
      </c>
      <c r="C494" s="26">
        <f>Накл!J501</f>
        <v>0</v>
      </c>
      <c r="D494" s="33" t="str">
        <f t="array" ref="D494">CONCATENATE(IFERROR(INDEX(Накл!$C$9:$C$550,SMALL(IF(Накл!$B$9:$B$550=A494,ROW(Накл!$B$9:$B$550)-ROW(Накл!$B$9)+1),ROW(D494)-ROW(A494)+1)),"")," ",IFERROR(INDEX(Накл!$C$9:$C$550,SMALL(IF(Накл!$B$9:$B$550=A494,ROW(Накл!$B$9:$B$550)-ROW(Накл!$B$9)+1),ROW(D495)-ROW(A494)+1)),"")," ",IFERROR(INDEX(Накл!$C$9:$C$550,SMALL(IF(Накл!$B$9:$B$550=A494,ROW(Накл!$B$9:$B$550)-ROW(Накл!$B$9)+1),ROW(D496)-ROW(A494)+1)),"")," ",IFERROR(INDEX(Накл!$C$9:$C$550,SMALL(IF(Накл!$B$9:$B$550=A494,ROW(Накл!$B$9:$B$550)-ROW(Накл!$B$9)+1),ROW(D497)-ROW(A494)+1)),"")," ",IFERROR(INDEX(Накл!$C$9:$C$550,SMALL(IF(Накл!$B$9:$B$550=A494,ROW(Накл!$B$9:$B$550)-ROW(Накл!$B$9)+1),ROW(D498)-ROW(A494)+1)),"")," ",IFERROR(INDEX(Накл!$C$9:$C$550,SMALL(IF(Накл!$B$9:$B$550=A494,ROW(Накл!$B$9:$B$550)-ROW(Накл!$B$9)+1),ROW(D499)-ROW(A494)+1)),"")," ",IFERROR(INDEX(Накл!$C$9:$C$550,SMALL(IF(Накл!$B$9:$B$550=A494,ROW(Накл!$B$9:$B$550)-ROW(Накл!$B$9)+1),ROW(D500)-ROW(A494)+1)),"")," ",IFERROR(INDEX(Накл!$C$9:$C$550,SMALL(IF(Накл!$B$9:$B$550=A494,ROW(Накл!$B$9:$B$550)-ROW(Накл!$B$9)+1),ROW(D501)-ROW(A494)+1)),"")," ",IFERROR(INDEX(Накл!$C$9:$C$550,SMALL(IF(Накл!$B$9:$B$550=A494,ROW(Накл!$B$9:$B$550)-ROW(Накл!$B$9)+1),ROW(D502)-ROW(A494)+1)),"")," ",IFERROR(INDEX(Накл!$C$9:$C$550,SMALL(IF(Накл!$B$9:$B$550=A494,ROW(Накл!$B$9:$B$550)-ROW(Накл!$B$9)+1),ROW(D503)-ROW(A494)+1)),""))</f>
        <v xml:space="preserve">         </v>
      </c>
      <c r="E494" s="26" t="str">
        <f t="array" ref="E494">IF(LEN(D494)&lt;10,CONCATENATE(IFERROR(INDEX(Накл!$C$9:$C$550,SMALL(IF(Накл!$A$9:$A$550=VALUE(LEFT(A494,8)),ROW(Накл!$A$9:$A$550)-ROW(Накл!$A$9)+1),ROW(E494)-ROW(B494)+1)),"")," ",IFERROR(INDEX(Накл!$C$9:$C$550,SMALL(IF(Накл!$A$9:$A$550=VALUE(LEFT(A494,8)),ROW(Накл!$A$9:$A$550)-ROW(Накл!$A$9)+1),ROW(E495)-ROW(B494)+1)),"")," ",IFERROR(INDEX(Накл!$C$9:$C$550,SMALL(IF(Накл!$A$9:$A$550=VALUE(LEFT(A494,8)),ROW(Накл!$A$9:$A$550)-ROW(Накл!$A$9)+1),ROW(E496)-ROW(B494)+1)),"")," ",IFERROR(INDEX(Накл!$C$9:$C$550,SMALL(IF(Накл!$A$9:$A$550=VALUE(LEFT(A494,8)),ROW(Накл!$A$9:$A$550)-ROW(Накл!$A$9)+1),ROW(E497)-ROW(B494)+1)),"")),"")</f>
        <v xml:space="preserve">   </v>
      </c>
    </row>
    <row r="495" spans="1:5">
      <c r="A495" s="26" t="str">
        <f>IFERROR(CONCATENATE(VALUE(SUBSTITUTE(SUBSTITUTE(LEFT(Накл!G502,11),".",""),"-",""))," ",Накл!J502),"-")</f>
        <v>-</v>
      </c>
      <c r="B495" s="26" t="str">
        <f>IFERROR(VLOOKUP(VALUE(LEFT(A495,8)),Накл!$A$9:$D$550,4,0),"-")</f>
        <v>-</v>
      </c>
      <c r="C495" s="26">
        <f>Накл!J502</f>
        <v>0</v>
      </c>
      <c r="D495" s="33" t="str">
        <f t="array" ref="D495">CONCATENATE(IFERROR(INDEX(Накл!$C$9:$C$550,SMALL(IF(Накл!$B$9:$B$550=A495,ROW(Накл!$B$9:$B$550)-ROW(Накл!$B$9)+1),ROW(D495)-ROW(A495)+1)),"")," ",IFERROR(INDEX(Накл!$C$9:$C$550,SMALL(IF(Накл!$B$9:$B$550=A495,ROW(Накл!$B$9:$B$550)-ROW(Накл!$B$9)+1),ROW(D496)-ROW(A495)+1)),"")," ",IFERROR(INDEX(Накл!$C$9:$C$550,SMALL(IF(Накл!$B$9:$B$550=A495,ROW(Накл!$B$9:$B$550)-ROW(Накл!$B$9)+1),ROW(D497)-ROW(A495)+1)),"")," ",IFERROR(INDEX(Накл!$C$9:$C$550,SMALL(IF(Накл!$B$9:$B$550=A495,ROW(Накл!$B$9:$B$550)-ROW(Накл!$B$9)+1),ROW(D498)-ROW(A495)+1)),"")," ",IFERROR(INDEX(Накл!$C$9:$C$550,SMALL(IF(Накл!$B$9:$B$550=A495,ROW(Накл!$B$9:$B$550)-ROW(Накл!$B$9)+1),ROW(D499)-ROW(A495)+1)),"")," ",IFERROR(INDEX(Накл!$C$9:$C$550,SMALL(IF(Накл!$B$9:$B$550=A495,ROW(Накл!$B$9:$B$550)-ROW(Накл!$B$9)+1),ROW(D500)-ROW(A495)+1)),"")," ",IFERROR(INDEX(Накл!$C$9:$C$550,SMALL(IF(Накл!$B$9:$B$550=A495,ROW(Накл!$B$9:$B$550)-ROW(Накл!$B$9)+1),ROW(D501)-ROW(A495)+1)),"")," ",IFERROR(INDEX(Накл!$C$9:$C$550,SMALL(IF(Накл!$B$9:$B$550=A495,ROW(Накл!$B$9:$B$550)-ROW(Накл!$B$9)+1),ROW(D502)-ROW(A495)+1)),"")," ",IFERROR(INDEX(Накл!$C$9:$C$550,SMALL(IF(Накл!$B$9:$B$550=A495,ROW(Накл!$B$9:$B$550)-ROW(Накл!$B$9)+1),ROW(D503)-ROW(A495)+1)),"")," ",IFERROR(INDEX(Накл!$C$9:$C$550,SMALL(IF(Накл!$B$9:$B$550=A495,ROW(Накл!$B$9:$B$550)-ROW(Накл!$B$9)+1),ROW(D504)-ROW(A495)+1)),""))</f>
        <v xml:space="preserve">         </v>
      </c>
      <c r="E495" s="26" t="str">
        <f t="array" ref="E495">IF(LEN(D495)&lt;10,CONCATENATE(IFERROR(INDEX(Накл!$C$9:$C$550,SMALL(IF(Накл!$A$9:$A$550=VALUE(LEFT(A495,8)),ROW(Накл!$A$9:$A$550)-ROW(Накл!$A$9)+1),ROW(E495)-ROW(B495)+1)),"")," ",IFERROR(INDEX(Накл!$C$9:$C$550,SMALL(IF(Накл!$A$9:$A$550=VALUE(LEFT(A495,8)),ROW(Накл!$A$9:$A$550)-ROW(Накл!$A$9)+1),ROW(E496)-ROW(B495)+1)),"")," ",IFERROR(INDEX(Накл!$C$9:$C$550,SMALL(IF(Накл!$A$9:$A$550=VALUE(LEFT(A495,8)),ROW(Накл!$A$9:$A$550)-ROW(Накл!$A$9)+1),ROW(E497)-ROW(B495)+1)),"")," ",IFERROR(INDEX(Накл!$C$9:$C$550,SMALL(IF(Накл!$A$9:$A$550=VALUE(LEFT(A495,8)),ROW(Накл!$A$9:$A$550)-ROW(Накл!$A$9)+1),ROW(E498)-ROW(B495)+1)),"")),"")</f>
        <v xml:space="preserve">   </v>
      </c>
    </row>
    <row r="496" spans="1:5">
      <c r="A496" s="26" t="str">
        <f>IFERROR(CONCATENATE(VALUE(SUBSTITUTE(SUBSTITUTE(LEFT(Накл!G503,11),".",""),"-",""))," ",Накл!J503),"-")</f>
        <v>-</v>
      </c>
      <c r="B496" s="26" t="str">
        <f>IFERROR(VLOOKUP(VALUE(LEFT(A496,8)),Накл!$A$9:$D$550,4,0),"-")</f>
        <v>-</v>
      </c>
      <c r="C496" s="26">
        <f>Накл!J503</f>
        <v>0</v>
      </c>
      <c r="D496" s="33" t="str">
        <f t="array" ref="D496">CONCATENATE(IFERROR(INDEX(Накл!$C$9:$C$550,SMALL(IF(Накл!$B$9:$B$550=A496,ROW(Накл!$B$9:$B$550)-ROW(Накл!$B$9)+1),ROW(D496)-ROW(A496)+1)),"")," ",IFERROR(INDEX(Накл!$C$9:$C$550,SMALL(IF(Накл!$B$9:$B$550=A496,ROW(Накл!$B$9:$B$550)-ROW(Накл!$B$9)+1),ROW(D497)-ROW(A496)+1)),"")," ",IFERROR(INDEX(Накл!$C$9:$C$550,SMALL(IF(Накл!$B$9:$B$550=A496,ROW(Накл!$B$9:$B$550)-ROW(Накл!$B$9)+1),ROW(D498)-ROW(A496)+1)),"")," ",IFERROR(INDEX(Накл!$C$9:$C$550,SMALL(IF(Накл!$B$9:$B$550=A496,ROW(Накл!$B$9:$B$550)-ROW(Накл!$B$9)+1),ROW(D499)-ROW(A496)+1)),"")," ",IFERROR(INDEX(Накл!$C$9:$C$550,SMALL(IF(Накл!$B$9:$B$550=A496,ROW(Накл!$B$9:$B$550)-ROW(Накл!$B$9)+1),ROW(D500)-ROW(A496)+1)),"")," ",IFERROR(INDEX(Накл!$C$9:$C$550,SMALL(IF(Накл!$B$9:$B$550=A496,ROW(Накл!$B$9:$B$550)-ROW(Накл!$B$9)+1),ROW(D501)-ROW(A496)+1)),"")," ",IFERROR(INDEX(Накл!$C$9:$C$550,SMALL(IF(Накл!$B$9:$B$550=A496,ROW(Накл!$B$9:$B$550)-ROW(Накл!$B$9)+1),ROW(D502)-ROW(A496)+1)),"")," ",IFERROR(INDEX(Накл!$C$9:$C$550,SMALL(IF(Накл!$B$9:$B$550=A496,ROW(Накл!$B$9:$B$550)-ROW(Накл!$B$9)+1),ROW(D503)-ROW(A496)+1)),"")," ",IFERROR(INDEX(Накл!$C$9:$C$550,SMALL(IF(Накл!$B$9:$B$550=A496,ROW(Накл!$B$9:$B$550)-ROW(Накл!$B$9)+1),ROW(D504)-ROW(A496)+1)),"")," ",IFERROR(INDEX(Накл!$C$9:$C$550,SMALL(IF(Накл!$B$9:$B$550=A496,ROW(Накл!$B$9:$B$550)-ROW(Накл!$B$9)+1),ROW(D505)-ROW(A496)+1)),""))</f>
        <v xml:space="preserve">         </v>
      </c>
      <c r="E496" s="26" t="str">
        <f t="array" ref="E496">IF(LEN(D496)&lt;10,CONCATENATE(IFERROR(INDEX(Накл!$C$9:$C$550,SMALL(IF(Накл!$A$9:$A$550=VALUE(LEFT(A496,8)),ROW(Накл!$A$9:$A$550)-ROW(Накл!$A$9)+1),ROW(E496)-ROW(B496)+1)),"")," ",IFERROR(INDEX(Накл!$C$9:$C$550,SMALL(IF(Накл!$A$9:$A$550=VALUE(LEFT(A496,8)),ROW(Накл!$A$9:$A$550)-ROW(Накл!$A$9)+1),ROW(E497)-ROW(B496)+1)),"")," ",IFERROR(INDEX(Накл!$C$9:$C$550,SMALL(IF(Накл!$A$9:$A$550=VALUE(LEFT(A496,8)),ROW(Накл!$A$9:$A$550)-ROW(Накл!$A$9)+1),ROW(E498)-ROW(B496)+1)),"")," ",IFERROR(INDEX(Накл!$C$9:$C$550,SMALL(IF(Накл!$A$9:$A$550=VALUE(LEFT(A496,8)),ROW(Накл!$A$9:$A$550)-ROW(Накл!$A$9)+1),ROW(E499)-ROW(B496)+1)),"")),"")</f>
        <v xml:space="preserve">   </v>
      </c>
    </row>
    <row r="497" spans="1:5">
      <c r="A497" s="26" t="str">
        <f>IFERROR(CONCATENATE(VALUE(SUBSTITUTE(SUBSTITUTE(LEFT(Накл!G504,11),".",""),"-",""))," ",Накл!J504),"-")</f>
        <v>-</v>
      </c>
      <c r="B497" s="26" t="str">
        <f>IFERROR(VLOOKUP(VALUE(LEFT(A497,8)),Накл!$A$9:$D$550,4,0),"-")</f>
        <v>-</v>
      </c>
      <c r="C497" s="26">
        <f>Накл!J504</f>
        <v>0</v>
      </c>
      <c r="D497" s="33" t="str">
        <f t="array" ref="D497">CONCATENATE(IFERROR(INDEX(Накл!$C$9:$C$550,SMALL(IF(Накл!$B$9:$B$550=A497,ROW(Накл!$B$9:$B$550)-ROW(Накл!$B$9)+1),ROW(D497)-ROW(A497)+1)),"")," ",IFERROR(INDEX(Накл!$C$9:$C$550,SMALL(IF(Накл!$B$9:$B$550=A497,ROW(Накл!$B$9:$B$550)-ROW(Накл!$B$9)+1),ROW(D498)-ROW(A497)+1)),"")," ",IFERROR(INDEX(Накл!$C$9:$C$550,SMALL(IF(Накл!$B$9:$B$550=A497,ROW(Накл!$B$9:$B$550)-ROW(Накл!$B$9)+1),ROW(D499)-ROW(A497)+1)),"")," ",IFERROR(INDEX(Накл!$C$9:$C$550,SMALL(IF(Накл!$B$9:$B$550=A497,ROW(Накл!$B$9:$B$550)-ROW(Накл!$B$9)+1),ROW(D500)-ROW(A497)+1)),"")," ",IFERROR(INDEX(Накл!$C$9:$C$550,SMALL(IF(Накл!$B$9:$B$550=A497,ROW(Накл!$B$9:$B$550)-ROW(Накл!$B$9)+1),ROW(D501)-ROW(A497)+1)),"")," ",IFERROR(INDEX(Накл!$C$9:$C$550,SMALL(IF(Накл!$B$9:$B$550=A497,ROW(Накл!$B$9:$B$550)-ROW(Накл!$B$9)+1),ROW(D502)-ROW(A497)+1)),"")," ",IFERROR(INDEX(Накл!$C$9:$C$550,SMALL(IF(Накл!$B$9:$B$550=A497,ROW(Накл!$B$9:$B$550)-ROW(Накл!$B$9)+1),ROW(D503)-ROW(A497)+1)),"")," ",IFERROR(INDEX(Накл!$C$9:$C$550,SMALL(IF(Накл!$B$9:$B$550=A497,ROW(Накл!$B$9:$B$550)-ROW(Накл!$B$9)+1),ROW(D504)-ROW(A497)+1)),"")," ",IFERROR(INDEX(Накл!$C$9:$C$550,SMALL(IF(Накл!$B$9:$B$550=A497,ROW(Накл!$B$9:$B$550)-ROW(Накл!$B$9)+1),ROW(D505)-ROW(A497)+1)),"")," ",IFERROR(INDEX(Накл!$C$9:$C$550,SMALL(IF(Накл!$B$9:$B$550=A497,ROW(Накл!$B$9:$B$550)-ROW(Накл!$B$9)+1),ROW(D506)-ROW(A497)+1)),""))</f>
        <v xml:space="preserve">         </v>
      </c>
      <c r="E497" s="26" t="str">
        <f t="array" ref="E497">IF(LEN(D497)&lt;10,CONCATENATE(IFERROR(INDEX(Накл!$C$9:$C$550,SMALL(IF(Накл!$A$9:$A$550=VALUE(LEFT(A497,8)),ROW(Накл!$A$9:$A$550)-ROW(Накл!$A$9)+1),ROW(E497)-ROW(B497)+1)),"")," ",IFERROR(INDEX(Накл!$C$9:$C$550,SMALL(IF(Накл!$A$9:$A$550=VALUE(LEFT(A497,8)),ROW(Накл!$A$9:$A$550)-ROW(Накл!$A$9)+1),ROW(E498)-ROW(B497)+1)),"")," ",IFERROR(INDEX(Накл!$C$9:$C$550,SMALL(IF(Накл!$A$9:$A$550=VALUE(LEFT(A497,8)),ROW(Накл!$A$9:$A$550)-ROW(Накл!$A$9)+1),ROW(E499)-ROW(B497)+1)),"")," ",IFERROR(INDEX(Накл!$C$9:$C$550,SMALL(IF(Накл!$A$9:$A$550=VALUE(LEFT(A497,8)),ROW(Накл!$A$9:$A$550)-ROW(Накл!$A$9)+1),ROW(E500)-ROW(B497)+1)),"")),"")</f>
        <v xml:space="preserve">   </v>
      </c>
    </row>
    <row r="498" spans="1:5">
      <c r="A498" s="26" t="str">
        <f>IFERROR(CONCATENATE(VALUE(SUBSTITUTE(SUBSTITUTE(LEFT(Накл!G505,11),".",""),"-",""))," ",Накл!J505),"-")</f>
        <v>-</v>
      </c>
      <c r="B498" s="26" t="str">
        <f>IFERROR(VLOOKUP(VALUE(LEFT(A498,8)),Накл!$A$9:$D$550,4,0),"-")</f>
        <v>-</v>
      </c>
      <c r="C498" s="26">
        <f>Накл!J505</f>
        <v>0</v>
      </c>
      <c r="D498" s="33" t="str">
        <f t="array" ref="D498">CONCATENATE(IFERROR(INDEX(Накл!$C$9:$C$550,SMALL(IF(Накл!$B$9:$B$550=A498,ROW(Накл!$B$9:$B$550)-ROW(Накл!$B$9)+1),ROW(D498)-ROW(A498)+1)),"")," ",IFERROR(INDEX(Накл!$C$9:$C$550,SMALL(IF(Накл!$B$9:$B$550=A498,ROW(Накл!$B$9:$B$550)-ROW(Накл!$B$9)+1),ROW(D499)-ROW(A498)+1)),"")," ",IFERROR(INDEX(Накл!$C$9:$C$550,SMALL(IF(Накл!$B$9:$B$550=A498,ROW(Накл!$B$9:$B$550)-ROW(Накл!$B$9)+1),ROW(D500)-ROW(A498)+1)),"")," ",IFERROR(INDEX(Накл!$C$9:$C$550,SMALL(IF(Накл!$B$9:$B$550=A498,ROW(Накл!$B$9:$B$550)-ROW(Накл!$B$9)+1),ROW(D501)-ROW(A498)+1)),"")," ",IFERROR(INDEX(Накл!$C$9:$C$550,SMALL(IF(Накл!$B$9:$B$550=A498,ROW(Накл!$B$9:$B$550)-ROW(Накл!$B$9)+1),ROW(D502)-ROW(A498)+1)),"")," ",IFERROR(INDEX(Накл!$C$9:$C$550,SMALL(IF(Накл!$B$9:$B$550=A498,ROW(Накл!$B$9:$B$550)-ROW(Накл!$B$9)+1),ROW(D503)-ROW(A498)+1)),"")," ",IFERROR(INDEX(Накл!$C$9:$C$550,SMALL(IF(Накл!$B$9:$B$550=A498,ROW(Накл!$B$9:$B$550)-ROW(Накл!$B$9)+1),ROW(D504)-ROW(A498)+1)),"")," ",IFERROR(INDEX(Накл!$C$9:$C$550,SMALL(IF(Накл!$B$9:$B$550=A498,ROW(Накл!$B$9:$B$550)-ROW(Накл!$B$9)+1),ROW(D505)-ROW(A498)+1)),"")," ",IFERROR(INDEX(Накл!$C$9:$C$550,SMALL(IF(Накл!$B$9:$B$550=A498,ROW(Накл!$B$9:$B$550)-ROW(Накл!$B$9)+1),ROW(D506)-ROW(A498)+1)),"")," ",IFERROR(INDEX(Накл!$C$9:$C$550,SMALL(IF(Накл!$B$9:$B$550=A498,ROW(Накл!$B$9:$B$550)-ROW(Накл!$B$9)+1),ROW(D507)-ROW(A498)+1)),""))</f>
        <v xml:space="preserve">         </v>
      </c>
      <c r="E498" s="26" t="str">
        <f t="array" ref="E498">IF(LEN(D498)&lt;10,CONCATENATE(IFERROR(INDEX(Накл!$C$9:$C$550,SMALL(IF(Накл!$A$9:$A$550=VALUE(LEFT(A498,8)),ROW(Накл!$A$9:$A$550)-ROW(Накл!$A$9)+1),ROW(E498)-ROW(B498)+1)),"")," ",IFERROR(INDEX(Накл!$C$9:$C$550,SMALL(IF(Накл!$A$9:$A$550=VALUE(LEFT(A498,8)),ROW(Накл!$A$9:$A$550)-ROW(Накл!$A$9)+1),ROW(E499)-ROW(B498)+1)),"")," ",IFERROR(INDEX(Накл!$C$9:$C$550,SMALL(IF(Накл!$A$9:$A$550=VALUE(LEFT(A498,8)),ROW(Накл!$A$9:$A$550)-ROW(Накл!$A$9)+1),ROW(E500)-ROW(B498)+1)),"")," ",IFERROR(INDEX(Накл!$C$9:$C$550,SMALL(IF(Накл!$A$9:$A$550=VALUE(LEFT(A498,8)),ROW(Накл!$A$9:$A$550)-ROW(Накл!$A$9)+1),ROW(E501)-ROW(B498)+1)),"")),"")</f>
        <v xml:space="preserve">   </v>
      </c>
    </row>
    <row r="499" spans="1:5">
      <c r="A499" s="26" t="str">
        <f>IFERROR(CONCATENATE(VALUE(SUBSTITUTE(SUBSTITUTE(LEFT(Накл!G506,11),".",""),"-",""))," ",Накл!J506),"-")</f>
        <v>-</v>
      </c>
      <c r="B499" s="26" t="str">
        <f>IFERROR(VLOOKUP(VALUE(LEFT(A499,8)),Накл!$A$9:$D$550,4,0),"-")</f>
        <v>-</v>
      </c>
      <c r="C499" s="26">
        <f>Накл!J506</f>
        <v>0</v>
      </c>
      <c r="D499" s="33" t="str">
        <f t="array" ref="D499">CONCATENATE(IFERROR(INDEX(Накл!$C$9:$C$550,SMALL(IF(Накл!$B$9:$B$550=A499,ROW(Накл!$B$9:$B$550)-ROW(Накл!$B$9)+1),ROW(D499)-ROW(A499)+1)),"")," ",IFERROR(INDEX(Накл!$C$9:$C$550,SMALL(IF(Накл!$B$9:$B$550=A499,ROW(Накл!$B$9:$B$550)-ROW(Накл!$B$9)+1),ROW(D500)-ROW(A499)+1)),"")," ",IFERROR(INDEX(Накл!$C$9:$C$550,SMALL(IF(Накл!$B$9:$B$550=A499,ROW(Накл!$B$9:$B$550)-ROW(Накл!$B$9)+1),ROW(D501)-ROW(A499)+1)),"")," ",IFERROR(INDEX(Накл!$C$9:$C$550,SMALL(IF(Накл!$B$9:$B$550=A499,ROW(Накл!$B$9:$B$550)-ROW(Накл!$B$9)+1),ROW(D502)-ROW(A499)+1)),"")," ",IFERROR(INDEX(Накл!$C$9:$C$550,SMALL(IF(Накл!$B$9:$B$550=A499,ROW(Накл!$B$9:$B$550)-ROW(Накл!$B$9)+1),ROW(D503)-ROW(A499)+1)),"")," ",IFERROR(INDEX(Накл!$C$9:$C$550,SMALL(IF(Накл!$B$9:$B$550=A499,ROW(Накл!$B$9:$B$550)-ROW(Накл!$B$9)+1),ROW(D504)-ROW(A499)+1)),"")," ",IFERROR(INDEX(Накл!$C$9:$C$550,SMALL(IF(Накл!$B$9:$B$550=A499,ROW(Накл!$B$9:$B$550)-ROW(Накл!$B$9)+1),ROW(D505)-ROW(A499)+1)),"")," ",IFERROR(INDEX(Накл!$C$9:$C$550,SMALL(IF(Накл!$B$9:$B$550=A499,ROW(Накл!$B$9:$B$550)-ROW(Накл!$B$9)+1),ROW(D506)-ROW(A499)+1)),"")," ",IFERROR(INDEX(Накл!$C$9:$C$550,SMALL(IF(Накл!$B$9:$B$550=A499,ROW(Накл!$B$9:$B$550)-ROW(Накл!$B$9)+1),ROW(D507)-ROW(A499)+1)),"")," ",IFERROR(INDEX(Накл!$C$9:$C$550,SMALL(IF(Накл!$B$9:$B$550=A499,ROW(Накл!$B$9:$B$550)-ROW(Накл!$B$9)+1),ROW(D508)-ROW(A499)+1)),""))</f>
        <v xml:space="preserve">         </v>
      </c>
      <c r="E499" s="26" t="str">
        <f t="array" ref="E499">IF(LEN(D499)&lt;10,CONCATENATE(IFERROR(INDEX(Накл!$C$9:$C$550,SMALL(IF(Накл!$A$9:$A$550=VALUE(LEFT(A499,8)),ROW(Накл!$A$9:$A$550)-ROW(Накл!$A$9)+1),ROW(E499)-ROW(B499)+1)),"")," ",IFERROR(INDEX(Накл!$C$9:$C$550,SMALL(IF(Накл!$A$9:$A$550=VALUE(LEFT(A499,8)),ROW(Накл!$A$9:$A$550)-ROW(Накл!$A$9)+1),ROW(E500)-ROW(B499)+1)),"")," ",IFERROR(INDEX(Накл!$C$9:$C$550,SMALL(IF(Накл!$A$9:$A$550=VALUE(LEFT(A499,8)),ROW(Накл!$A$9:$A$550)-ROW(Накл!$A$9)+1),ROW(E501)-ROW(B499)+1)),"")," ",IFERROR(INDEX(Накл!$C$9:$C$550,SMALL(IF(Накл!$A$9:$A$550=VALUE(LEFT(A499,8)),ROW(Накл!$A$9:$A$550)-ROW(Накл!$A$9)+1),ROW(E502)-ROW(B499)+1)),"")),"")</f>
        <v xml:space="preserve">   </v>
      </c>
    </row>
    <row r="500" spans="1:5">
      <c r="A500" s="26" t="str">
        <f>IFERROR(CONCATENATE(VALUE(SUBSTITUTE(SUBSTITUTE(LEFT(Накл!G507,11),".",""),"-",""))," ",Накл!J507),"-")</f>
        <v>-</v>
      </c>
      <c r="B500" s="26" t="str">
        <f>IFERROR(VLOOKUP(VALUE(LEFT(A500,8)),Накл!$A$9:$D$550,4,0),"-")</f>
        <v>-</v>
      </c>
      <c r="C500" s="26">
        <f>Накл!J507</f>
        <v>0</v>
      </c>
      <c r="D500" s="33" t="str">
        <f t="array" ref="D500">CONCATENATE(IFERROR(INDEX(Накл!$C$9:$C$550,SMALL(IF(Накл!$B$9:$B$550=A500,ROW(Накл!$B$9:$B$550)-ROW(Накл!$B$9)+1),ROW(D500)-ROW(A500)+1)),"")," ",IFERROR(INDEX(Накл!$C$9:$C$550,SMALL(IF(Накл!$B$9:$B$550=A500,ROW(Накл!$B$9:$B$550)-ROW(Накл!$B$9)+1),ROW(D501)-ROW(A500)+1)),"")," ",IFERROR(INDEX(Накл!$C$9:$C$550,SMALL(IF(Накл!$B$9:$B$550=A500,ROW(Накл!$B$9:$B$550)-ROW(Накл!$B$9)+1),ROW(D502)-ROW(A500)+1)),"")," ",IFERROR(INDEX(Накл!$C$9:$C$550,SMALL(IF(Накл!$B$9:$B$550=A500,ROW(Накл!$B$9:$B$550)-ROW(Накл!$B$9)+1),ROW(D503)-ROW(A500)+1)),"")," ",IFERROR(INDEX(Накл!$C$9:$C$550,SMALL(IF(Накл!$B$9:$B$550=A500,ROW(Накл!$B$9:$B$550)-ROW(Накл!$B$9)+1),ROW(D504)-ROW(A500)+1)),"")," ",IFERROR(INDEX(Накл!$C$9:$C$550,SMALL(IF(Накл!$B$9:$B$550=A500,ROW(Накл!$B$9:$B$550)-ROW(Накл!$B$9)+1),ROW(D505)-ROW(A500)+1)),"")," ",IFERROR(INDEX(Накл!$C$9:$C$550,SMALL(IF(Накл!$B$9:$B$550=A500,ROW(Накл!$B$9:$B$550)-ROW(Накл!$B$9)+1),ROW(D506)-ROW(A500)+1)),"")," ",IFERROR(INDEX(Накл!$C$9:$C$550,SMALL(IF(Накл!$B$9:$B$550=A500,ROW(Накл!$B$9:$B$550)-ROW(Накл!$B$9)+1),ROW(D507)-ROW(A500)+1)),"")," ",IFERROR(INDEX(Накл!$C$9:$C$550,SMALL(IF(Накл!$B$9:$B$550=A500,ROW(Накл!$B$9:$B$550)-ROW(Накл!$B$9)+1),ROW(D508)-ROW(A500)+1)),"")," ",IFERROR(INDEX(Накл!$C$9:$C$550,SMALL(IF(Накл!$B$9:$B$550=A500,ROW(Накл!$B$9:$B$550)-ROW(Накл!$B$9)+1),ROW(D509)-ROW(A500)+1)),""))</f>
        <v xml:space="preserve">         </v>
      </c>
      <c r="E500" s="26" t="str">
        <f t="array" ref="E500">IF(LEN(D500)&lt;10,CONCATENATE(IFERROR(INDEX(Накл!$C$9:$C$550,SMALL(IF(Накл!$A$9:$A$550=VALUE(LEFT(A500,8)),ROW(Накл!$A$9:$A$550)-ROW(Накл!$A$9)+1),ROW(E500)-ROW(B500)+1)),"")," ",IFERROR(INDEX(Накл!$C$9:$C$550,SMALL(IF(Накл!$A$9:$A$550=VALUE(LEFT(A500,8)),ROW(Накл!$A$9:$A$550)-ROW(Накл!$A$9)+1),ROW(E501)-ROW(B500)+1)),"")," ",IFERROR(INDEX(Накл!$C$9:$C$550,SMALL(IF(Накл!$A$9:$A$550=VALUE(LEFT(A500,8)),ROW(Накл!$A$9:$A$550)-ROW(Накл!$A$9)+1),ROW(E502)-ROW(B500)+1)),"")," ",IFERROR(INDEX(Накл!$C$9:$C$550,SMALL(IF(Накл!$A$9:$A$550=VALUE(LEFT(A500,8)),ROW(Накл!$A$9:$A$550)-ROW(Накл!$A$9)+1),ROW(E503)-ROW(B500)+1)),"")),"")</f>
        <v xml:space="preserve">   </v>
      </c>
    </row>
    <row r="501" spans="1:5">
      <c r="A501" s="26" t="str">
        <f>IFERROR(CONCATENATE(VALUE(SUBSTITUTE(SUBSTITUTE(LEFT(Накл!G508,11),".",""),"-",""))," ",Накл!J508),"-")</f>
        <v>-</v>
      </c>
      <c r="B501" s="26" t="str">
        <f>IFERROR(VLOOKUP(VALUE(LEFT(A501,8)),Накл!$A$9:$D$550,4,0),"-")</f>
        <v>-</v>
      </c>
      <c r="C501" s="26">
        <f>Накл!J508</f>
        <v>0</v>
      </c>
      <c r="D501" s="33" t="str">
        <f t="array" ref="D501">CONCATENATE(IFERROR(INDEX(Накл!$C$9:$C$550,SMALL(IF(Накл!$B$9:$B$550=A501,ROW(Накл!$B$9:$B$550)-ROW(Накл!$B$9)+1),ROW(D501)-ROW(A501)+1)),"")," ",IFERROR(INDEX(Накл!$C$9:$C$550,SMALL(IF(Накл!$B$9:$B$550=A501,ROW(Накл!$B$9:$B$550)-ROW(Накл!$B$9)+1),ROW(D502)-ROW(A501)+1)),"")," ",IFERROR(INDEX(Накл!$C$9:$C$550,SMALL(IF(Накл!$B$9:$B$550=A501,ROW(Накл!$B$9:$B$550)-ROW(Накл!$B$9)+1),ROW(D503)-ROW(A501)+1)),"")," ",IFERROR(INDEX(Накл!$C$9:$C$550,SMALL(IF(Накл!$B$9:$B$550=A501,ROW(Накл!$B$9:$B$550)-ROW(Накл!$B$9)+1),ROW(D504)-ROW(A501)+1)),"")," ",IFERROR(INDEX(Накл!$C$9:$C$550,SMALL(IF(Накл!$B$9:$B$550=A501,ROW(Накл!$B$9:$B$550)-ROW(Накл!$B$9)+1),ROW(D505)-ROW(A501)+1)),"")," ",IFERROR(INDEX(Накл!$C$9:$C$550,SMALL(IF(Накл!$B$9:$B$550=A501,ROW(Накл!$B$9:$B$550)-ROW(Накл!$B$9)+1),ROW(D506)-ROW(A501)+1)),"")," ",IFERROR(INDEX(Накл!$C$9:$C$550,SMALL(IF(Накл!$B$9:$B$550=A501,ROW(Накл!$B$9:$B$550)-ROW(Накл!$B$9)+1),ROW(D507)-ROW(A501)+1)),"")," ",IFERROR(INDEX(Накл!$C$9:$C$550,SMALL(IF(Накл!$B$9:$B$550=A501,ROW(Накл!$B$9:$B$550)-ROW(Накл!$B$9)+1),ROW(D508)-ROW(A501)+1)),"")," ",IFERROR(INDEX(Накл!$C$9:$C$550,SMALL(IF(Накл!$B$9:$B$550=A501,ROW(Накл!$B$9:$B$550)-ROW(Накл!$B$9)+1),ROW(D509)-ROW(A501)+1)),"")," ",IFERROR(INDEX(Накл!$C$9:$C$550,SMALL(IF(Накл!$B$9:$B$550=A501,ROW(Накл!$B$9:$B$550)-ROW(Накл!$B$9)+1),ROW(D510)-ROW(A501)+1)),""))</f>
        <v xml:space="preserve">         </v>
      </c>
      <c r="E501" s="26" t="str">
        <f t="array" ref="E501">IF(LEN(D501)&lt;10,CONCATENATE(IFERROR(INDEX(Накл!$C$9:$C$550,SMALL(IF(Накл!$A$9:$A$550=VALUE(LEFT(A501,8)),ROW(Накл!$A$9:$A$550)-ROW(Накл!$A$9)+1),ROW(E501)-ROW(B501)+1)),"")," ",IFERROR(INDEX(Накл!$C$9:$C$550,SMALL(IF(Накл!$A$9:$A$550=VALUE(LEFT(A501,8)),ROW(Накл!$A$9:$A$550)-ROW(Накл!$A$9)+1),ROW(E502)-ROW(B501)+1)),"")," ",IFERROR(INDEX(Накл!$C$9:$C$550,SMALL(IF(Накл!$A$9:$A$550=VALUE(LEFT(A501,8)),ROW(Накл!$A$9:$A$550)-ROW(Накл!$A$9)+1),ROW(E503)-ROW(B501)+1)),"")," ",IFERROR(INDEX(Накл!$C$9:$C$550,SMALL(IF(Накл!$A$9:$A$550=VALUE(LEFT(A501,8)),ROW(Накл!$A$9:$A$550)-ROW(Накл!$A$9)+1),ROW(E504)-ROW(B501)+1)),"")),"")</f>
        <v xml:space="preserve">   </v>
      </c>
    </row>
    <row r="502" spans="1:5">
      <c r="A502" s="26" t="str">
        <f>IFERROR(CONCATENATE(VALUE(SUBSTITUTE(SUBSTITUTE(LEFT(Накл!G509,11),".",""),"-",""))," ",Накл!J509),"-")</f>
        <v>-</v>
      </c>
      <c r="B502" s="26" t="str">
        <f>IFERROR(VLOOKUP(VALUE(LEFT(A502,8)),Накл!$A$9:$D$550,4,0),"-")</f>
        <v>-</v>
      </c>
      <c r="C502" s="26">
        <f>Накл!J509</f>
        <v>0</v>
      </c>
      <c r="D502" s="33" t="str">
        <f t="array" ref="D502">CONCATENATE(IFERROR(INDEX(Накл!$C$9:$C$550,SMALL(IF(Накл!$B$9:$B$550=A502,ROW(Накл!$B$9:$B$550)-ROW(Накл!$B$9)+1),ROW(D502)-ROW(A502)+1)),"")," ",IFERROR(INDEX(Накл!$C$9:$C$550,SMALL(IF(Накл!$B$9:$B$550=A502,ROW(Накл!$B$9:$B$550)-ROW(Накл!$B$9)+1),ROW(D503)-ROW(A502)+1)),"")," ",IFERROR(INDEX(Накл!$C$9:$C$550,SMALL(IF(Накл!$B$9:$B$550=A502,ROW(Накл!$B$9:$B$550)-ROW(Накл!$B$9)+1),ROW(D504)-ROW(A502)+1)),"")," ",IFERROR(INDEX(Накл!$C$9:$C$550,SMALL(IF(Накл!$B$9:$B$550=A502,ROW(Накл!$B$9:$B$550)-ROW(Накл!$B$9)+1),ROW(D505)-ROW(A502)+1)),"")," ",IFERROR(INDEX(Накл!$C$9:$C$550,SMALL(IF(Накл!$B$9:$B$550=A502,ROW(Накл!$B$9:$B$550)-ROW(Накл!$B$9)+1),ROW(D506)-ROW(A502)+1)),"")," ",IFERROR(INDEX(Накл!$C$9:$C$550,SMALL(IF(Накл!$B$9:$B$550=A502,ROW(Накл!$B$9:$B$550)-ROW(Накл!$B$9)+1),ROW(D507)-ROW(A502)+1)),"")," ",IFERROR(INDEX(Накл!$C$9:$C$550,SMALL(IF(Накл!$B$9:$B$550=A502,ROW(Накл!$B$9:$B$550)-ROW(Накл!$B$9)+1),ROW(D508)-ROW(A502)+1)),"")," ",IFERROR(INDEX(Накл!$C$9:$C$550,SMALL(IF(Накл!$B$9:$B$550=A502,ROW(Накл!$B$9:$B$550)-ROW(Накл!$B$9)+1),ROW(D509)-ROW(A502)+1)),"")," ",IFERROR(INDEX(Накл!$C$9:$C$550,SMALL(IF(Накл!$B$9:$B$550=A502,ROW(Накл!$B$9:$B$550)-ROW(Накл!$B$9)+1),ROW(D510)-ROW(A502)+1)),"")," ",IFERROR(INDEX(Накл!$C$9:$C$550,SMALL(IF(Накл!$B$9:$B$550=A502,ROW(Накл!$B$9:$B$550)-ROW(Накл!$B$9)+1),ROW(D511)-ROW(A502)+1)),""))</f>
        <v xml:space="preserve">         </v>
      </c>
      <c r="E502" s="26" t="str">
        <f t="array" ref="E502">IF(LEN(D502)&lt;10,CONCATENATE(IFERROR(INDEX(Накл!$C$9:$C$550,SMALL(IF(Накл!$A$9:$A$550=VALUE(LEFT(A502,8)),ROW(Накл!$A$9:$A$550)-ROW(Накл!$A$9)+1),ROW(E502)-ROW(B502)+1)),"")," ",IFERROR(INDEX(Накл!$C$9:$C$550,SMALL(IF(Накл!$A$9:$A$550=VALUE(LEFT(A502,8)),ROW(Накл!$A$9:$A$550)-ROW(Накл!$A$9)+1),ROW(E503)-ROW(B502)+1)),"")," ",IFERROR(INDEX(Накл!$C$9:$C$550,SMALL(IF(Накл!$A$9:$A$550=VALUE(LEFT(A502,8)),ROW(Накл!$A$9:$A$550)-ROW(Накл!$A$9)+1),ROW(E504)-ROW(B502)+1)),"")," ",IFERROR(INDEX(Накл!$C$9:$C$550,SMALL(IF(Накл!$A$9:$A$550=VALUE(LEFT(A502,8)),ROW(Накл!$A$9:$A$550)-ROW(Накл!$A$9)+1),ROW(E505)-ROW(B502)+1)),"")),"")</f>
        <v xml:space="preserve">   </v>
      </c>
    </row>
    <row r="503" spans="1:5">
      <c r="A503" s="26" t="str">
        <f>IFERROR(CONCATENATE(VALUE(SUBSTITUTE(SUBSTITUTE(LEFT(Накл!G510,11),".",""),"-",""))," ",Накл!J510),"-")</f>
        <v>-</v>
      </c>
      <c r="B503" s="26" t="str">
        <f>IFERROR(VLOOKUP(VALUE(LEFT(A503,8)),Накл!$A$9:$D$550,4,0),"-")</f>
        <v>-</v>
      </c>
      <c r="C503" s="26">
        <f>Накл!J510</f>
        <v>0</v>
      </c>
      <c r="D503" s="33" t="str">
        <f t="array" ref="D503">CONCATENATE(IFERROR(INDEX(Накл!$C$9:$C$550,SMALL(IF(Накл!$B$9:$B$550=A503,ROW(Накл!$B$9:$B$550)-ROW(Накл!$B$9)+1),ROW(D503)-ROW(A503)+1)),"")," ",IFERROR(INDEX(Накл!$C$9:$C$550,SMALL(IF(Накл!$B$9:$B$550=A503,ROW(Накл!$B$9:$B$550)-ROW(Накл!$B$9)+1),ROW(D504)-ROW(A503)+1)),"")," ",IFERROR(INDEX(Накл!$C$9:$C$550,SMALL(IF(Накл!$B$9:$B$550=A503,ROW(Накл!$B$9:$B$550)-ROW(Накл!$B$9)+1),ROW(D505)-ROW(A503)+1)),"")," ",IFERROR(INDEX(Накл!$C$9:$C$550,SMALL(IF(Накл!$B$9:$B$550=A503,ROW(Накл!$B$9:$B$550)-ROW(Накл!$B$9)+1),ROW(D506)-ROW(A503)+1)),"")," ",IFERROR(INDEX(Накл!$C$9:$C$550,SMALL(IF(Накл!$B$9:$B$550=A503,ROW(Накл!$B$9:$B$550)-ROW(Накл!$B$9)+1),ROW(D507)-ROW(A503)+1)),"")," ",IFERROR(INDEX(Накл!$C$9:$C$550,SMALL(IF(Накл!$B$9:$B$550=A503,ROW(Накл!$B$9:$B$550)-ROW(Накл!$B$9)+1),ROW(D508)-ROW(A503)+1)),"")," ",IFERROR(INDEX(Накл!$C$9:$C$550,SMALL(IF(Накл!$B$9:$B$550=A503,ROW(Накл!$B$9:$B$550)-ROW(Накл!$B$9)+1),ROW(D509)-ROW(A503)+1)),"")," ",IFERROR(INDEX(Накл!$C$9:$C$550,SMALL(IF(Накл!$B$9:$B$550=A503,ROW(Накл!$B$9:$B$550)-ROW(Накл!$B$9)+1),ROW(D510)-ROW(A503)+1)),"")," ",IFERROR(INDEX(Накл!$C$9:$C$550,SMALL(IF(Накл!$B$9:$B$550=A503,ROW(Накл!$B$9:$B$550)-ROW(Накл!$B$9)+1),ROW(D511)-ROW(A503)+1)),"")," ",IFERROR(INDEX(Накл!$C$9:$C$550,SMALL(IF(Накл!$B$9:$B$550=A503,ROW(Накл!$B$9:$B$550)-ROW(Накл!$B$9)+1),ROW(D512)-ROW(A503)+1)),""))</f>
        <v xml:space="preserve">         </v>
      </c>
      <c r="E503" s="26" t="str">
        <f t="array" ref="E503">IF(LEN(D503)&lt;10,CONCATENATE(IFERROR(INDEX(Накл!$C$9:$C$550,SMALL(IF(Накл!$A$9:$A$550=VALUE(LEFT(A503,8)),ROW(Накл!$A$9:$A$550)-ROW(Накл!$A$9)+1),ROW(E503)-ROW(B503)+1)),"")," ",IFERROR(INDEX(Накл!$C$9:$C$550,SMALL(IF(Накл!$A$9:$A$550=VALUE(LEFT(A503,8)),ROW(Накл!$A$9:$A$550)-ROW(Накл!$A$9)+1),ROW(E504)-ROW(B503)+1)),"")," ",IFERROR(INDEX(Накл!$C$9:$C$550,SMALL(IF(Накл!$A$9:$A$550=VALUE(LEFT(A503,8)),ROW(Накл!$A$9:$A$550)-ROW(Накл!$A$9)+1),ROW(E505)-ROW(B503)+1)),"")," ",IFERROR(INDEX(Накл!$C$9:$C$550,SMALL(IF(Накл!$A$9:$A$550=VALUE(LEFT(A503,8)),ROW(Накл!$A$9:$A$550)-ROW(Накл!$A$9)+1),ROW(E506)-ROW(B503)+1)),"")),"")</f>
        <v xml:space="preserve">   </v>
      </c>
    </row>
    <row r="504" spans="1:5">
      <c r="A504" s="26" t="str">
        <f>IFERROR(CONCATENATE(VALUE(SUBSTITUTE(SUBSTITUTE(LEFT(Накл!G511,11),".",""),"-",""))," ",Накл!J511),"-")</f>
        <v>-</v>
      </c>
      <c r="B504" s="26" t="str">
        <f>IFERROR(VLOOKUP(VALUE(LEFT(A504,8)),Накл!$A$9:$D$550,4,0),"-")</f>
        <v>-</v>
      </c>
      <c r="C504" s="26">
        <f>Накл!J511</f>
        <v>0</v>
      </c>
      <c r="D504" s="33" t="str">
        <f t="array" ref="D504">CONCATENATE(IFERROR(INDEX(Накл!$C$9:$C$550,SMALL(IF(Накл!$B$9:$B$550=A504,ROW(Накл!$B$9:$B$550)-ROW(Накл!$B$9)+1),ROW(D504)-ROW(A504)+1)),"")," ",IFERROR(INDEX(Накл!$C$9:$C$550,SMALL(IF(Накл!$B$9:$B$550=A504,ROW(Накл!$B$9:$B$550)-ROW(Накл!$B$9)+1),ROW(D505)-ROW(A504)+1)),"")," ",IFERROR(INDEX(Накл!$C$9:$C$550,SMALL(IF(Накл!$B$9:$B$550=A504,ROW(Накл!$B$9:$B$550)-ROW(Накл!$B$9)+1),ROW(D506)-ROW(A504)+1)),"")," ",IFERROR(INDEX(Накл!$C$9:$C$550,SMALL(IF(Накл!$B$9:$B$550=A504,ROW(Накл!$B$9:$B$550)-ROW(Накл!$B$9)+1),ROW(D507)-ROW(A504)+1)),"")," ",IFERROR(INDEX(Накл!$C$9:$C$550,SMALL(IF(Накл!$B$9:$B$550=A504,ROW(Накл!$B$9:$B$550)-ROW(Накл!$B$9)+1),ROW(D508)-ROW(A504)+1)),"")," ",IFERROR(INDEX(Накл!$C$9:$C$550,SMALL(IF(Накл!$B$9:$B$550=A504,ROW(Накл!$B$9:$B$550)-ROW(Накл!$B$9)+1),ROW(D509)-ROW(A504)+1)),"")," ",IFERROR(INDEX(Накл!$C$9:$C$550,SMALL(IF(Накл!$B$9:$B$550=A504,ROW(Накл!$B$9:$B$550)-ROW(Накл!$B$9)+1),ROW(D510)-ROW(A504)+1)),"")," ",IFERROR(INDEX(Накл!$C$9:$C$550,SMALL(IF(Накл!$B$9:$B$550=A504,ROW(Накл!$B$9:$B$550)-ROW(Накл!$B$9)+1),ROW(D511)-ROW(A504)+1)),"")," ",IFERROR(INDEX(Накл!$C$9:$C$550,SMALL(IF(Накл!$B$9:$B$550=A504,ROW(Накл!$B$9:$B$550)-ROW(Накл!$B$9)+1),ROW(D512)-ROW(A504)+1)),"")," ",IFERROR(INDEX(Накл!$C$9:$C$550,SMALL(IF(Накл!$B$9:$B$550=A504,ROW(Накл!$B$9:$B$550)-ROW(Накл!$B$9)+1),ROW(D513)-ROW(A504)+1)),""))</f>
        <v xml:space="preserve">         </v>
      </c>
      <c r="E504" s="26" t="str">
        <f t="array" ref="E504">IF(LEN(D504)&lt;10,CONCATENATE(IFERROR(INDEX(Накл!$C$9:$C$550,SMALL(IF(Накл!$A$9:$A$550=VALUE(LEFT(A504,8)),ROW(Накл!$A$9:$A$550)-ROW(Накл!$A$9)+1),ROW(E504)-ROW(B504)+1)),"")," ",IFERROR(INDEX(Накл!$C$9:$C$550,SMALL(IF(Накл!$A$9:$A$550=VALUE(LEFT(A504,8)),ROW(Накл!$A$9:$A$550)-ROW(Накл!$A$9)+1),ROW(E505)-ROW(B504)+1)),"")," ",IFERROR(INDEX(Накл!$C$9:$C$550,SMALL(IF(Накл!$A$9:$A$550=VALUE(LEFT(A504,8)),ROW(Накл!$A$9:$A$550)-ROW(Накл!$A$9)+1),ROW(E506)-ROW(B504)+1)),"")," ",IFERROR(INDEX(Накл!$C$9:$C$550,SMALL(IF(Накл!$A$9:$A$550=VALUE(LEFT(A504,8)),ROW(Накл!$A$9:$A$550)-ROW(Накл!$A$9)+1),ROW(E507)-ROW(B504)+1)),"")),"")</f>
        <v xml:space="preserve">   </v>
      </c>
    </row>
    <row r="505" spans="1:5">
      <c r="A505" s="26" t="str">
        <f>IFERROR(CONCATENATE(VALUE(SUBSTITUTE(SUBSTITUTE(LEFT(Накл!G512,11),".",""),"-",""))," ",Накл!J512),"-")</f>
        <v>-</v>
      </c>
      <c r="B505" s="26" t="str">
        <f>IFERROR(VLOOKUP(VALUE(LEFT(A505,8)),Накл!$A$9:$D$550,4,0),"-")</f>
        <v>-</v>
      </c>
      <c r="C505" s="26">
        <f>Накл!J512</f>
        <v>0</v>
      </c>
      <c r="D505" s="33" t="str">
        <f t="array" ref="D505">CONCATENATE(IFERROR(INDEX(Накл!$C$9:$C$550,SMALL(IF(Накл!$B$9:$B$550=A505,ROW(Накл!$B$9:$B$550)-ROW(Накл!$B$9)+1),ROW(D505)-ROW(A505)+1)),"")," ",IFERROR(INDEX(Накл!$C$9:$C$550,SMALL(IF(Накл!$B$9:$B$550=A505,ROW(Накл!$B$9:$B$550)-ROW(Накл!$B$9)+1),ROW(D506)-ROW(A505)+1)),"")," ",IFERROR(INDEX(Накл!$C$9:$C$550,SMALL(IF(Накл!$B$9:$B$550=A505,ROW(Накл!$B$9:$B$550)-ROW(Накл!$B$9)+1),ROW(D507)-ROW(A505)+1)),"")," ",IFERROR(INDEX(Накл!$C$9:$C$550,SMALL(IF(Накл!$B$9:$B$550=A505,ROW(Накл!$B$9:$B$550)-ROW(Накл!$B$9)+1),ROW(D508)-ROW(A505)+1)),"")," ",IFERROR(INDEX(Накл!$C$9:$C$550,SMALL(IF(Накл!$B$9:$B$550=A505,ROW(Накл!$B$9:$B$550)-ROW(Накл!$B$9)+1),ROW(D509)-ROW(A505)+1)),"")," ",IFERROR(INDEX(Накл!$C$9:$C$550,SMALL(IF(Накл!$B$9:$B$550=A505,ROW(Накл!$B$9:$B$550)-ROW(Накл!$B$9)+1),ROW(D510)-ROW(A505)+1)),"")," ",IFERROR(INDEX(Накл!$C$9:$C$550,SMALL(IF(Накл!$B$9:$B$550=A505,ROW(Накл!$B$9:$B$550)-ROW(Накл!$B$9)+1),ROW(D511)-ROW(A505)+1)),"")," ",IFERROR(INDEX(Накл!$C$9:$C$550,SMALL(IF(Накл!$B$9:$B$550=A505,ROW(Накл!$B$9:$B$550)-ROW(Накл!$B$9)+1),ROW(D512)-ROW(A505)+1)),"")," ",IFERROR(INDEX(Накл!$C$9:$C$550,SMALL(IF(Накл!$B$9:$B$550=A505,ROW(Накл!$B$9:$B$550)-ROW(Накл!$B$9)+1),ROW(D513)-ROW(A505)+1)),"")," ",IFERROR(INDEX(Накл!$C$9:$C$550,SMALL(IF(Накл!$B$9:$B$550=A505,ROW(Накл!$B$9:$B$550)-ROW(Накл!$B$9)+1),ROW(D514)-ROW(A505)+1)),""))</f>
        <v xml:space="preserve">         </v>
      </c>
      <c r="E505" s="26" t="str">
        <f t="array" ref="E505">IF(LEN(D505)&lt;10,CONCATENATE(IFERROR(INDEX(Накл!$C$9:$C$550,SMALL(IF(Накл!$A$9:$A$550=VALUE(LEFT(A505,8)),ROW(Накл!$A$9:$A$550)-ROW(Накл!$A$9)+1),ROW(E505)-ROW(B505)+1)),"")," ",IFERROR(INDEX(Накл!$C$9:$C$550,SMALL(IF(Накл!$A$9:$A$550=VALUE(LEFT(A505,8)),ROW(Накл!$A$9:$A$550)-ROW(Накл!$A$9)+1),ROW(E506)-ROW(B505)+1)),"")," ",IFERROR(INDEX(Накл!$C$9:$C$550,SMALL(IF(Накл!$A$9:$A$550=VALUE(LEFT(A505,8)),ROW(Накл!$A$9:$A$550)-ROW(Накл!$A$9)+1),ROW(E507)-ROW(B505)+1)),"")," ",IFERROR(INDEX(Накл!$C$9:$C$550,SMALL(IF(Накл!$A$9:$A$550=VALUE(LEFT(A505,8)),ROW(Накл!$A$9:$A$550)-ROW(Накл!$A$9)+1),ROW(E508)-ROW(B505)+1)),"")),"")</f>
        <v xml:space="preserve">   </v>
      </c>
    </row>
    <row r="506" spans="1:5">
      <c r="A506" s="26" t="str">
        <f>IFERROR(CONCATENATE(VALUE(SUBSTITUTE(SUBSTITUTE(LEFT(Накл!G513,11),".",""),"-",""))," ",Накл!J513),"-")</f>
        <v>-</v>
      </c>
      <c r="B506" s="26" t="str">
        <f>IFERROR(VLOOKUP(VALUE(LEFT(A506,8)),Накл!$A$9:$D$550,4,0),"-")</f>
        <v>-</v>
      </c>
      <c r="C506" s="26">
        <f>Накл!J513</f>
        <v>0</v>
      </c>
      <c r="D506" s="33" t="str">
        <f t="array" ref="D506">CONCATENATE(IFERROR(INDEX(Накл!$C$9:$C$550,SMALL(IF(Накл!$B$9:$B$550=A506,ROW(Накл!$B$9:$B$550)-ROW(Накл!$B$9)+1),ROW(D506)-ROW(A506)+1)),"")," ",IFERROR(INDEX(Накл!$C$9:$C$550,SMALL(IF(Накл!$B$9:$B$550=A506,ROW(Накл!$B$9:$B$550)-ROW(Накл!$B$9)+1),ROW(D507)-ROW(A506)+1)),"")," ",IFERROR(INDEX(Накл!$C$9:$C$550,SMALL(IF(Накл!$B$9:$B$550=A506,ROW(Накл!$B$9:$B$550)-ROW(Накл!$B$9)+1),ROW(D508)-ROW(A506)+1)),"")," ",IFERROR(INDEX(Накл!$C$9:$C$550,SMALL(IF(Накл!$B$9:$B$550=A506,ROW(Накл!$B$9:$B$550)-ROW(Накл!$B$9)+1),ROW(D509)-ROW(A506)+1)),"")," ",IFERROR(INDEX(Накл!$C$9:$C$550,SMALL(IF(Накл!$B$9:$B$550=A506,ROW(Накл!$B$9:$B$550)-ROW(Накл!$B$9)+1),ROW(D510)-ROW(A506)+1)),"")," ",IFERROR(INDEX(Накл!$C$9:$C$550,SMALL(IF(Накл!$B$9:$B$550=A506,ROW(Накл!$B$9:$B$550)-ROW(Накл!$B$9)+1),ROW(D511)-ROW(A506)+1)),"")," ",IFERROR(INDEX(Накл!$C$9:$C$550,SMALL(IF(Накл!$B$9:$B$550=A506,ROW(Накл!$B$9:$B$550)-ROW(Накл!$B$9)+1),ROW(D512)-ROW(A506)+1)),"")," ",IFERROR(INDEX(Накл!$C$9:$C$550,SMALL(IF(Накл!$B$9:$B$550=A506,ROW(Накл!$B$9:$B$550)-ROW(Накл!$B$9)+1),ROW(D513)-ROW(A506)+1)),"")," ",IFERROR(INDEX(Накл!$C$9:$C$550,SMALL(IF(Накл!$B$9:$B$550=A506,ROW(Накл!$B$9:$B$550)-ROW(Накл!$B$9)+1),ROW(D514)-ROW(A506)+1)),"")," ",IFERROR(INDEX(Накл!$C$9:$C$550,SMALL(IF(Накл!$B$9:$B$550=A506,ROW(Накл!$B$9:$B$550)-ROW(Накл!$B$9)+1),ROW(D515)-ROW(A506)+1)),""))</f>
        <v xml:space="preserve">         </v>
      </c>
      <c r="E506" s="26" t="str">
        <f t="array" ref="E506">IF(LEN(D506)&lt;10,CONCATENATE(IFERROR(INDEX(Накл!$C$9:$C$550,SMALL(IF(Накл!$A$9:$A$550=VALUE(LEFT(A506,8)),ROW(Накл!$A$9:$A$550)-ROW(Накл!$A$9)+1),ROW(E506)-ROW(B506)+1)),"")," ",IFERROR(INDEX(Накл!$C$9:$C$550,SMALL(IF(Накл!$A$9:$A$550=VALUE(LEFT(A506,8)),ROW(Накл!$A$9:$A$550)-ROW(Накл!$A$9)+1),ROW(E507)-ROW(B506)+1)),"")," ",IFERROR(INDEX(Накл!$C$9:$C$550,SMALL(IF(Накл!$A$9:$A$550=VALUE(LEFT(A506,8)),ROW(Накл!$A$9:$A$550)-ROW(Накл!$A$9)+1),ROW(E508)-ROW(B506)+1)),"")," ",IFERROR(INDEX(Накл!$C$9:$C$550,SMALL(IF(Накл!$A$9:$A$550=VALUE(LEFT(A506,8)),ROW(Накл!$A$9:$A$550)-ROW(Накл!$A$9)+1),ROW(E509)-ROW(B506)+1)),"")),"")</f>
        <v xml:space="preserve">   </v>
      </c>
    </row>
    <row r="507" spans="1:5">
      <c r="A507" s="26" t="str">
        <f>IFERROR(CONCATENATE(VALUE(SUBSTITUTE(SUBSTITUTE(LEFT(Накл!G514,11),".",""),"-",""))," ",Накл!J514),"-")</f>
        <v>-</v>
      </c>
      <c r="B507" s="26" t="str">
        <f>IFERROR(VLOOKUP(VALUE(LEFT(A507,8)),Накл!$A$9:$D$550,4,0),"-")</f>
        <v>-</v>
      </c>
      <c r="C507" s="26">
        <f>Накл!J514</f>
        <v>0</v>
      </c>
      <c r="D507" s="33" t="str">
        <f t="array" ref="D507">CONCATENATE(IFERROR(INDEX(Накл!$C$9:$C$550,SMALL(IF(Накл!$B$9:$B$550=A507,ROW(Накл!$B$9:$B$550)-ROW(Накл!$B$9)+1),ROW(D507)-ROW(A507)+1)),"")," ",IFERROR(INDEX(Накл!$C$9:$C$550,SMALL(IF(Накл!$B$9:$B$550=A507,ROW(Накл!$B$9:$B$550)-ROW(Накл!$B$9)+1),ROW(D508)-ROW(A507)+1)),"")," ",IFERROR(INDEX(Накл!$C$9:$C$550,SMALL(IF(Накл!$B$9:$B$550=A507,ROW(Накл!$B$9:$B$550)-ROW(Накл!$B$9)+1),ROW(D509)-ROW(A507)+1)),"")," ",IFERROR(INDEX(Накл!$C$9:$C$550,SMALL(IF(Накл!$B$9:$B$550=A507,ROW(Накл!$B$9:$B$550)-ROW(Накл!$B$9)+1),ROW(D510)-ROW(A507)+1)),"")," ",IFERROR(INDEX(Накл!$C$9:$C$550,SMALL(IF(Накл!$B$9:$B$550=A507,ROW(Накл!$B$9:$B$550)-ROW(Накл!$B$9)+1),ROW(D511)-ROW(A507)+1)),"")," ",IFERROR(INDEX(Накл!$C$9:$C$550,SMALL(IF(Накл!$B$9:$B$550=A507,ROW(Накл!$B$9:$B$550)-ROW(Накл!$B$9)+1),ROW(D512)-ROW(A507)+1)),"")," ",IFERROR(INDEX(Накл!$C$9:$C$550,SMALL(IF(Накл!$B$9:$B$550=A507,ROW(Накл!$B$9:$B$550)-ROW(Накл!$B$9)+1),ROW(D513)-ROW(A507)+1)),"")," ",IFERROR(INDEX(Накл!$C$9:$C$550,SMALL(IF(Накл!$B$9:$B$550=A507,ROW(Накл!$B$9:$B$550)-ROW(Накл!$B$9)+1),ROW(D514)-ROW(A507)+1)),"")," ",IFERROR(INDEX(Накл!$C$9:$C$550,SMALL(IF(Накл!$B$9:$B$550=A507,ROW(Накл!$B$9:$B$550)-ROW(Накл!$B$9)+1),ROW(D515)-ROW(A507)+1)),"")," ",IFERROR(INDEX(Накл!$C$9:$C$550,SMALL(IF(Накл!$B$9:$B$550=A507,ROW(Накл!$B$9:$B$550)-ROW(Накл!$B$9)+1),ROW(D516)-ROW(A507)+1)),""))</f>
        <v xml:space="preserve">         </v>
      </c>
      <c r="E507" s="26" t="str">
        <f t="array" ref="E507">IF(LEN(D507)&lt;10,CONCATENATE(IFERROR(INDEX(Накл!$C$9:$C$550,SMALL(IF(Накл!$A$9:$A$550=VALUE(LEFT(A507,8)),ROW(Накл!$A$9:$A$550)-ROW(Накл!$A$9)+1),ROW(E507)-ROW(B507)+1)),"")," ",IFERROR(INDEX(Накл!$C$9:$C$550,SMALL(IF(Накл!$A$9:$A$550=VALUE(LEFT(A507,8)),ROW(Накл!$A$9:$A$550)-ROW(Накл!$A$9)+1),ROW(E508)-ROW(B507)+1)),"")," ",IFERROR(INDEX(Накл!$C$9:$C$550,SMALL(IF(Накл!$A$9:$A$550=VALUE(LEFT(A507,8)),ROW(Накл!$A$9:$A$550)-ROW(Накл!$A$9)+1),ROW(E509)-ROW(B507)+1)),"")," ",IFERROR(INDEX(Накл!$C$9:$C$550,SMALL(IF(Накл!$A$9:$A$550=VALUE(LEFT(A507,8)),ROW(Накл!$A$9:$A$550)-ROW(Накл!$A$9)+1),ROW(E510)-ROW(B507)+1)),"")),"")</f>
        <v xml:space="preserve">   </v>
      </c>
    </row>
    <row r="508" spans="1:5">
      <c r="A508" s="26" t="str">
        <f>IFERROR(CONCATENATE(VALUE(SUBSTITUTE(SUBSTITUTE(LEFT(Накл!G515,11),".",""),"-",""))," ",Накл!J515),"-")</f>
        <v>-</v>
      </c>
      <c r="B508" s="26" t="str">
        <f>IFERROR(VLOOKUP(VALUE(LEFT(A508,8)),Накл!$A$9:$D$550,4,0),"-")</f>
        <v>-</v>
      </c>
      <c r="C508" s="26">
        <f>Накл!J515</f>
        <v>0</v>
      </c>
      <c r="D508" s="33" t="str">
        <f t="array" ref="D508">CONCATENATE(IFERROR(INDEX(Накл!$C$9:$C$550,SMALL(IF(Накл!$B$9:$B$550=A508,ROW(Накл!$B$9:$B$550)-ROW(Накл!$B$9)+1),ROW(D508)-ROW(A508)+1)),"")," ",IFERROR(INDEX(Накл!$C$9:$C$550,SMALL(IF(Накл!$B$9:$B$550=A508,ROW(Накл!$B$9:$B$550)-ROW(Накл!$B$9)+1),ROW(D509)-ROW(A508)+1)),"")," ",IFERROR(INDEX(Накл!$C$9:$C$550,SMALL(IF(Накл!$B$9:$B$550=A508,ROW(Накл!$B$9:$B$550)-ROW(Накл!$B$9)+1),ROW(D510)-ROW(A508)+1)),"")," ",IFERROR(INDEX(Накл!$C$9:$C$550,SMALL(IF(Накл!$B$9:$B$550=A508,ROW(Накл!$B$9:$B$550)-ROW(Накл!$B$9)+1),ROW(D511)-ROW(A508)+1)),"")," ",IFERROR(INDEX(Накл!$C$9:$C$550,SMALL(IF(Накл!$B$9:$B$550=A508,ROW(Накл!$B$9:$B$550)-ROW(Накл!$B$9)+1),ROW(D512)-ROW(A508)+1)),"")," ",IFERROR(INDEX(Накл!$C$9:$C$550,SMALL(IF(Накл!$B$9:$B$550=A508,ROW(Накл!$B$9:$B$550)-ROW(Накл!$B$9)+1),ROW(D513)-ROW(A508)+1)),"")," ",IFERROR(INDEX(Накл!$C$9:$C$550,SMALL(IF(Накл!$B$9:$B$550=A508,ROW(Накл!$B$9:$B$550)-ROW(Накл!$B$9)+1),ROW(D514)-ROW(A508)+1)),"")," ",IFERROR(INDEX(Накл!$C$9:$C$550,SMALL(IF(Накл!$B$9:$B$550=A508,ROW(Накл!$B$9:$B$550)-ROW(Накл!$B$9)+1),ROW(D515)-ROW(A508)+1)),"")," ",IFERROR(INDEX(Накл!$C$9:$C$550,SMALL(IF(Накл!$B$9:$B$550=A508,ROW(Накл!$B$9:$B$550)-ROW(Накл!$B$9)+1),ROW(D516)-ROW(A508)+1)),"")," ",IFERROR(INDEX(Накл!$C$9:$C$550,SMALL(IF(Накл!$B$9:$B$550=A508,ROW(Накл!$B$9:$B$550)-ROW(Накл!$B$9)+1),ROW(D517)-ROW(A508)+1)),""))</f>
        <v xml:space="preserve">         </v>
      </c>
      <c r="E508" s="26" t="str">
        <f t="array" ref="E508">IF(LEN(D508)&lt;10,CONCATENATE(IFERROR(INDEX(Накл!$C$9:$C$550,SMALL(IF(Накл!$A$9:$A$550=VALUE(LEFT(A508,8)),ROW(Накл!$A$9:$A$550)-ROW(Накл!$A$9)+1),ROW(E508)-ROW(B508)+1)),"")," ",IFERROR(INDEX(Накл!$C$9:$C$550,SMALL(IF(Накл!$A$9:$A$550=VALUE(LEFT(A508,8)),ROW(Накл!$A$9:$A$550)-ROW(Накл!$A$9)+1),ROW(E509)-ROW(B508)+1)),"")," ",IFERROR(INDEX(Накл!$C$9:$C$550,SMALL(IF(Накл!$A$9:$A$550=VALUE(LEFT(A508,8)),ROW(Накл!$A$9:$A$550)-ROW(Накл!$A$9)+1),ROW(E510)-ROW(B508)+1)),"")," ",IFERROR(INDEX(Накл!$C$9:$C$550,SMALL(IF(Накл!$A$9:$A$550=VALUE(LEFT(A508,8)),ROW(Накл!$A$9:$A$550)-ROW(Накл!$A$9)+1),ROW(E511)-ROW(B508)+1)),"")),"")</f>
        <v xml:space="preserve">   </v>
      </c>
    </row>
    <row r="509" spans="1:5">
      <c r="A509" s="26" t="str">
        <f>IFERROR(CONCATENATE(VALUE(SUBSTITUTE(SUBSTITUTE(LEFT(Накл!G516,11),".",""),"-",""))," ",Накл!J516),"-")</f>
        <v>-</v>
      </c>
      <c r="B509" s="26" t="str">
        <f>IFERROR(VLOOKUP(VALUE(LEFT(A509,8)),Накл!$A$9:$D$550,4,0),"-")</f>
        <v>-</v>
      </c>
      <c r="C509" s="26">
        <f>Накл!J516</f>
        <v>0</v>
      </c>
      <c r="D509" s="33" t="str">
        <f t="array" ref="D509">CONCATENATE(IFERROR(INDEX(Накл!$C$9:$C$550,SMALL(IF(Накл!$B$9:$B$550=A509,ROW(Накл!$B$9:$B$550)-ROW(Накл!$B$9)+1),ROW(D509)-ROW(A509)+1)),"")," ",IFERROR(INDEX(Накл!$C$9:$C$550,SMALL(IF(Накл!$B$9:$B$550=A509,ROW(Накл!$B$9:$B$550)-ROW(Накл!$B$9)+1),ROW(D510)-ROW(A509)+1)),"")," ",IFERROR(INDEX(Накл!$C$9:$C$550,SMALL(IF(Накл!$B$9:$B$550=A509,ROW(Накл!$B$9:$B$550)-ROW(Накл!$B$9)+1),ROW(D511)-ROW(A509)+1)),"")," ",IFERROR(INDEX(Накл!$C$9:$C$550,SMALL(IF(Накл!$B$9:$B$550=A509,ROW(Накл!$B$9:$B$550)-ROW(Накл!$B$9)+1),ROW(D512)-ROW(A509)+1)),"")," ",IFERROR(INDEX(Накл!$C$9:$C$550,SMALL(IF(Накл!$B$9:$B$550=A509,ROW(Накл!$B$9:$B$550)-ROW(Накл!$B$9)+1),ROW(D513)-ROW(A509)+1)),"")," ",IFERROR(INDEX(Накл!$C$9:$C$550,SMALL(IF(Накл!$B$9:$B$550=A509,ROW(Накл!$B$9:$B$550)-ROW(Накл!$B$9)+1),ROW(D514)-ROW(A509)+1)),"")," ",IFERROR(INDEX(Накл!$C$9:$C$550,SMALL(IF(Накл!$B$9:$B$550=A509,ROW(Накл!$B$9:$B$550)-ROW(Накл!$B$9)+1),ROW(D515)-ROW(A509)+1)),"")," ",IFERROR(INDEX(Накл!$C$9:$C$550,SMALL(IF(Накл!$B$9:$B$550=A509,ROW(Накл!$B$9:$B$550)-ROW(Накл!$B$9)+1),ROW(D516)-ROW(A509)+1)),"")," ",IFERROR(INDEX(Накл!$C$9:$C$550,SMALL(IF(Накл!$B$9:$B$550=A509,ROW(Накл!$B$9:$B$550)-ROW(Накл!$B$9)+1),ROW(D517)-ROW(A509)+1)),"")," ",IFERROR(INDEX(Накл!$C$9:$C$550,SMALL(IF(Накл!$B$9:$B$550=A509,ROW(Накл!$B$9:$B$550)-ROW(Накл!$B$9)+1),ROW(D518)-ROW(A509)+1)),""))</f>
        <v xml:space="preserve">         </v>
      </c>
      <c r="E509" s="26" t="str">
        <f t="array" ref="E509">IF(LEN(D509)&lt;10,CONCATENATE(IFERROR(INDEX(Накл!$C$9:$C$550,SMALL(IF(Накл!$A$9:$A$550=VALUE(LEFT(A509,8)),ROW(Накл!$A$9:$A$550)-ROW(Накл!$A$9)+1),ROW(E509)-ROW(B509)+1)),"")," ",IFERROR(INDEX(Накл!$C$9:$C$550,SMALL(IF(Накл!$A$9:$A$550=VALUE(LEFT(A509,8)),ROW(Накл!$A$9:$A$550)-ROW(Накл!$A$9)+1),ROW(E510)-ROW(B509)+1)),"")," ",IFERROR(INDEX(Накл!$C$9:$C$550,SMALL(IF(Накл!$A$9:$A$550=VALUE(LEFT(A509,8)),ROW(Накл!$A$9:$A$550)-ROW(Накл!$A$9)+1),ROW(E511)-ROW(B509)+1)),"")," ",IFERROR(INDEX(Накл!$C$9:$C$550,SMALL(IF(Накл!$A$9:$A$550=VALUE(LEFT(A509,8)),ROW(Накл!$A$9:$A$550)-ROW(Накл!$A$9)+1),ROW(E512)-ROW(B509)+1)),"")),"")</f>
        <v xml:space="preserve">   </v>
      </c>
    </row>
    <row r="510" spans="1:5">
      <c r="A510" s="26" t="str">
        <f>IFERROR(CONCATENATE(VALUE(SUBSTITUTE(SUBSTITUTE(LEFT(Накл!G517,11),".",""),"-",""))," ",Накл!J517),"-")</f>
        <v>-</v>
      </c>
      <c r="B510" s="26" t="str">
        <f>IFERROR(VLOOKUP(VALUE(LEFT(A510,8)),Накл!$A$9:$D$550,4,0),"-")</f>
        <v>-</v>
      </c>
      <c r="C510" s="26">
        <f>Накл!J517</f>
        <v>0</v>
      </c>
      <c r="D510" s="33" t="str">
        <f t="array" ref="D510">CONCATENATE(IFERROR(INDEX(Накл!$C$9:$C$550,SMALL(IF(Накл!$B$9:$B$550=A510,ROW(Накл!$B$9:$B$550)-ROW(Накл!$B$9)+1),ROW(D510)-ROW(A510)+1)),"")," ",IFERROR(INDEX(Накл!$C$9:$C$550,SMALL(IF(Накл!$B$9:$B$550=A510,ROW(Накл!$B$9:$B$550)-ROW(Накл!$B$9)+1),ROW(D511)-ROW(A510)+1)),"")," ",IFERROR(INDEX(Накл!$C$9:$C$550,SMALL(IF(Накл!$B$9:$B$550=A510,ROW(Накл!$B$9:$B$550)-ROW(Накл!$B$9)+1),ROW(D512)-ROW(A510)+1)),"")," ",IFERROR(INDEX(Накл!$C$9:$C$550,SMALL(IF(Накл!$B$9:$B$550=A510,ROW(Накл!$B$9:$B$550)-ROW(Накл!$B$9)+1),ROW(D513)-ROW(A510)+1)),"")," ",IFERROR(INDEX(Накл!$C$9:$C$550,SMALL(IF(Накл!$B$9:$B$550=A510,ROW(Накл!$B$9:$B$550)-ROW(Накл!$B$9)+1),ROW(D514)-ROW(A510)+1)),"")," ",IFERROR(INDEX(Накл!$C$9:$C$550,SMALL(IF(Накл!$B$9:$B$550=A510,ROW(Накл!$B$9:$B$550)-ROW(Накл!$B$9)+1),ROW(D515)-ROW(A510)+1)),"")," ",IFERROR(INDEX(Накл!$C$9:$C$550,SMALL(IF(Накл!$B$9:$B$550=A510,ROW(Накл!$B$9:$B$550)-ROW(Накл!$B$9)+1),ROW(D516)-ROW(A510)+1)),"")," ",IFERROR(INDEX(Накл!$C$9:$C$550,SMALL(IF(Накл!$B$9:$B$550=A510,ROW(Накл!$B$9:$B$550)-ROW(Накл!$B$9)+1),ROW(D517)-ROW(A510)+1)),"")," ",IFERROR(INDEX(Накл!$C$9:$C$550,SMALL(IF(Накл!$B$9:$B$550=A510,ROW(Накл!$B$9:$B$550)-ROW(Накл!$B$9)+1),ROW(D518)-ROW(A510)+1)),"")," ",IFERROR(INDEX(Накл!$C$9:$C$550,SMALL(IF(Накл!$B$9:$B$550=A510,ROW(Накл!$B$9:$B$550)-ROW(Накл!$B$9)+1),ROW(D519)-ROW(A510)+1)),""))</f>
        <v xml:space="preserve">         </v>
      </c>
      <c r="E510" s="26" t="str">
        <f t="array" ref="E510">IF(LEN(D510)&lt;10,CONCATENATE(IFERROR(INDEX(Накл!$C$9:$C$550,SMALL(IF(Накл!$A$9:$A$550=VALUE(LEFT(A510,8)),ROW(Накл!$A$9:$A$550)-ROW(Накл!$A$9)+1),ROW(E510)-ROW(B510)+1)),"")," ",IFERROR(INDEX(Накл!$C$9:$C$550,SMALL(IF(Накл!$A$9:$A$550=VALUE(LEFT(A510,8)),ROW(Накл!$A$9:$A$550)-ROW(Накл!$A$9)+1),ROW(E511)-ROW(B510)+1)),"")," ",IFERROR(INDEX(Накл!$C$9:$C$550,SMALL(IF(Накл!$A$9:$A$550=VALUE(LEFT(A510,8)),ROW(Накл!$A$9:$A$550)-ROW(Накл!$A$9)+1),ROW(E512)-ROW(B510)+1)),"")," ",IFERROR(INDEX(Накл!$C$9:$C$550,SMALL(IF(Накл!$A$9:$A$550=VALUE(LEFT(A510,8)),ROW(Накл!$A$9:$A$550)-ROW(Накл!$A$9)+1),ROW(E513)-ROW(B510)+1)),"")),"")</f>
        <v xml:space="preserve">   </v>
      </c>
    </row>
    <row r="511" spans="1:5">
      <c r="A511" s="26" t="str">
        <f>IFERROR(CONCATENATE(VALUE(SUBSTITUTE(SUBSTITUTE(LEFT(Накл!G518,11),".",""),"-",""))," ",Накл!J518),"-")</f>
        <v>-</v>
      </c>
      <c r="B511" s="26" t="str">
        <f>IFERROR(VLOOKUP(VALUE(LEFT(A511,8)),Накл!$A$9:$D$550,4,0),"-")</f>
        <v>-</v>
      </c>
      <c r="C511" s="26">
        <f>Накл!J518</f>
        <v>0</v>
      </c>
      <c r="D511" s="33" t="str">
        <f t="array" ref="D511">CONCATENATE(IFERROR(INDEX(Накл!$C$9:$C$550,SMALL(IF(Накл!$B$9:$B$550=A511,ROW(Накл!$B$9:$B$550)-ROW(Накл!$B$9)+1),ROW(D511)-ROW(A511)+1)),"")," ",IFERROR(INDEX(Накл!$C$9:$C$550,SMALL(IF(Накл!$B$9:$B$550=A511,ROW(Накл!$B$9:$B$550)-ROW(Накл!$B$9)+1),ROW(D512)-ROW(A511)+1)),"")," ",IFERROR(INDEX(Накл!$C$9:$C$550,SMALL(IF(Накл!$B$9:$B$550=A511,ROW(Накл!$B$9:$B$550)-ROW(Накл!$B$9)+1),ROW(D513)-ROW(A511)+1)),"")," ",IFERROR(INDEX(Накл!$C$9:$C$550,SMALL(IF(Накл!$B$9:$B$550=A511,ROW(Накл!$B$9:$B$550)-ROW(Накл!$B$9)+1),ROW(D514)-ROW(A511)+1)),"")," ",IFERROR(INDEX(Накл!$C$9:$C$550,SMALL(IF(Накл!$B$9:$B$550=A511,ROW(Накл!$B$9:$B$550)-ROW(Накл!$B$9)+1),ROW(D515)-ROW(A511)+1)),"")," ",IFERROR(INDEX(Накл!$C$9:$C$550,SMALL(IF(Накл!$B$9:$B$550=A511,ROW(Накл!$B$9:$B$550)-ROW(Накл!$B$9)+1),ROW(D516)-ROW(A511)+1)),"")," ",IFERROR(INDEX(Накл!$C$9:$C$550,SMALL(IF(Накл!$B$9:$B$550=A511,ROW(Накл!$B$9:$B$550)-ROW(Накл!$B$9)+1),ROW(D517)-ROW(A511)+1)),"")," ",IFERROR(INDEX(Накл!$C$9:$C$550,SMALL(IF(Накл!$B$9:$B$550=A511,ROW(Накл!$B$9:$B$550)-ROW(Накл!$B$9)+1),ROW(D518)-ROW(A511)+1)),"")," ",IFERROR(INDEX(Накл!$C$9:$C$550,SMALL(IF(Накл!$B$9:$B$550=A511,ROW(Накл!$B$9:$B$550)-ROW(Накл!$B$9)+1),ROW(D519)-ROW(A511)+1)),"")," ",IFERROR(INDEX(Накл!$C$9:$C$550,SMALL(IF(Накл!$B$9:$B$550=A511,ROW(Накл!$B$9:$B$550)-ROW(Накл!$B$9)+1),ROW(D520)-ROW(A511)+1)),""))</f>
        <v xml:space="preserve">         </v>
      </c>
      <c r="E511" s="26" t="str">
        <f t="array" ref="E511">IF(LEN(D511)&lt;10,CONCATENATE(IFERROR(INDEX(Накл!$C$9:$C$550,SMALL(IF(Накл!$A$9:$A$550=VALUE(LEFT(A511,8)),ROW(Накл!$A$9:$A$550)-ROW(Накл!$A$9)+1),ROW(E511)-ROW(B511)+1)),"")," ",IFERROR(INDEX(Накл!$C$9:$C$550,SMALL(IF(Накл!$A$9:$A$550=VALUE(LEFT(A511,8)),ROW(Накл!$A$9:$A$550)-ROW(Накл!$A$9)+1),ROW(E512)-ROW(B511)+1)),"")," ",IFERROR(INDEX(Накл!$C$9:$C$550,SMALL(IF(Накл!$A$9:$A$550=VALUE(LEFT(A511,8)),ROW(Накл!$A$9:$A$550)-ROW(Накл!$A$9)+1),ROW(E513)-ROW(B511)+1)),"")," ",IFERROR(INDEX(Накл!$C$9:$C$550,SMALL(IF(Накл!$A$9:$A$550=VALUE(LEFT(A511,8)),ROW(Накл!$A$9:$A$550)-ROW(Накл!$A$9)+1),ROW(E514)-ROW(B511)+1)),"")),"")</f>
        <v xml:space="preserve">   </v>
      </c>
    </row>
    <row r="512" spans="1:5">
      <c r="A512" s="26" t="str">
        <f>IFERROR(CONCATENATE(VALUE(SUBSTITUTE(SUBSTITUTE(LEFT(Накл!G519,11),".",""),"-",""))," ",Накл!J519),"-")</f>
        <v>-</v>
      </c>
      <c r="B512" s="26" t="str">
        <f>IFERROR(VLOOKUP(VALUE(LEFT(A512,8)),Накл!$A$9:$D$550,4,0),"-")</f>
        <v>-</v>
      </c>
      <c r="C512" s="26">
        <f>Накл!J519</f>
        <v>0</v>
      </c>
      <c r="D512" s="33" t="str">
        <f t="array" ref="D512">CONCATENATE(IFERROR(INDEX(Накл!$C$9:$C$550,SMALL(IF(Накл!$B$9:$B$550=A512,ROW(Накл!$B$9:$B$550)-ROW(Накл!$B$9)+1),ROW(D512)-ROW(A512)+1)),"")," ",IFERROR(INDEX(Накл!$C$9:$C$550,SMALL(IF(Накл!$B$9:$B$550=A512,ROW(Накл!$B$9:$B$550)-ROW(Накл!$B$9)+1),ROW(D513)-ROW(A512)+1)),"")," ",IFERROR(INDEX(Накл!$C$9:$C$550,SMALL(IF(Накл!$B$9:$B$550=A512,ROW(Накл!$B$9:$B$550)-ROW(Накл!$B$9)+1),ROW(D514)-ROW(A512)+1)),"")," ",IFERROR(INDEX(Накл!$C$9:$C$550,SMALL(IF(Накл!$B$9:$B$550=A512,ROW(Накл!$B$9:$B$550)-ROW(Накл!$B$9)+1),ROW(D515)-ROW(A512)+1)),"")," ",IFERROR(INDEX(Накл!$C$9:$C$550,SMALL(IF(Накл!$B$9:$B$550=A512,ROW(Накл!$B$9:$B$550)-ROW(Накл!$B$9)+1),ROW(D516)-ROW(A512)+1)),"")," ",IFERROR(INDEX(Накл!$C$9:$C$550,SMALL(IF(Накл!$B$9:$B$550=A512,ROW(Накл!$B$9:$B$550)-ROW(Накл!$B$9)+1),ROW(D517)-ROW(A512)+1)),"")," ",IFERROR(INDEX(Накл!$C$9:$C$550,SMALL(IF(Накл!$B$9:$B$550=A512,ROW(Накл!$B$9:$B$550)-ROW(Накл!$B$9)+1),ROW(D518)-ROW(A512)+1)),"")," ",IFERROR(INDEX(Накл!$C$9:$C$550,SMALL(IF(Накл!$B$9:$B$550=A512,ROW(Накл!$B$9:$B$550)-ROW(Накл!$B$9)+1),ROW(D519)-ROW(A512)+1)),"")," ",IFERROR(INDEX(Накл!$C$9:$C$550,SMALL(IF(Накл!$B$9:$B$550=A512,ROW(Накл!$B$9:$B$550)-ROW(Накл!$B$9)+1),ROW(D520)-ROW(A512)+1)),"")," ",IFERROR(INDEX(Накл!$C$9:$C$550,SMALL(IF(Накл!$B$9:$B$550=A512,ROW(Накл!$B$9:$B$550)-ROW(Накл!$B$9)+1),ROW(D521)-ROW(A512)+1)),""))</f>
        <v xml:space="preserve">         </v>
      </c>
      <c r="E512" s="26" t="str">
        <f t="array" ref="E512">IF(LEN(D512)&lt;10,CONCATENATE(IFERROR(INDEX(Накл!$C$9:$C$550,SMALL(IF(Накл!$A$9:$A$550=VALUE(LEFT(A512,8)),ROW(Накл!$A$9:$A$550)-ROW(Накл!$A$9)+1),ROW(E512)-ROW(B512)+1)),"")," ",IFERROR(INDEX(Накл!$C$9:$C$550,SMALL(IF(Накл!$A$9:$A$550=VALUE(LEFT(A512,8)),ROW(Накл!$A$9:$A$550)-ROW(Накл!$A$9)+1),ROW(E513)-ROW(B512)+1)),"")," ",IFERROR(INDEX(Накл!$C$9:$C$550,SMALL(IF(Накл!$A$9:$A$550=VALUE(LEFT(A512,8)),ROW(Накл!$A$9:$A$550)-ROW(Накл!$A$9)+1),ROW(E514)-ROW(B512)+1)),"")," ",IFERROR(INDEX(Накл!$C$9:$C$550,SMALL(IF(Накл!$A$9:$A$550=VALUE(LEFT(A512,8)),ROW(Накл!$A$9:$A$550)-ROW(Накл!$A$9)+1),ROW(E515)-ROW(B512)+1)),"")),"")</f>
        <v xml:space="preserve">   </v>
      </c>
    </row>
    <row r="513" spans="1:5">
      <c r="A513" s="26" t="str">
        <f>IFERROR(CONCATENATE(VALUE(SUBSTITUTE(SUBSTITUTE(LEFT(Накл!G520,11),".",""),"-",""))," ",Накл!J520),"-")</f>
        <v>-</v>
      </c>
      <c r="B513" s="26" t="str">
        <f>IFERROR(VLOOKUP(VALUE(LEFT(A513,8)),Накл!$A$9:$D$550,4,0),"-")</f>
        <v>-</v>
      </c>
      <c r="C513" s="26">
        <f>Накл!J520</f>
        <v>0</v>
      </c>
      <c r="D513" s="33" t="str">
        <f t="array" ref="D513">CONCATENATE(IFERROR(INDEX(Накл!$C$9:$C$550,SMALL(IF(Накл!$B$9:$B$550=A513,ROW(Накл!$B$9:$B$550)-ROW(Накл!$B$9)+1),ROW(D513)-ROW(A513)+1)),"")," ",IFERROR(INDEX(Накл!$C$9:$C$550,SMALL(IF(Накл!$B$9:$B$550=A513,ROW(Накл!$B$9:$B$550)-ROW(Накл!$B$9)+1),ROW(D514)-ROW(A513)+1)),"")," ",IFERROR(INDEX(Накл!$C$9:$C$550,SMALL(IF(Накл!$B$9:$B$550=A513,ROW(Накл!$B$9:$B$550)-ROW(Накл!$B$9)+1),ROW(D515)-ROW(A513)+1)),"")," ",IFERROR(INDEX(Накл!$C$9:$C$550,SMALL(IF(Накл!$B$9:$B$550=A513,ROW(Накл!$B$9:$B$550)-ROW(Накл!$B$9)+1),ROW(D516)-ROW(A513)+1)),"")," ",IFERROR(INDEX(Накл!$C$9:$C$550,SMALL(IF(Накл!$B$9:$B$550=A513,ROW(Накл!$B$9:$B$550)-ROW(Накл!$B$9)+1),ROW(D517)-ROW(A513)+1)),"")," ",IFERROR(INDEX(Накл!$C$9:$C$550,SMALL(IF(Накл!$B$9:$B$550=A513,ROW(Накл!$B$9:$B$550)-ROW(Накл!$B$9)+1),ROW(D518)-ROW(A513)+1)),"")," ",IFERROR(INDEX(Накл!$C$9:$C$550,SMALL(IF(Накл!$B$9:$B$550=A513,ROW(Накл!$B$9:$B$550)-ROW(Накл!$B$9)+1),ROW(D519)-ROW(A513)+1)),"")," ",IFERROR(INDEX(Накл!$C$9:$C$550,SMALL(IF(Накл!$B$9:$B$550=A513,ROW(Накл!$B$9:$B$550)-ROW(Накл!$B$9)+1),ROW(D520)-ROW(A513)+1)),"")," ",IFERROR(INDEX(Накл!$C$9:$C$550,SMALL(IF(Накл!$B$9:$B$550=A513,ROW(Накл!$B$9:$B$550)-ROW(Накл!$B$9)+1),ROW(D521)-ROW(A513)+1)),"")," ",IFERROR(INDEX(Накл!$C$9:$C$550,SMALL(IF(Накл!$B$9:$B$550=A513,ROW(Накл!$B$9:$B$550)-ROW(Накл!$B$9)+1),ROW(D522)-ROW(A513)+1)),""))</f>
        <v xml:space="preserve">         </v>
      </c>
      <c r="E513" s="26" t="str">
        <f t="array" ref="E513">IF(LEN(D513)&lt;10,CONCATENATE(IFERROR(INDEX(Накл!$C$9:$C$550,SMALL(IF(Накл!$A$9:$A$550=VALUE(LEFT(A513,8)),ROW(Накл!$A$9:$A$550)-ROW(Накл!$A$9)+1),ROW(E513)-ROW(B513)+1)),"")," ",IFERROR(INDEX(Накл!$C$9:$C$550,SMALL(IF(Накл!$A$9:$A$550=VALUE(LEFT(A513,8)),ROW(Накл!$A$9:$A$550)-ROW(Накл!$A$9)+1),ROW(E514)-ROW(B513)+1)),"")," ",IFERROR(INDEX(Накл!$C$9:$C$550,SMALL(IF(Накл!$A$9:$A$550=VALUE(LEFT(A513,8)),ROW(Накл!$A$9:$A$550)-ROW(Накл!$A$9)+1),ROW(E515)-ROW(B513)+1)),"")," ",IFERROR(INDEX(Накл!$C$9:$C$550,SMALL(IF(Накл!$A$9:$A$550=VALUE(LEFT(A513,8)),ROW(Накл!$A$9:$A$550)-ROW(Накл!$A$9)+1),ROW(E516)-ROW(B513)+1)),"")),"")</f>
        <v xml:space="preserve">   </v>
      </c>
    </row>
    <row r="514" spans="1:5">
      <c r="A514" s="26" t="str">
        <f>IFERROR(CONCATENATE(VALUE(SUBSTITUTE(SUBSTITUTE(LEFT(Накл!G521,11),".",""),"-",""))," ",Накл!J521),"-")</f>
        <v>-</v>
      </c>
      <c r="B514" s="26" t="str">
        <f>IFERROR(VLOOKUP(VALUE(LEFT(A514,8)),Накл!$A$9:$D$550,4,0),"-")</f>
        <v>-</v>
      </c>
      <c r="C514" s="26">
        <f>Накл!J521</f>
        <v>0</v>
      </c>
      <c r="D514" s="33" t="str">
        <f t="array" ref="D514">CONCATENATE(IFERROR(INDEX(Накл!$C$9:$C$550,SMALL(IF(Накл!$B$9:$B$550=A514,ROW(Накл!$B$9:$B$550)-ROW(Накл!$B$9)+1),ROW(D514)-ROW(A514)+1)),"")," ",IFERROR(INDEX(Накл!$C$9:$C$550,SMALL(IF(Накл!$B$9:$B$550=A514,ROW(Накл!$B$9:$B$550)-ROW(Накл!$B$9)+1),ROW(D515)-ROW(A514)+1)),"")," ",IFERROR(INDEX(Накл!$C$9:$C$550,SMALL(IF(Накл!$B$9:$B$550=A514,ROW(Накл!$B$9:$B$550)-ROW(Накл!$B$9)+1),ROW(D516)-ROW(A514)+1)),"")," ",IFERROR(INDEX(Накл!$C$9:$C$550,SMALL(IF(Накл!$B$9:$B$550=A514,ROW(Накл!$B$9:$B$550)-ROW(Накл!$B$9)+1),ROW(D517)-ROW(A514)+1)),"")," ",IFERROR(INDEX(Накл!$C$9:$C$550,SMALL(IF(Накл!$B$9:$B$550=A514,ROW(Накл!$B$9:$B$550)-ROW(Накл!$B$9)+1),ROW(D518)-ROW(A514)+1)),"")," ",IFERROR(INDEX(Накл!$C$9:$C$550,SMALL(IF(Накл!$B$9:$B$550=A514,ROW(Накл!$B$9:$B$550)-ROW(Накл!$B$9)+1),ROW(D519)-ROW(A514)+1)),"")," ",IFERROR(INDEX(Накл!$C$9:$C$550,SMALL(IF(Накл!$B$9:$B$550=A514,ROW(Накл!$B$9:$B$550)-ROW(Накл!$B$9)+1),ROW(D520)-ROW(A514)+1)),"")," ",IFERROR(INDEX(Накл!$C$9:$C$550,SMALL(IF(Накл!$B$9:$B$550=A514,ROW(Накл!$B$9:$B$550)-ROW(Накл!$B$9)+1),ROW(D521)-ROW(A514)+1)),"")," ",IFERROR(INDEX(Накл!$C$9:$C$550,SMALL(IF(Накл!$B$9:$B$550=A514,ROW(Накл!$B$9:$B$550)-ROW(Накл!$B$9)+1),ROW(D522)-ROW(A514)+1)),"")," ",IFERROR(INDEX(Накл!$C$9:$C$550,SMALL(IF(Накл!$B$9:$B$550=A514,ROW(Накл!$B$9:$B$550)-ROW(Накл!$B$9)+1),ROW(D523)-ROW(A514)+1)),""))</f>
        <v xml:space="preserve">         </v>
      </c>
      <c r="E514" s="26" t="str">
        <f t="array" ref="E514">IF(LEN(D514)&lt;10,CONCATENATE(IFERROR(INDEX(Накл!$C$9:$C$550,SMALL(IF(Накл!$A$9:$A$550=VALUE(LEFT(A514,8)),ROW(Накл!$A$9:$A$550)-ROW(Накл!$A$9)+1),ROW(E514)-ROW(B514)+1)),"")," ",IFERROR(INDEX(Накл!$C$9:$C$550,SMALL(IF(Накл!$A$9:$A$550=VALUE(LEFT(A514,8)),ROW(Накл!$A$9:$A$550)-ROW(Накл!$A$9)+1),ROW(E515)-ROW(B514)+1)),"")," ",IFERROR(INDEX(Накл!$C$9:$C$550,SMALL(IF(Накл!$A$9:$A$550=VALUE(LEFT(A514,8)),ROW(Накл!$A$9:$A$550)-ROW(Накл!$A$9)+1),ROW(E516)-ROW(B514)+1)),"")," ",IFERROR(INDEX(Накл!$C$9:$C$550,SMALL(IF(Накл!$A$9:$A$550=VALUE(LEFT(A514,8)),ROW(Накл!$A$9:$A$550)-ROW(Накл!$A$9)+1),ROW(E517)-ROW(B514)+1)),"")),"")</f>
        <v xml:space="preserve">   </v>
      </c>
    </row>
    <row r="515" spans="1:5">
      <c r="A515" s="26" t="str">
        <f>IFERROR(CONCATENATE(VALUE(SUBSTITUTE(SUBSTITUTE(LEFT(Накл!G522,11),".",""),"-",""))," ",Накл!J522),"-")</f>
        <v>-</v>
      </c>
      <c r="B515" s="26" t="str">
        <f>IFERROR(VLOOKUP(VALUE(LEFT(A515,8)),Накл!$A$9:$D$550,4,0),"-")</f>
        <v>-</v>
      </c>
      <c r="C515" s="26">
        <f>Накл!J522</f>
        <v>0</v>
      </c>
      <c r="D515" s="33" t="str">
        <f t="array" ref="D515">CONCATENATE(IFERROR(INDEX(Накл!$C$9:$C$550,SMALL(IF(Накл!$B$9:$B$550=A515,ROW(Накл!$B$9:$B$550)-ROW(Накл!$B$9)+1),ROW(D515)-ROW(A515)+1)),"")," ",IFERROR(INDEX(Накл!$C$9:$C$550,SMALL(IF(Накл!$B$9:$B$550=A515,ROW(Накл!$B$9:$B$550)-ROW(Накл!$B$9)+1),ROW(D516)-ROW(A515)+1)),"")," ",IFERROR(INDEX(Накл!$C$9:$C$550,SMALL(IF(Накл!$B$9:$B$550=A515,ROW(Накл!$B$9:$B$550)-ROW(Накл!$B$9)+1),ROW(D517)-ROW(A515)+1)),"")," ",IFERROR(INDEX(Накл!$C$9:$C$550,SMALL(IF(Накл!$B$9:$B$550=A515,ROW(Накл!$B$9:$B$550)-ROW(Накл!$B$9)+1),ROW(D518)-ROW(A515)+1)),"")," ",IFERROR(INDEX(Накл!$C$9:$C$550,SMALL(IF(Накл!$B$9:$B$550=A515,ROW(Накл!$B$9:$B$550)-ROW(Накл!$B$9)+1),ROW(D519)-ROW(A515)+1)),"")," ",IFERROR(INDEX(Накл!$C$9:$C$550,SMALL(IF(Накл!$B$9:$B$550=A515,ROW(Накл!$B$9:$B$550)-ROW(Накл!$B$9)+1),ROW(D520)-ROW(A515)+1)),"")," ",IFERROR(INDEX(Накл!$C$9:$C$550,SMALL(IF(Накл!$B$9:$B$550=A515,ROW(Накл!$B$9:$B$550)-ROW(Накл!$B$9)+1),ROW(D521)-ROW(A515)+1)),"")," ",IFERROR(INDEX(Накл!$C$9:$C$550,SMALL(IF(Накл!$B$9:$B$550=A515,ROW(Накл!$B$9:$B$550)-ROW(Накл!$B$9)+1),ROW(D522)-ROW(A515)+1)),"")," ",IFERROR(INDEX(Накл!$C$9:$C$550,SMALL(IF(Накл!$B$9:$B$550=A515,ROW(Накл!$B$9:$B$550)-ROW(Накл!$B$9)+1),ROW(D523)-ROW(A515)+1)),"")," ",IFERROR(INDEX(Накл!$C$9:$C$550,SMALL(IF(Накл!$B$9:$B$550=A515,ROW(Накл!$B$9:$B$550)-ROW(Накл!$B$9)+1),ROW(D524)-ROW(A515)+1)),""))</f>
        <v xml:space="preserve">         </v>
      </c>
      <c r="E515" s="26" t="str">
        <f t="array" ref="E515">IF(LEN(D515)&lt;10,CONCATENATE(IFERROR(INDEX(Накл!$C$9:$C$550,SMALL(IF(Накл!$A$9:$A$550=VALUE(LEFT(A515,8)),ROW(Накл!$A$9:$A$550)-ROW(Накл!$A$9)+1),ROW(E515)-ROW(B515)+1)),"")," ",IFERROR(INDEX(Накл!$C$9:$C$550,SMALL(IF(Накл!$A$9:$A$550=VALUE(LEFT(A515,8)),ROW(Накл!$A$9:$A$550)-ROW(Накл!$A$9)+1),ROW(E516)-ROW(B515)+1)),"")," ",IFERROR(INDEX(Накл!$C$9:$C$550,SMALL(IF(Накл!$A$9:$A$550=VALUE(LEFT(A515,8)),ROW(Накл!$A$9:$A$550)-ROW(Накл!$A$9)+1),ROW(E517)-ROW(B515)+1)),"")," ",IFERROR(INDEX(Накл!$C$9:$C$550,SMALL(IF(Накл!$A$9:$A$550=VALUE(LEFT(A515,8)),ROW(Накл!$A$9:$A$550)-ROW(Накл!$A$9)+1),ROW(E518)-ROW(B515)+1)),"")),"")</f>
        <v xml:space="preserve">   </v>
      </c>
    </row>
    <row r="516" spans="1:5">
      <c r="A516" s="26" t="str">
        <f>IFERROR(CONCATENATE(VALUE(SUBSTITUTE(SUBSTITUTE(LEFT(Накл!G523,11),".",""),"-",""))," ",Накл!J523),"-")</f>
        <v>-</v>
      </c>
      <c r="B516" s="26" t="str">
        <f>IFERROR(VLOOKUP(VALUE(LEFT(A516,8)),Накл!$A$9:$D$550,4,0),"-")</f>
        <v>-</v>
      </c>
      <c r="C516" s="26">
        <f>Накл!J523</f>
        <v>0</v>
      </c>
      <c r="D516" s="33" t="str">
        <f t="array" ref="D516">CONCATENATE(IFERROR(INDEX(Накл!$C$9:$C$550,SMALL(IF(Накл!$B$9:$B$550=A516,ROW(Накл!$B$9:$B$550)-ROW(Накл!$B$9)+1),ROW(D516)-ROW(A516)+1)),"")," ",IFERROR(INDEX(Накл!$C$9:$C$550,SMALL(IF(Накл!$B$9:$B$550=A516,ROW(Накл!$B$9:$B$550)-ROW(Накл!$B$9)+1),ROW(D517)-ROW(A516)+1)),"")," ",IFERROR(INDEX(Накл!$C$9:$C$550,SMALL(IF(Накл!$B$9:$B$550=A516,ROW(Накл!$B$9:$B$550)-ROW(Накл!$B$9)+1),ROW(D518)-ROW(A516)+1)),"")," ",IFERROR(INDEX(Накл!$C$9:$C$550,SMALL(IF(Накл!$B$9:$B$550=A516,ROW(Накл!$B$9:$B$550)-ROW(Накл!$B$9)+1),ROW(D519)-ROW(A516)+1)),"")," ",IFERROR(INDEX(Накл!$C$9:$C$550,SMALL(IF(Накл!$B$9:$B$550=A516,ROW(Накл!$B$9:$B$550)-ROW(Накл!$B$9)+1),ROW(D520)-ROW(A516)+1)),"")," ",IFERROR(INDEX(Накл!$C$9:$C$550,SMALL(IF(Накл!$B$9:$B$550=A516,ROW(Накл!$B$9:$B$550)-ROW(Накл!$B$9)+1),ROW(D521)-ROW(A516)+1)),"")," ",IFERROR(INDEX(Накл!$C$9:$C$550,SMALL(IF(Накл!$B$9:$B$550=A516,ROW(Накл!$B$9:$B$550)-ROW(Накл!$B$9)+1),ROW(D522)-ROW(A516)+1)),"")," ",IFERROR(INDEX(Накл!$C$9:$C$550,SMALL(IF(Накл!$B$9:$B$550=A516,ROW(Накл!$B$9:$B$550)-ROW(Накл!$B$9)+1),ROW(D523)-ROW(A516)+1)),"")," ",IFERROR(INDEX(Накл!$C$9:$C$550,SMALL(IF(Накл!$B$9:$B$550=A516,ROW(Накл!$B$9:$B$550)-ROW(Накл!$B$9)+1),ROW(D524)-ROW(A516)+1)),"")," ",IFERROR(INDEX(Накл!$C$9:$C$550,SMALL(IF(Накл!$B$9:$B$550=A516,ROW(Накл!$B$9:$B$550)-ROW(Накл!$B$9)+1),ROW(D525)-ROW(A516)+1)),""))</f>
        <v xml:space="preserve">         </v>
      </c>
      <c r="E516" s="26" t="str">
        <f t="array" ref="E516">IF(LEN(D516)&lt;10,CONCATENATE(IFERROR(INDEX(Накл!$C$9:$C$550,SMALL(IF(Накл!$A$9:$A$550=VALUE(LEFT(A516,8)),ROW(Накл!$A$9:$A$550)-ROW(Накл!$A$9)+1),ROW(E516)-ROW(B516)+1)),"")," ",IFERROR(INDEX(Накл!$C$9:$C$550,SMALL(IF(Накл!$A$9:$A$550=VALUE(LEFT(A516,8)),ROW(Накл!$A$9:$A$550)-ROW(Накл!$A$9)+1),ROW(E517)-ROW(B516)+1)),"")," ",IFERROR(INDEX(Накл!$C$9:$C$550,SMALL(IF(Накл!$A$9:$A$550=VALUE(LEFT(A516,8)),ROW(Накл!$A$9:$A$550)-ROW(Накл!$A$9)+1),ROW(E518)-ROW(B516)+1)),"")," ",IFERROR(INDEX(Накл!$C$9:$C$550,SMALL(IF(Накл!$A$9:$A$550=VALUE(LEFT(A516,8)),ROW(Накл!$A$9:$A$550)-ROW(Накл!$A$9)+1),ROW(E519)-ROW(B516)+1)),"")),"")</f>
        <v xml:space="preserve">   </v>
      </c>
    </row>
    <row r="517" spans="1:5">
      <c r="A517" s="26" t="str">
        <f>IFERROR(CONCATENATE(VALUE(SUBSTITUTE(SUBSTITUTE(LEFT(Накл!G524,11),".",""),"-",""))," ",Накл!J524),"-")</f>
        <v>-</v>
      </c>
      <c r="B517" s="26" t="str">
        <f>IFERROR(VLOOKUP(VALUE(LEFT(A517,8)),Накл!$A$9:$D$550,4,0),"-")</f>
        <v>-</v>
      </c>
      <c r="C517" s="26">
        <f>Накл!J524</f>
        <v>0</v>
      </c>
      <c r="D517" s="33" t="str">
        <f t="array" ref="D517">CONCATENATE(IFERROR(INDEX(Накл!$C$9:$C$550,SMALL(IF(Накл!$B$9:$B$550=A517,ROW(Накл!$B$9:$B$550)-ROW(Накл!$B$9)+1),ROW(D517)-ROW(A517)+1)),"")," ",IFERROR(INDEX(Накл!$C$9:$C$550,SMALL(IF(Накл!$B$9:$B$550=A517,ROW(Накл!$B$9:$B$550)-ROW(Накл!$B$9)+1),ROW(D518)-ROW(A517)+1)),"")," ",IFERROR(INDEX(Накл!$C$9:$C$550,SMALL(IF(Накл!$B$9:$B$550=A517,ROW(Накл!$B$9:$B$550)-ROW(Накл!$B$9)+1),ROW(D519)-ROW(A517)+1)),"")," ",IFERROR(INDEX(Накл!$C$9:$C$550,SMALL(IF(Накл!$B$9:$B$550=A517,ROW(Накл!$B$9:$B$550)-ROW(Накл!$B$9)+1),ROW(D520)-ROW(A517)+1)),"")," ",IFERROR(INDEX(Накл!$C$9:$C$550,SMALL(IF(Накл!$B$9:$B$550=A517,ROW(Накл!$B$9:$B$550)-ROW(Накл!$B$9)+1),ROW(D521)-ROW(A517)+1)),"")," ",IFERROR(INDEX(Накл!$C$9:$C$550,SMALL(IF(Накл!$B$9:$B$550=A517,ROW(Накл!$B$9:$B$550)-ROW(Накл!$B$9)+1),ROW(D522)-ROW(A517)+1)),"")," ",IFERROR(INDEX(Накл!$C$9:$C$550,SMALL(IF(Накл!$B$9:$B$550=A517,ROW(Накл!$B$9:$B$550)-ROW(Накл!$B$9)+1),ROW(D523)-ROW(A517)+1)),"")," ",IFERROR(INDEX(Накл!$C$9:$C$550,SMALL(IF(Накл!$B$9:$B$550=A517,ROW(Накл!$B$9:$B$550)-ROW(Накл!$B$9)+1),ROW(D524)-ROW(A517)+1)),"")," ",IFERROR(INDEX(Накл!$C$9:$C$550,SMALL(IF(Накл!$B$9:$B$550=A517,ROW(Накл!$B$9:$B$550)-ROW(Накл!$B$9)+1),ROW(D525)-ROW(A517)+1)),"")," ",IFERROR(INDEX(Накл!$C$9:$C$550,SMALL(IF(Накл!$B$9:$B$550=A517,ROW(Накл!$B$9:$B$550)-ROW(Накл!$B$9)+1),ROW(D526)-ROW(A517)+1)),""))</f>
        <v xml:space="preserve">         </v>
      </c>
      <c r="E517" s="26" t="str">
        <f t="array" ref="E517">IF(LEN(D517)&lt;10,CONCATENATE(IFERROR(INDEX(Накл!$C$9:$C$550,SMALL(IF(Накл!$A$9:$A$550=VALUE(LEFT(A517,8)),ROW(Накл!$A$9:$A$550)-ROW(Накл!$A$9)+1),ROW(E517)-ROW(B517)+1)),"")," ",IFERROR(INDEX(Накл!$C$9:$C$550,SMALL(IF(Накл!$A$9:$A$550=VALUE(LEFT(A517,8)),ROW(Накл!$A$9:$A$550)-ROW(Накл!$A$9)+1),ROW(E518)-ROW(B517)+1)),"")," ",IFERROR(INDEX(Накл!$C$9:$C$550,SMALL(IF(Накл!$A$9:$A$550=VALUE(LEFT(A517,8)),ROW(Накл!$A$9:$A$550)-ROW(Накл!$A$9)+1),ROW(E519)-ROW(B517)+1)),"")," ",IFERROR(INDEX(Накл!$C$9:$C$550,SMALL(IF(Накл!$A$9:$A$550=VALUE(LEFT(A517,8)),ROW(Накл!$A$9:$A$550)-ROW(Накл!$A$9)+1),ROW(E520)-ROW(B517)+1)),"")),"")</f>
        <v xml:space="preserve">   </v>
      </c>
    </row>
    <row r="518" spans="1:5">
      <c r="A518" s="26" t="str">
        <f>IFERROR(CONCATENATE(VALUE(SUBSTITUTE(SUBSTITUTE(LEFT(Накл!G525,11),".",""),"-",""))," ",Накл!J525),"-")</f>
        <v>-</v>
      </c>
      <c r="B518" s="26" t="str">
        <f>IFERROR(VLOOKUP(VALUE(LEFT(A518,8)),Накл!$A$9:$D$550,4,0),"-")</f>
        <v>-</v>
      </c>
      <c r="C518" s="26">
        <f>Накл!J525</f>
        <v>0</v>
      </c>
      <c r="D518" s="33" t="str">
        <f t="array" ref="D518">CONCATENATE(IFERROR(INDEX(Накл!$C$9:$C$550,SMALL(IF(Накл!$B$9:$B$550=A518,ROW(Накл!$B$9:$B$550)-ROW(Накл!$B$9)+1),ROW(D518)-ROW(A518)+1)),"")," ",IFERROR(INDEX(Накл!$C$9:$C$550,SMALL(IF(Накл!$B$9:$B$550=A518,ROW(Накл!$B$9:$B$550)-ROW(Накл!$B$9)+1),ROW(D519)-ROW(A518)+1)),"")," ",IFERROR(INDEX(Накл!$C$9:$C$550,SMALL(IF(Накл!$B$9:$B$550=A518,ROW(Накл!$B$9:$B$550)-ROW(Накл!$B$9)+1),ROW(D520)-ROW(A518)+1)),"")," ",IFERROR(INDEX(Накл!$C$9:$C$550,SMALL(IF(Накл!$B$9:$B$550=A518,ROW(Накл!$B$9:$B$550)-ROW(Накл!$B$9)+1),ROW(D521)-ROW(A518)+1)),"")," ",IFERROR(INDEX(Накл!$C$9:$C$550,SMALL(IF(Накл!$B$9:$B$550=A518,ROW(Накл!$B$9:$B$550)-ROW(Накл!$B$9)+1),ROW(D522)-ROW(A518)+1)),"")," ",IFERROR(INDEX(Накл!$C$9:$C$550,SMALL(IF(Накл!$B$9:$B$550=A518,ROW(Накл!$B$9:$B$550)-ROW(Накл!$B$9)+1),ROW(D523)-ROW(A518)+1)),"")," ",IFERROR(INDEX(Накл!$C$9:$C$550,SMALL(IF(Накл!$B$9:$B$550=A518,ROW(Накл!$B$9:$B$550)-ROW(Накл!$B$9)+1),ROW(D524)-ROW(A518)+1)),"")," ",IFERROR(INDEX(Накл!$C$9:$C$550,SMALL(IF(Накл!$B$9:$B$550=A518,ROW(Накл!$B$9:$B$550)-ROW(Накл!$B$9)+1),ROW(D525)-ROW(A518)+1)),"")," ",IFERROR(INDEX(Накл!$C$9:$C$550,SMALL(IF(Накл!$B$9:$B$550=A518,ROW(Накл!$B$9:$B$550)-ROW(Накл!$B$9)+1),ROW(D526)-ROW(A518)+1)),"")," ",IFERROR(INDEX(Накл!$C$9:$C$550,SMALL(IF(Накл!$B$9:$B$550=A518,ROW(Накл!$B$9:$B$550)-ROW(Накл!$B$9)+1),ROW(D527)-ROW(A518)+1)),""))</f>
        <v xml:space="preserve">         </v>
      </c>
      <c r="E518" s="26" t="str">
        <f t="array" ref="E518">IF(LEN(D518)&lt;10,CONCATENATE(IFERROR(INDEX(Накл!$C$9:$C$550,SMALL(IF(Накл!$A$9:$A$550=VALUE(LEFT(A518,8)),ROW(Накл!$A$9:$A$550)-ROW(Накл!$A$9)+1),ROW(E518)-ROW(B518)+1)),"")," ",IFERROR(INDEX(Накл!$C$9:$C$550,SMALL(IF(Накл!$A$9:$A$550=VALUE(LEFT(A518,8)),ROW(Накл!$A$9:$A$550)-ROW(Накл!$A$9)+1),ROW(E519)-ROW(B518)+1)),"")," ",IFERROR(INDEX(Накл!$C$9:$C$550,SMALL(IF(Накл!$A$9:$A$550=VALUE(LEFT(A518,8)),ROW(Накл!$A$9:$A$550)-ROW(Накл!$A$9)+1),ROW(E520)-ROW(B518)+1)),"")," ",IFERROR(INDEX(Накл!$C$9:$C$550,SMALL(IF(Накл!$A$9:$A$550=VALUE(LEFT(A518,8)),ROW(Накл!$A$9:$A$550)-ROW(Накл!$A$9)+1),ROW(E521)-ROW(B518)+1)),"")),"")</f>
        <v xml:space="preserve">   </v>
      </c>
    </row>
    <row r="519" spans="1:5">
      <c r="A519" s="26" t="str">
        <f>IFERROR(CONCATENATE(VALUE(SUBSTITUTE(SUBSTITUTE(LEFT(Накл!G526,11),".",""),"-",""))," ",Накл!J526),"-")</f>
        <v>-</v>
      </c>
      <c r="B519" s="26" t="str">
        <f>IFERROR(VLOOKUP(VALUE(LEFT(A519,8)),Накл!$A$9:$D$550,4,0),"-")</f>
        <v>-</v>
      </c>
      <c r="C519" s="26">
        <f>Накл!J526</f>
        <v>0</v>
      </c>
      <c r="D519" s="33" t="str">
        <f t="array" ref="D519">CONCATENATE(IFERROR(INDEX(Накл!$C$9:$C$550,SMALL(IF(Накл!$B$9:$B$550=A519,ROW(Накл!$B$9:$B$550)-ROW(Накл!$B$9)+1),ROW(D519)-ROW(A519)+1)),"")," ",IFERROR(INDEX(Накл!$C$9:$C$550,SMALL(IF(Накл!$B$9:$B$550=A519,ROW(Накл!$B$9:$B$550)-ROW(Накл!$B$9)+1),ROW(D520)-ROW(A519)+1)),"")," ",IFERROR(INDEX(Накл!$C$9:$C$550,SMALL(IF(Накл!$B$9:$B$550=A519,ROW(Накл!$B$9:$B$550)-ROW(Накл!$B$9)+1),ROW(D521)-ROW(A519)+1)),"")," ",IFERROR(INDEX(Накл!$C$9:$C$550,SMALL(IF(Накл!$B$9:$B$550=A519,ROW(Накл!$B$9:$B$550)-ROW(Накл!$B$9)+1),ROW(D522)-ROW(A519)+1)),"")," ",IFERROR(INDEX(Накл!$C$9:$C$550,SMALL(IF(Накл!$B$9:$B$550=A519,ROW(Накл!$B$9:$B$550)-ROW(Накл!$B$9)+1),ROW(D523)-ROW(A519)+1)),"")," ",IFERROR(INDEX(Накл!$C$9:$C$550,SMALL(IF(Накл!$B$9:$B$550=A519,ROW(Накл!$B$9:$B$550)-ROW(Накл!$B$9)+1),ROW(D524)-ROW(A519)+1)),"")," ",IFERROR(INDEX(Накл!$C$9:$C$550,SMALL(IF(Накл!$B$9:$B$550=A519,ROW(Накл!$B$9:$B$550)-ROW(Накл!$B$9)+1),ROW(D525)-ROW(A519)+1)),"")," ",IFERROR(INDEX(Накл!$C$9:$C$550,SMALL(IF(Накл!$B$9:$B$550=A519,ROW(Накл!$B$9:$B$550)-ROW(Накл!$B$9)+1),ROW(D526)-ROW(A519)+1)),"")," ",IFERROR(INDEX(Накл!$C$9:$C$550,SMALL(IF(Накл!$B$9:$B$550=A519,ROW(Накл!$B$9:$B$550)-ROW(Накл!$B$9)+1),ROW(D527)-ROW(A519)+1)),"")," ",IFERROR(INDEX(Накл!$C$9:$C$550,SMALL(IF(Накл!$B$9:$B$550=A519,ROW(Накл!$B$9:$B$550)-ROW(Накл!$B$9)+1),ROW(D528)-ROW(A519)+1)),""))</f>
        <v xml:space="preserve">         </v>
      </c>
      <c r="E519" s="26" t="str">
        <f t="array" ref="E519">IF(LEN(D519)&lt;10,CONCATENATE(IFERROR(INDEX(Накл!$C$9:$C$550,SMALL(IF(Накл!$A$9:$A$550=VALUE(LEFT(A519,8)),ROW(Накл!$A$9:$A$550)-ROW(Накл!$A$9)+1),ROW(E519)-ROW(B519)+1)),"")," ",IFERROR(INDEX(Накл!$C$9:$C$550,SMALL(IF(Накл!$A$9:$A$550=VALUE(LEFT(A519,8)),ROW(Накл!$A$9:$A$550)-ROW(Накл!$A$9)+1),ROW(E520)-ROW(B519)+1)),"")," ",IFERROR(INDEX(Накл!$C$9:$C$550,SMALL(IF(Накл!$A$9:$A$550=VALUE(LEFT(A519,8)),ROW(Накл!$A$9:$A$550)-ROW(Накл!$A$9)+1),ROW(E521)-ROW(B519)+1)),"")," ",IFERROR(INDEX(Накл!$C$9:$C$550,SMALL(IF(Накл!$A$9:$A$550=VALUE(LEFT(A519,8)),ROW(Накл!$A$9:$A$550)-ROW(Накл!$A$9)+1),ROW(E522)-ROW(B519)+1)),"")),"")</f>
        <v xml:space="preserve">   </v>
      </c>
    </row>
    <row r="520" spans="1:5">
      <c r="A520" s="26" t="str">
        <f>IFERROR(CONCATENATE(VALUE(SUBSTITUTE(SUBSTITUTE(LEFT(Накл!G527,11),".",""),"-",""))," ",Накл!J527),"-")</f>
        <v>-</v>
      </c>
      <c r="B520" s="26" t="str">
        <f>IFERROR(VLOOKUP(VALUE(LEFT(A520,8)),Накл!$A$9:$D$550,4,0),"-")</f>
        <v>-</v>
      </c>
      <c r="C520" s="26">
        <f>Накл!J527</f>
        <v>0</v>
      </c>
      <c r="D520" s="33" t="str">
        <f t="array" ref="D520">CONCATENATE(IFERROR(INDEX(Накл!$C$9:$C$550,SMALL(IF(Накл!$B$9:$B$550=A520,ROW(Накл!$B$9:$B$550)-ROW(Накл!$B$9)+1),ROW(D520)-ROW(A520)+1)),"")," ",IFERROR(INDEX(Накл!$C$9:$C$550,SMALL(IF(Накл!$B$9:$B$550=A520,ROW(Накл!$B$9:$B$550)-ROW(Накл!$B$9)+1),ROW(D521)-ROW(A520)+1)),"")," ",IFERROR(INDEX(Накл!$C$9:$C$550,SMALL(IF(Накл!$B$9:$B$550=A520,ROW(Накл!$B$9:$B$550)-ROW(Накл!$B$9)+1),ROW(D522)-ROW(A520)+1)),"")," ",IFERROR(INDEX(Накл!$C$9:$C$550,SMALL(IF(Накл!$B$9:$B$550=A520,ROW(Накл!$B$9:$B$550)-ROW(Накл!$B$9)+1),ROW(D523)-ROW(A520)+1)),"")," ",IFERROR(INDEX(Накл!$C$9:$C$550,SMALL(IF(Накл!$B$9:$B$550=A520,ROW(Накл!$B$9:$B$550)-ROW(Накл!$B$9)+1),ROW(D524)-ROW(A520)+1)),"")," ",IFERROR(INDEX(Накл!$C$9:$C$550,SMALL(IF(Накл!$B$9:$B$550=A520,ROW(Накл!$B$9:$B$550)-ROW(Накл!$B$9)+1),ROW(D525)-ROW(A520)+1)),"")," ",IFERROR(INDEX(Накл!$C$9:$C$550,SMALL(IF(Накл!$B$9:$B$550=A520,ROW(Накл!$B$9:$B$550)-ROW(Накл!$B$9)+1),ROW(D526)-ROW(A520)+1)),"")," ",IFERROR(INDEX(Накл!$C$9:$C$550,SMALL(IF(Накл!$B$9:$B$550=A520,ROW(Накл!$B$9:$B$550)-ROW(Накл!$B$9)+1),ROW(D527)-ROW(A520)+1)),"")," ",IFERROR(INDEX(Накл!$C$9:$C$550,SMALL(IF(Накл!$B$9:$B$550=A520,ROW(Накл!$B$9:$B$550)-ROW(Накл!$B$9)+1),ROW(D528)-ROW(A520)+1)),"")," ",IFERROR(INDEX(Накл!$C$9:$C$550,SMALL(IF(Накл!$B$9:$B$550=A520,ROW(Накл!$B$9:$B$550)-ROW(Накл!$B$9)+1),ROW(D529)-ROW(A520)+1)),""))</f>
        <v xml:space="preserve">         </v>
      </c>
      <c r="E520" s="26" t="str">
        <f t="array" ref="E520">IF(LEN(D520)&lt;10,CONCATENATE(IFERROR(INDEX(Накл!$C$9:$C$550,SMALL(IF(Накл!$A$9:$A$550=VALUE(LEFT(A520,8)),ROW(Накл!$A$9:$A$550)-ROW(Накл!$A$9)+1),ROW(E520)-ROW(B520)+1)),"")," ",IFERROR(INDEX(Накл!$C$9:$C$550,SMALL(IF(Накл!$A$9:$A$550=VALUE(LEFT(A520,8)),ROW(Накл!$A$9:$A$550)-ROW(Накл!$A$9)+1),ROW(E521)-ROW(B520)+1)),"")," ",IFERROR(INDEX(Накл!$C$9:$C$550,SMALL(IF(Накл!$A$9:$A$550=VALUE(LEFT(A520,8)),ROW(Накл!$A$9:$A$550)-ROW(Накл!$A$9)+1),ROW(E522)-ROW(B520)+1)),"")," ",IFERROR(INDEX(Накл!$C$9:$C$550,SMALL(IF(Накл!$A$9:$A$550=VALUE(LEFT(A520,8)),ROW(Накл!$A$9:$A$550)-ROW(Накл!$A$9)+1),ROW(E523)-ROW(B520)+1)),"")),"")</f>
        <v xml:space="preserve">   </v>
      </c>
    </row>
    <row r="521" spans="1:5">
      <c r="A521" s="26" t="str">
        <f>IFERROR(CONCATENATE(VALUE(SUBSTITUTE(SUBSTITUTE(LEFT(Накл!G528,11),".",""),"-",""))," ",Накл!J528),"-")</f>
        <v>-</v>
      </c>
      <c r="B521" s="26" t="str">
        <f>IFERROR(VLOOKUP(VALUE(LEFT(A521,8)),Накл!$A$9:$D$550,4,0),"-")</f>
        <v>-</v>
      </c>
      <c r="C521" s="26">
        <f>Накл!J528</f>
        <v>0</v>
      </c>
      <c r="D521" s="33" t="str">
        <f t="array" ref="D521">CONCATENATE(IFERROR(INDEX(Накл!$C$9:$C$550,SMALL(IF(Накл!$B$9:$B$550=A521,ROW(Накл!$B$9:$B$550)-ROW(Накл!$B$9)+1),ROW(D521)-ROW(A521)+1)),"")," ",IFERROR(INDEX(Накл!$C$9:$C$550,SMALL(IF(Накл!$B$9:$B$550=A521,ROW(Накл!$B$9:$B$550)-ROW(Накл!$B$9)+1),ROW(D522)-ROW(A521)+1)),"")," ",IFERROR(INDEX(Накл!$C$9:$C$550,SMALL(IF(Накл!$B$9:$B$550=A521,ROW(Накл!$B$9:$B$550)-ROW(Накл!$B$9)+1),ROW(D523)-ROW(A521)+1)),"")," ",IFERROR(INDEX(Накл!$C$9:$C$550,SMALL(IF(Накл!$B$9:$B$550=A521,ROW(Накл!$B$9:$B$550)-ROW(Накл!$B$9)+1),ROW(D524)-ROW(A521)+1)),"")," ",IFERROR(INDEX(Накл!$C$9:$C$550,SMALL(IF(Накл!$B$9:$B$550=A521,ROW(Накл!$B$9:$B$550)-ROW(Накл!$B$9)+1),ROW(D525)-ROW(A521)+1)),"")," ",IFERROR(INDEX(Накл!$C$9:$C$550,SMALL(IF(Накл!$B$9:$B$550=A521,ROW(Накл!$B$9:$B$550)-ROW(Накл!$B$9)+1),ROW(D526)-ROW(A521)+1)),"")," ",IFERROR(INDEX(Накл!$C$9:$C$550,SMALL(IF(Накл!$B$9:$B$550=A521,ROW(Накл!$B$9:$B$550)-ROW(Накл!$B$9)+1),ROW(D527)-ROW(A521)+1)),"")," ",IFERROR(INDEX(Накл!$C$9:$C$550,SMALL(IF(Накл!$B$9:$B$550=A521,ROW(Накл!$B$9:$B$550)-ROW(Накл!$B$9)+1),ROW(D528)-ROW(A521)+1)),"")," ",IFERROR(INDEX(Накл!$C$9:$C$550,SMALL(IF(Накл!$B$9:$B$550=A521,ROW(Накл!$B$9:$B$550)-ROW(Накл!$B$9)+1),ROW(D529)-ROW(A521)+1)),"")," ",IFERROR(INDEX(Накл!$C$9:$C$550,SMALL(IF(Накл!$B$9:$B$550=A521,ROW(Накл!$B$9:$B$550)-ROW(Накл!$B$9)+1),ROW(D530)-ROW(A521)+1)),""))</f>
        <v xml:space="preserve">         </v>
      </c>
      <c r="E521" s="26" t="str">
        <f t="array" ref="E521">IF(LEN(D521)&lt;10,CONCATENATE(IFERROR(INDEX(Накл!$C$9:$C$550,SMALL(IF(Накл!$A$9:$A$550=VALUE(LEFT(A521,8)),ROW(Накл!$A$9:$A$550)-ROW(Накл!$A$9)+1),ROW(E521)-ROW(B521)+1)),"")," ",IFERROR(INDEX(Накл!$C$9:$C$550,SMALL(IF(Накл!$A$9:$A$550=VALUE(LEFT(A521,8)),ROW(Накл!$A$9:$A$550)-ROW(Накл!$A$9)+1),ROW(E522)-ROW(B521)+1)),"")," ",IFERROR(INDEX(Накл!$C$9:$C$550,SMALL(IF(Накл!$A$9:$A$550=VALUE(LEFT(A521,8)),ROW(Накл!$A$9:$A$550)-ROW(Накл!$A$9)+1),ROW(E523)-ROW(B521)+1)),"")," ",IFERROR(INDEX(Накл!$C$9:$C$550,SMALL(IF(Накл!$A$9:$A$550=VALUE(LEFT(A521,8)),ROW(Накл!$A$9:$A$550)-ROW(Накл!$A$9)+1),ROW(E524)-ROW(B521)+1)),"")),"")</f>
        <v xml:space="preserve">   </v>
      </c>
    </row>
    <row r="522" spans="1:5">
      <c r="A522" s="26" t="str">
        <f>IFERROR(CONCATENATE(VALUE(SUBSTITUTE(SUBSTITUTE(LEFT(Накл!G529,11),".",""),"-",""))," ",Накл!J529),"-")</f>
        <v>-</v>
      </c>
      <c r="B522" s="26" t="str">
        <f>IFERROR(VLOOKUP(VALUE(LEFT(A522,8)),Накл!$A$9:$D$550,4,0),"-")</f>
        <v>-</v>
      </c>
      <c r="C522" s="26">
        <f>Накл!J529</f>
        <v>0</v>
      </c>
      <c r="D522" s="33" t="str">
        <f t="array" ref="D522">CONCATENATE(IFERROR(INDEX(Накл!$C$9:$C$550,SMALL(IF(Накл!$B$9:$B$550=A522,ROW(Накл!$B$9:$B$550)-ROW(Накл!$B$9)+1),ROW(D522)-ROW(A522)+1)),"")," ",IFERROR(INDEX(Накл!$C$9:$C$550,SMALL(IF(Накл!$B$9:$B$550=A522,ROW(Накл!$B$9:$B$550)-ROW(Накл!$B$9)+1),ROW(D523)-ROW(A522)+1)),"")," ",IFERROR(INDEX(Накл!$C$9:$C$550,SMALL(IF(Накл!$B$9:$B$550=A522,ROW(Накл!$B$9:$B$550)-ROW(Накл!$B$9)+1),ROW(D524)-ROW(A522)+1)),"")," ",IFERROR(INDEX(Накл!$C$9:$C$550,SMALL(IF(Накл!$B$9:$B$550=A522,ROW(Накл!$B$9:$B$550)-ROW(Накл!$B$9)+1),ROW(D525)-ROW(A522)+1)),"")," ",IFERROR(INDEX(Накл!$C$9:$C$550,SMALL(IF(Накл!$B$9:$B$550=A522,ROW(Накл!$B$9:$B$550)-ROW(Накл!$B$9)+1),ROW(D526)-ROW(A522)+1)),"")," ",IFERROR(INDEX(Накл!$C$9:$C$550,SMALL(IF(Накл!$B$9:$B$550=A522,ROW(Накл!$B$9:$B$550)-ROW(Накл!$B$9)+1),ROW(D527)-ROW(A522)+1)),"")," ",IFERROR(INDEX(Накл!$C$9:$C$550,SMALL(IF(Накл!$B$9:$B$550=A522,ROW(Накл!$B$9:$B$550)-ROW(Накл!$B$9)+1),ROW(D528)-ROW(A522)+1)),"")," ",IFERROR(INDEX(Накл!$C$9:$C$550,SMALL(IF(Накл!$B$9:$B$550=A522,ROW(Накл!$B$9:$B$550)-ROW(Накл!$B$9)+1),ROW(D529)-ROW(A522)+1)),"")," ",IFERROR(INDEX(Накл!$C$9:$C$550,SMALL(IF(Накл!$B$9:$B$550=A522,ROW(Накл!$B$9:$B$550)-ROW(Накл!$B$9)+1),ROW(D530)-ROW(A522)+1)),"")," ",IFERROR(INDEX(Накл!$C$9:$C$550,SMALL(IF(Накл!$B$9:$B$550=A522,ROW(Накл!$B$9:$B$550)-ROW(Накл!$B$9)+1),ROW(D531)-ROW(A522)+1)),""))</f>
        <v xml:space="preserve">         </v>
      </c>
      <c r="E522" s="26" t="str">
        <f t="array" ref="E522">IF(LEN(D522)&lt;10,CONCATENATE(IFERROR(INDEX(Накл!$C$9:$C$550,SMALL(IF(Накл!$A$9:$A$550=VALUE(LEFT(A522,8)),ROW(Накл!$A$9:$A$550)-ROW(Накл!$A$9)+1),ROW(E522)-ROW(B522)+1)),"")," ",IFERROR(INDEX(Накл!$C$9:$C$550,SMALL(IF(Накл!$A$9:$A$550=VALUE(LEFT(A522,8)),ROW(Накл!$A$9:$A$550)-ROW(Накл!$A$9)+1),ROW(E523)-ROW(B522)+1)),"")," ",IFERROR(INDEX(Накл!$C$9:$C$550,SMALL(IF(Накл!$A$9:$A$550=VALUE(LEFT(A522,8)),ROW(Накл!$A$9:$A$550)-ROW(Накл!$A$9)+1),ROW(E524)-ROW(B522)+1)),"")," ",IFERROR(INDEX(Накл!$C$9:$C$550,SMALL(IF(Накл!$A$9:$A$550=VALUE(LEFT(A522,8)),ROW(Накл!$A$9:$A$550)-ROW(Накл!$A$9)+1),ROW(E525)-ROW(B522)+1)),"")),"")</f>
        <v xml:space="preserve">   </v>
      </c>
    </row>
    <row r="523" spans="1:5">
      <c r="A523" s="26" t="str">
        <f>IFERROR(CONCATENATE(VALUE(SUBSTITUTE(SUBSTITUTE(LEFT(Накл!G530,11),".",""),"-",""))," ",Накл!J530),"-")</f>
        <v>-</v>
      </c>
      <c r="B523" s="26" t="str">
        <f>IFERROR(VLOOKUP(VALUE(LEFT(A523,8)),Накл!$A$9:$D$550,4,0),"-")</f>
        <v>-</v>
      </c>
      <c r="C523" s="26">
        <f>Накл!J530</f>
        <v>0</v>
      </c>
      <c r="D523" s="33" t="str">
        <f t="array" ref="D523">CONCATENATE(IFERROR(INDEX(Накл!$C$9:$C$550,SMALL(IF(Накл!$B$9:$B$550=A523,ROW(Накл!$B$9:$B$550)-ROW(Накл!$B$9)+1),ROW(D523)-ROW(A523)+1)),"")," ",IFERROR(INDEX(Накл!$C$9:$C$550,SMALL(IF(Накл!$B$9:$B$550=A523,ROW(Накл!$B$9:$B$550)-ROW(Накл!$B$9)+1),ROW(D524)-ROW(A523)+1)),"")," ",IFERROR(INDEX(Накл!$C$9:$C$550,SMALL(IF(Накл!$B$9:$B$550=A523,ROW(Накл!$B$9:$B$550)-ROW(Накл!$B$9)+1),ROW(D525)-ROW(A523)+1)),"")," ",IFERROR(INDEX(Накл!$C$9:$C$550,SMALL(IF(Накл!$B$9:$B$550=A523,ROW(Накл!$B$9:$B$550)-ROW(Накл!$B$9)+1),ROW(D526)-ROW(A523)+1)),"")," ",IFERROR(INDEX(Накл!$C$9:$C$550,SMALL(IF(Накл!$B$9:$B$550=A523,ROW(Накл!$B$9:$B$550)-ROW(Накл!$B$9)+1),ROW(D527)-ROW(A523)+1)),"")," ",IFERROR(INDEX(Накл!$C$9:$C$550,SMALL(IF(Накл!$B$9:$B$550=A523,ROW(Накл!$B$9:$B$550)-ROW(Накл!$B$9)+1),ROW(D528)-ROW(A523)+1)),"")," ",IFERROR(INDEX(Накл!$C$9:$C$550,SMALL(IF(Накл!$B$9:$B$550=A523,ROW(Накл!$B$9:$B$550)-ROW(Накл!$B$9)+1),ROW(D529)-ROW(A523)+1)),"")," ",IFERROR(INDEX(Накл!$C$9:$C$550,SMALL(IF(Накл!$B$9:$B$550=A523,ROW(Накл!$B$9:$B$550)-ROW(Накл!$B$9)+1),ROW(D530)-ROW(A523)+1)),"")," ",IFERROR(INDEX(Накл!$C$9:$C$550,SMALL(IF(Накл!$B$9:$B$550=A523,ROW(Накл!$B$9:$B$550)-ROW(Накл!$B$9)+1),ROW(D531)-ROW(A523)+1)),"")," ",IFERROR(INDEX(Накл!$C$9:$C$550,SMALL(IF(Накл!$B$9:$B$550=A523,ROW(Накл!$B$9:$B$550)-ROW(Накл!$B$9)+1),ROW(D532)-ROW(A523)+1)),""))</f>
        <v xml:space="preserve">         </v>
      </c>
      <c r="E523" s="26" t="str">
        <f t="array" ref="E523">IF(LEN(D523)&lt;10,CONCATENATE(IFERROR(INDEX(Накл!$C$9:$C$550,SMALL(IF(Накл!$A$9:$A$550=VALUE(LEFT(A523,8)),ROW(Накл!$A$9:$A$550)-ROW(Накл!$A$9)+1),ROW(E523)-ROW(B523)+1)),"")," ",IFERROR(INDEX(Накл!$C$9:$C$550,SMALL(IF(Накл!$A$9:$A$550=VALUE(LEFT(A523,8)),ROW(Накл!$A$9:$A$550)-ROW(Накл!$A$9)+1),ROW(E524)-ROW(B523)+1)),"")," ",IFERROR(INDEX(Накл!$C$9:$C$550,SMALL(IF(Накл!$A$9:$A$550=VALUE(LEFT(A523,8)),ROW(Накл!$A$9:$A$550)-ROW(Накл!$A$9)+1),ROW(E525)-ROW(B523)+1)),"")," ",IFERROR(INDEX(Накл!$C$9:$C$550,SMALL(IF(Накл!$A$9:$A$550=VALUE(LEFT(A523,8)),ROW(Накл!$A$9:$A$550)-ROW(Накл!$A$9)+1),ROW(E526)-ROW(B523)+1)),"")),"")</f>
        <v xml:space="preserve">   </v>
      </c>
    </row>
    <row r="524" spans="1:5">
      <c r="A524" s="26" t="str">
        <f>IFERROR(CONCATENATE(VALUE(SUBSTITUTE(SUBSTITUTE(LEFT(Накл!G531,11),".",""),"-",""))," ",Накл!J531),"-")</f>
        <v>-</v>
      </c>
      <c r="B524" s="26" t="str">
        <f>IFERROR(VLOOKUP(VALUE(LEFT(A524,8)),Накл!$A$9:$D$550,4,0),"-")</f>
        <v>-</v>
      </c>
      <c r="C524" s="26">
        <f>Накл!J531</f>
        <v>0</v>
      </c>
      <c r="D524" s="33" t="str">
        <f t="array" ref="D524">CONCATENATE(IFERROR(INDEX(Накл!$C$9:$C$550,SMALL(IF(Накл!$B$9:$B$550=A524,ROW(Накл!$B$9:$B$550)-ROW(Накл!$B$9)+1),ROW(D524)-ROW(A524)+1)),"")," ",IFERROR(INDEX(Накл!$C$9:$C$550,SMALL(IF(Накл!$B$9:$B$550=A524,ROW(Накл!$B$9:$B$550)-ROW(Накл!$B$9)+1),ROW(D525)-ROW(A524)+1)),"")," ",IFERROR(INDEX(Накл!$C$9:$C$550,SMALL(IF(Накл!$B$9:$B$550=A524,ROW(Накл!$B$9:$B$550)-ROW(Накл!$B$9)+1),ROW(D526)-ROW(A524)+1)),"")," ",IFERROR(INDEX(Накл!$C$9:$C$550,SMALL(IF(Накл!$B$9:$B$550=A524,ROW(Накл!$B$9:$B$550)-ROW(Накл!$B$9)+1),ROW(D527)-ROW(A524)+1)),"")," ",IFERROR(INDEX(Накл!$C$9:$C$550,SMALL(IF(Накл!$B$9:$B$550=A524,ROW(Накл!$B$9:$B$550)-ROW(Накл!$B$9)+1),ROW(D528)-ROW(A524)+1)),"")," ",IFERROR(INDEX(Накл!$C$9:$C$550,SMALL(IF(Накл!$B$9:$B$550=A524,ROW(Накл!$B$9:$B$550)-ROW(Накл!$B$9)+1),ROW(D529)-ROW(A524)+1)),"")," ",IFERROR(INDEX(Накл!$C$9:$C$550,SMALL(IF(Накл!$B$9:$B$550=A524,ROW(Накл!$B$9:$B$550)-ROW(Накл!$B$9)+1),ROW(D530)-ROW(A524)+1)),"")," ",IFERROR(INDEX(Накл!$C$9:$C$550,SMALL(IF(Накл!$B$9:$B$550=A524,ROW(Накл!$B$9:$B$550)-ROW(Накл!$B$9)+1),ROW(D531)-ROW(A524)+1)),"")," ",IFERROR(INDEX(Накл!$C$9:$C$550,SMALL(IF(Накл!$B$9:$B$550=A524,ROW(Накл!$B$9:$B$550)-ROW(Накл!$B$9)+1),ROW(D532)-ROW(A524)+1)),"")," ",IFERROR(INDEX(Накл!$C$9:$C$550,SMALL(IF(Накл!$B$9:$B$550=A524,ROW(Накл!$B$9:$B$550)-ROW(Накл!$B$9)+1),ROW(D533)-ROW(A524)+1)),""))</f>
        <v xml:space="preserve">         </v>
      </c>
      <c r="E524" s="26" t="str">
        <f t="array" ref="E524">IF(LEN(D524)&lt;10,CONCATENATE(IFERROR(INDEX(Накл!$C$9:$C$550,SMALL(IF(Накл!$A$9:$A$550=VALUE(LEFT(A524,8)),ROW(Накл!$A$9:$A$550)-ROW(Накл!$A$9)+1),ROW(E524)-ROW(B524)+1)),"")," ",IFERROR(INDEX(Накл!$C$9:$C$550,SMALL(IF(Накл!$A$9:$A$550=VALUE(LEFT(A524,8)),ROW(Накл!$A$9:$A$550)-ROW(Накл!$A$9)+1),ROW(E525)-ROW(B524)+1)),"")," ",IFERROR(INDEX(Накл!$C$9:$C$550,SMALL(IF(Накл!$A$9:$A$550=VALUE(LEFT(A524,8)),ROW(Накл!$A$9:$A$550)-ROW(Накл!$A$9)+1),ROW(E526)-ROW(B524)+1)),"")," ",IFERROR(INDEX(Накл!$C$9:$C$550,SMALL(IF(Накл!$A$9:$A$550=VALUE(LEFT(A524,8)),ROW(Накл!$A$9:$A$550)-ROW(Накл!$A$9)+1),ROW(E527)-ROW(B524)+1)),"")),"")</f>
        <v xml:space="preserve">   </v>
      </c>
    </row>
    <row r="525" spans="1:5">
      <c r="A525" s="26" t="str">
        <f>IFERROR(CONCATENATE(VALUE(SUBSTITUTE(SUBSTITUTE(LEFT(Накл!G532,11),".",""),"-",""))," ",Накл!J532),"-")</f>
        <v>-</v>
      </c>
      <c r="B525" s="26" t="str">
        <f>IFERROR(VLOOKUP(VALUE(LEFT(A525,8)),Накл!$A$9:$D$550,4,0),"-")</f>
        <v>-</v>
      </c>
      <c r="C525" s="26">
        <f>Накл!J532</f>
        <v>0</v>
      </c>
      <c r="D525" s="33" t="str">
        <f t="array" ref="D525">CONCATENATE(IFERROR(INDEX(Накл!$C$9:$C$550,SMALL(IF(Накл!$B$9:$B$550=A525,ROW(Накл!$B$9:$B$550)-ROW(Накл!$B$9)+1),ROW(D525)-ROW(A525)+1)),"")," ",IFERROR(INDEX(Накл!$C$9:$C$550,SMALL(IF(Накл!$B$9:$B$550=A525,ROW(Накл!$B$9:$B$550)-ROW(Накл!$B$9)+1),ROW(D526)-ROW(A525)+1)),"")," ",IFERROR(INDEX(Накл!$C$9:$C$550,SMALL(IF(Накл!$B$9:$B$550=A525,ROW(Накл!$B$9:$B$550)-ROW(Накл!$B$9)+1),ROW(D527)-ROW(A525)+1)),"")," ",IFERROR(INDEX(Накл!$C$9:$C$550,SMALL(IF(Накл!$B$9:$B$550=A525,ROW(Накл!$B$9:$B$550)-ROW(Накл!$B$9)+1),ROW(D528)-ROW(A525)+1)),"")," ",IFERROR(INDEX(Накл!$C$9:$C$550,SMALL(IF(Накл!$B$9:$B$550=A525,ROW(Накл!$B$9:$B$550)-ROW(Накл!$B$9)+1),ROW(D529)-ROW(A525)+1)),"")," ",IFERROR(INDEX(Накл!$C$9:$C$550,SMALL(IF(Накл!$B$9:$B$550=A525,ROW(Накл!$B$9:$B$550)-ROW(Накл!$B$9)+1),ROW(D530)-ROW(A525)+1)),"")," ",IFERROR(INDEX(Накл!$C$9:$C$550,SMALL(IF(Накл!$B$9:$B$550=A525,ROW(Накл!$B$9:$B$550)-ROW(Накл!$B$9)+1),ROW(D531)-ROW(A525)+1)),"")," ",IFERROR(INDEX(Накл!$C$9:$C$550,SMALL(IF(Накл!$B$9:$B$550=A525,ROW(Накл!$B$9:$B$550)-ROW(Накл!$B$9)+1),ROW(D532)-ROW(A525)+1)),"")," ",IFERROR(INDEX(Накл!$C$9:$C$550,SMALL(IF(Накл!$B$9:$B$550=A525,ROW(Накл!$B$9:$B$550)-ROW(Накл!$B$9)+1),ROW(D533)-ROW(A525)+1)),"")," ",IFERROR(INDEX(Накл!$C$9:$C$550,SMALL(IF(Накл!$B$9:$B$550=A525,ROW(Накл!$B$9:$B$550)-ROW(Накл!$B$9)+1),ROW(D534)-ROW(A525)+1)),""))</f>
        <v xml:space="preserve">         </v>
      </c>
      <c r="E525" s="26" t="str">
        <f t="array" ref="E525">IF(LEN(D525)&lt;10,CONCATENATE(IFERROR(INDEX(Накл!$C$9:$C$550,SMALL(IF(Накл!$A$9:$A$550=VALUE(LEFT(A525,8)),ROW(Накл!$A$9:$A$550)-ROW(Накл!$A$9)+1),ROW(E525)-ROW(B525)+1)),"")," ",IFERROR(INDEX(Накл!$C$9:$C$550,SMALL(IF(Накл!$A$9:$A$550=VALUE(LEFT(A525,8)),ROW(Накл!$A$9:$A$550)-ROW(Накл!$A$9)+1),ROW(E526)-ROW(B525)+1)),"")," ",IFERROR(INDEX(Накл!$C$9:$C$550,SMALL(IF(Накл!$A$9:$A$550=VALUE(LEFT(A525,8)),ROW(Накл!$A$9:$A$550)-ROW(Накл!$A$9)+1),ROW(E527)-ROW(B525)+1)),"")," ",IFERROR(INDEX(Накл!$C$9:$C$550,SMALL(IF(Накл!$A$9:$A$550=VALUE(LEFT(A525,8)),ROW(Накл!$A$9:$A$550)-ROW(Накл!$A$9)+1),ROW(E528)-ROW(B525)+1)),"")),"")</f>
        <v xml:space="preserve">   </v>
      </c>
    </row>
    <row r="526" spans="1:5">
      <c r="A526" s="26" t="str">
        <f>IFERROR(CONCATENATE(VALUE(SUBSTITUTE(SUBSTITUTE(LEFT(Накл!G533,11),".",""),"-",""))," ",Накл!J533),"-")</f>
        <v>-</v>
      </c>
      <c r="B526" s="26" t="str">
        <f>IFERROR(VLOOKUP(VALUE(LEFT(A526,8)),Накл!$A$9:$D$550,4,0),"-")</f>
        <v>-</v>
      </c>
      <c r="C526" s="26">
        <f>Накл!J533</f>
        <v>0</v>
      </c>
      <c r="D526" s="33" t="str">
        <f t="array" ref="D526">CONCATENATE(IFERROR(INDEX(Накл!$C$9:$C$550,SMALL(IF(Накл!$B$9:$B$550=A526,ROW(Накл!$B$9:$B$550)-ROW(Накл!$B$9)+1),ROW(D526)-ROW(A526)+1)),"")," ",IFERROR(INDEX(Накл!$C$9:$C$550,SMALL(IF(Накл!$B$9:$B$550=A526,ROW(Накл!$B$9:$B$550)-ROW(Накл!$B$9)+1),ROW(D527)-ROW(A526)+1)),"")," ",IFERROR(INDEX(Накл!$C$9:$C$550,SMALL(IF(Накл!$B$9:$B$550=A526,ROW(Накл!$B$9:$B$550)-ROW(Накл!$B$9)+1),ROW(D528)-ROW(A526)+1)),"")," ",IFERROR(INDEX(Накл!$C$9:$C$550,SMALL(IF(Накл!$B$9:$B$550=A526,ROW(Накл!$B$9:$B$550)-ROW(Накл!$B$9)+1),ROW(D529)-ROW(A526)+1)),"")," ",IFERROR(INDEX(Накл!$C$9:$C$550,SMALL(IF(Накл!$B$9:$B$550=A526,ROW(Накл!$B$9:$B$550)-ROW(Накл!$B$9)+1),ROW(D530)-ROW(A526)+1)),"")," ",IFERROR(INDEX(Накл!$C$9:$C$550,SMALL(IF(Накл!$B$9:$B$550=A526,ROW(Накл!$B$9:$B$550)-ROW(Накл!$B$9)+1),ROW(D531)-ROW(A526)+1)),"")," ",IFERROR(INDEX(Накл!$C$9:$C$550,SMALL(IF(Накл!$B$9:$B$550=A526,ROW(Накл!$B$9:$B$550)-ROW(Накл!$B$9)+1),ROW(D532)-ROW(A526)+1)),"")," ",IFERROR(INDEX(Накл!$C$9:$C$550,SMALL(IF(Накл!$B$9:$B$550=A526,ROW(Накл!$B$9:$B$550)-ROW(Накл!$B$9)+1),ROW(D533)-ROW(A526)+1)),"")," ",IFERROR(INDEX(Накл!$C$9:$C$550,SMALL(IF(Накл!$B$9:$B$550=A526,ROW(Накл!$B$9:$B$550)-ROW(Накл!$B$9)+1),ROW(D534)-ROW(A526)+1)),"")," ",IFERROR(INDEX(Накл!$C$9:$C$550,SMALL(IF(Накл!$B$9:$B$550=A526,ROW(Накл!$B$9:$B$550)-ROW(Накл!$B$9)+1),ROW(D535)-ROW(A526)+1)),""))</f>
        <v xml:space="preserve">         </v>
      </c>
      <c r="E526" s="26" t="str">
        <f t="array" ref="E526">IF(LEN(D526)&lt;10,CONCATENATE(IFERROR(INDEX(Накл!$C$9:$C$550,SMALL(IF(Накл!$A$9:$A$550=VALUE(LEFT(A526,8)),ROW(Накл!$A$9:$A$550)-ROW(Накл!$A$9)+1),ROW(E526)-ROW(B526)+1)),"")," ",IFERROR(INDEX(Накл!$C$9:$C$550,SMALL(IF(Накл!$A$9:$A$550=VALUE(LEFT(A526,8)),ROW(Накл!$A$9:$A$550)-ROW(Накл!$A$9)+1),ROW(E527)-ROW(B526)+1)),"")," ",IFERROR(INDEX(Накл!$C$9:$C$550,SMALL(IF(Накл!$A$9:$A$550=VALUE(LEFT(A526,8)),ROW(Накл!$A$9:$A$550)-ROW(Накл!$A$9)+1),ROW(E528)-ROW(B526)+1)),"")," ",IFERROR(INDEX(Накл!$C$9:$C$550,SMALL(IF(Накл!$A$9:$A$550=VALUE(LEFT(A526,8)),ROW(Накл!$A$9:$A$550)-ROW(Накл!$A$9)+1),ROW(E529)-ROW(B526)+1)),"")),"")</f>
        <v xml:space="preserve">   </v>
      </c>
    </row>
    <row r="527" spans="1:5">
      <c r="A527" s="26" t="str">
        <f>IFERROR(CONCATENATE(VALUE(SUBSTITUTE(SUBSTITUTE(LEFT(Накл!G534,11),".",""),"-",""))," ",Накл!J534),"-")</f>
        <v>-</v>
      </c>
      <c r="B527" s="26" t="str">
        <f>IFERROR(VLOOKUP(VALUE(LEFT(A527,8)),Накл!$A$9:$D$550,4,0),"-")</f>
        <v>-</v>
      </c>
      <c r="C527" s="26">
        <f>Накл!J534</f>
        <v>0</v>
      </c>
      <c r="D527" s="33" t="str">
        <f t="array" ref="D527">CONCATENATE(IFERROR(INDEX(Накл!$C$9:$C$550,SMALL(IF(Накл!$B$9:$B$550=A527,ROW(Накл!$B$9:$B$550)-ROW(Накл!$B$9)+1),ROW(D527)-ROW(A527)+1)),"")," ",IFERROR(INDEX(Накл!$C$9:$C$550,SMALL(IF(Накл!$B$9:$B$550=A527,ROW(Накл!$B$9:$B$550)-ROW(Накл!$B$9)+1),ROW(D528)-ROW(A527)+1)),"")," ",IFERROR(INDEX(Накл!$C$9:$C$550,SMALL(IF(Накл!$B$9:$B$550=A527,ROW(Накл!$B$9:$B$550)-ROW(Накл!$B$9)+1),ROW(D529)-ROW(A527)+1)),"")," ",IFERROR(INDEX(Накл!$C$9:$C$550,SMALL(IF(Накл!$B$9:$B$550=A527,ROW(Накл!$B$9:$B$550)-ROW(Накл!$B$9)+1),ROW(D530)-ROW(A527)+1)),"")," ",IFERROR(INDEX(Накл!$C$9:$C$550,SMALL(IF(Накл!$B$9:$B$550=A527,ROW(Накл!$B$9:$B$550)-ROW(Накл!$B$9)+1),ROW(D531)-ROW(A527)+1)),"")," ",IFERROR(INDEX(Накл!$C$9:$C$550,SMALL(IF(Накл!$B$9:$B$550=A527,ROW(Накл!$B$9:$B$550)-ROW(Накл!$B$9)+1),ROW(D532)-ROW(A527)+1)),"")," ",IFERROR(INDEX(Накл!$C$9:$C$550,SMALL(IF(Накл!$B$9:$B$550=A527,ROW(Накл!$B$9:$B$550)-ROW(Накл!$B$9)+1),ROW(D533)-ROW(A527)+1)),"")," ",IFERROR(INDEX(Накл!$C$9:$C$550,SMALL(IF(Накл!$B$9:$B$550=A527,ROW(Накл!$B$9:$B$550)-ROW(Накл!$B$9)+1),ROW(D534)-ROW(A527)+1)),"")," ",IFERROR(INDEX(Накл!$C$9:$C$550,SMALL(IF(Накл!$B$9:$B$550=A527,ROW(Накл!$B$9:$B$550)-ROW(Накл!$B$9)+1),ROW(D535)-ROW(A527)+1)),"")," ",IFERROR(INDEX(Накл!$C$9:$C$550,SMALL(IF(Накл!$B$9:$B$550=A527,ROW(Накл!$B$9:$B$550)-ROW(Накл!$B$9)+1),ROW(D536)-ROW(A527)+1)),""))</f>
        <v xml:space="preserve">         </v>
      </c>
      <c r="E527" s="26" t="str">
        <f t="array" ref="E527">IF(LEN(D527)&lt;10,CONCATENATE(IFERROR(INDEX(Накл!$C$9:$C$550,SMALL(IF(Накл!$A$9:$A$550=VALUE(LEFT(A527,8)),ROW(Накл!$A$9:$A$550)-ROW(Накл!$A$9)+1),ROW(E527)-ROW(B527)+1)),"")," ",IFERROR(INDEX(Накл!$C$9:$C$550,SMALL(IF(Накл!$A$9:$A$550=VALUE(LEFT(A527,8)),ROW(Накл!$A$9:$A$550)-ROW(Накл!$A$9)+1),ROW(E528)-ROW(B527)+1)),"")," ",IFERROR(INDEX(Накл!$C$9:$C$550,SMALL(IF(Накл!$A$9:$A$550=VALUE(LEFT(A527,8)),ROW(Накл!$A$9:$A$550)-ROW(Накл!$A$9)+1),ROW(E529)-ROW(B527)+1)),"")," ",IFERROR(INDEX(Накл!$C$9:$C$550,SMALL(IF(Накл!$A$9:$A$550=VALUE(LEFT(A527,8)),ROW(Накл!$A$9:$A$550)-ROW(Накл!$A$9)+1),ROW(E530)-ROW(B527)+1)),"")),"")</f>
        <v xml:space="preserve">   </v>
      </c>
    </row>
    <row r="528" spans="1:5">
      <c r="A528" s="26" t="str">
        <f>IFERROR(CONCATENATE(VALUE(SUBSTITUTE(SUBSTITUTE(LEFT(Накл!G535,11),".",""),"-",""))," ",Накл!J535),"-")</f>
        <v>-</v>
      </c>
      <c r="B528" s="26" t="str">
        <f>IFERROR(VLOOKUP(VALUE(LEFT(A528,8)),Накл!$A$9:$D$550,4,0),"-")</f>
        <v>-</v>
      </c>
      <c r="C528" s="26">
        <f>Накл!J535</f>
        <v>0</v>
      </c>
      <c r="D528" s="33" t="str">
        <f t="array" ref="D528">CONCATENATE(IFERROR(INDEX(Накл!$C$9:$C$550,SMALL(IF(Накл!$B$9:$B$550=A528,ROW(Накл!$B$9:$B$550)-ROW(Накл!$B$9)+1),ROW(D528)-ROW(A528)+1)),"")," ",IFERROR(INDEX(Накл!$C$9:$C$550,SMALL(IF(Накл!$B$9:$B$550=A528,ROW(Накл!$B$9:$B$550)-ROW(Накл!$B$9)+1),ROW(D529)-ROW(A528)+1)),"")," ",IFERROR(INDEX(Накл!$C$9:$C$550,SMALL(IF(Накл!$B$9:$B$550=A528,ROW(Накл!$B$9:$B$550)-ROW(Накл!$B$9)+1),ROW(D530)-ROW(A528)+1)),"")," ",IFERROR(INDEX(Накл!$C$9:$C$550,SMALL(IF(Накл!$B$9:$B$550=A528,ROW(Накл!$B$9:$B$550)-ROW(Накл!$B$9)+1),ROW(D531)-ROW(A528)+1)),"")," ",IFERROR(INDEX(Накл!$C$9:$C$550,SMALL(IF(Накл!$B$9:$B$550=A528,ROW(Накл!$B$9:$B$550)-ROW(Накл!$B$9)+1),ROW(D532)-ROW(A528)+1)),"")," ",IFERROR(INDEX(Накл!$C$9:$C$550,SMALL(IF(Накл!$B$9:$B$550=A528,ROW(Накл!$B$9:$B$550)-ROW(Накл!$B$9)+1),ROW(D533)-ROW(A528)+1)),"")," ",IFERROR(INDEX(Накл!$C$9:$C$550,SMALL(IF(Накл!$B$9:$B$550=A528,ROW(Накл!$B$9:$B$550)-ROW(Накл!$B$9)+1),ROW(D534)-ROW(A528)+1)),"")," ",IFERROR(INDEX(Накл!$C$9:$C$550,SMALL(IF(Накл!$B$9:$B$550=A528,ROW(Накл!$B$9:$B$550)-ROW(Накл!$B$9)+1),ROW(D535)-ROW(A528)+1)),"")," ",IFERROR(INDEX(Накл!$C$9:$C$550,SMALL(IF(Накл!$B$9:$B$550=A528,ROW(Накл!$B$9:$B$550)-ROW(Накл!$B$9)+1),ROW(D536)-ROW(A528)+1)),"")," ",IFERROR(INDEX(Накл!$C$9:$C$550,SMALL(IF(Накл!$B$9:$B$550=A528,ROW(Накл!$B$9:$B$550)-ROW(Накл!$B$9)+1),ROW(D537)-ROW(A528)+1)),""))</f>
        <v xml:space="preserve">         </v>
      </c>
      <c r="E528" s="26" t="str">
        <f t="array" ref="E528">IF(LEN(D528)&lt;10,CONCATENATE(IFERROR(INDEX(Накл!$C$9:$C$550,SMALL(IF(Накл!$A$9:$A$550=VALUE(LEFT(A528,8)),ROW(Накл!$A$9:$A$550)-ROW(Накл!$A$9)+1),ROW(E528)-ROW(B528)+1)),"")," ",IFERROR(INDEX(Накл!$C$9:$C$550,SMALL(IF(Накл!$A$9:$A$550=VALUE(LEFT(A528,8)),ROW(Накл!$A$9:$A$550)-ROW(Накл!$A$9)+1),ROW(E529)-ROW(B528)+1)),"")," ",IFERROR(INDEX(Накл!$C$9:$C$550,SMALL(IF(Накл!$A$9:$A$550=VALUE(LEFT(A528,8)),ROW(Накл!$A$9:$A$550)-ROW(Накл!$A$9)+1),ROW(E530)-ROW(B528)+1)),"")," ",IFERROR(INDEX(Накл!$C$9:$C$550,SMALL(IF(Накл!$A$9:$A$550=VALUE(LEFT(A528,8)),ROW(Накл!$A$9:$A$550)-ROW(Накл!$A$9)+1),ROW(E531)-ROW(B528)+1)),"")),"")</f>
        <v xml:space="preserve">   </v>
      </c>
    </row>
    <row r="529" spans="1:5">
      <c r="A529" s="26" t="str">
        <f>IFERROR(CONCATENATE(VALUE(SUBSTITUTE(SUBSTITUTE(LEFT(Накл!G536,11),".",""),"-",""))," ",Накл!J536),"-")</f>
        <v>-</v>
      </c>
      <c r="B529" s="26" t="str">
        <f>IFERROR(VLOOKUP(VALUE(LEFT(A529,8)),Накл!$A$9:$D$550,4,0),"-")</f>
        <v>-</v>
      </c>
      <c r="C529" s="26">
        <f>Накл!J536</f>
        <v>0</v>
      </c>
      <c r="D529" s="33" t="str">
        <f t="array" ref="D529">CONCATENATE(IFERROR(INDEX(Накл!$C$9:$C$550,SMALL(IF(Накл!$B$9:$B$550=A529,ROW(Накл!$B$9:$B$550)-ROW(Накл!$B$9)+1),ROW(D529)-ROW(A529)+1)),"")," ",IFERROR(INDEX(Накл!$C$9:$C$550,SMALL(IF(Накл!$B$9:$B$550=A529,ROW(Накл!$B$9:$B$550)-ROW(Накл!$B$9)+1),ROW(D530)-ROW(A529)+1)),"")," ",IFERROR(INDEX(Накл!$C$9:$C$550,SMALL(IF(Накл!$B$9:$B$550=A529,ROW(Накл!$B$9:$B$550)-ROW(Накл!$B$9)+1),ROW(D531)-ROW(A529)+1)),"")," ",IFERROR(INDEX(Накл!$C$9:$C$550,SMALL(IF(Накл!$B$9:$B$550=A529,ROW(Накл!$B$9:$B$550)-ROW(Накл!$B$9)+1),ROW(D532)-ROW(A529)+1)),"")," ",IFERROR(INDEX(Накл!$C$9:$C$550,SMALL(IF(Накл!$B$9:$B$550=A529,ROW(Накл!$B$9:$B$550)-ROW(Накл!$B$9)+1),ROW(D533)-ROW(A529)+1)),"")," ",IFERROR(INDEX(Накл!$C$9:$C$550,SMALL(IF(Накл!$B$9:$B$550=A529,ROW(Накл!$B$9:$B$550)-ROW(Накл!$B$9)+1),ROW(D534)-ROW(A529)+1)),"")," ",IFERROR(INDEX(Накл!$C$9:$C$550,SMALL(IF(Накл!$B$9:$B$550=A529,ROW(Накл!$B$9:$B$550)-ROW(Накл!$B$9)+1),ROW(D535)-ROW(A529)+1)),"")," ",IFERROR(INDEX(Накл!$C$9:$C$550,SMALL(IF(Накл!$B$9:$B$550=A529,ROW(Накл!$B$9:$B$550)-ROW(Накл!$B$9)+1),ROW(D536)-ROW(A529)+1)),"")," ",IFERROR(INDEX(Накл!$C$9:$C$550,SMALL(IF(Накл!$B$9:$B$550=A529,ROW(Накл!$B$9:$B$550)-ROW(Накл!$B$9)+1),ROW(D537)-ROW(A529)+1)),"")," ",IFERROR(INDEX(Накл!$C$9:$C$550,SMALL(IF(Накл!$B$9:$B$550=A529,ROW(Накл!$B$9:$B$550)-ROW(Накл!$B$9)+1),ROW(D538)-ROW(A529)+1)),""))</f>
        <v xml:space="preserve">         </v>
      </c>
      <c r="E529" s="26" t="str">
        <f t="array" ref="E529">IF(LEN(D529)&lt;10,CONCATENATE(IFERROR(INDEX(Накл!$C$9:$C$550,SMALL(IF(Накл!$A$9:$A$550=VALUE(LEFT(A529,8)),ROW(Накл!$A$9:$A$550)-ROW(Накл!$A$9)+1),ROW(E529)-ROW(B529)+1)),"")," ",IFERROR(INDEX(Накл!$C$9:$C$550,SMALL(IF(Накл!$A$9:$A$550=VALUE(LEFT(A529,8)),ROW(Накл!$A$9:$A$550)-ROW(Накл!$A$9)+1),ROW(E530)-ROW(B529)+1)),"")," ",IFERROR(INDEX(Накл!$C$9:$C$550,SMALL(IF(Накл!$A$9:$A$550=VALUE(LEFT(A529,8)),ROW(Накл!$A$9:$A$550)-ROW(Накл!$A$9)+1),ROW(E531)-ROW(B529)+1)),"")," ",IFERROR(INDEX(Накл!$C$9:$C$550,SMALL(IF(Накл!$A$9:$A$550=VALUE(LEFT(A529,8)),ROW(Накл!$A$9:$A$550)-ROW(Накл!$A$9)+1),ROW(E532)-ROW(B529)+1)),"")),"")</f>
        <v xml:space="preserve">   </v>
      </c>
    </row>
    <row r="530" spans="1:5">
      <c r="A530" s="26" t="str">
        <f>IFERROR(CONCATENATE(VALUE(SUBSTITUTE(SUBSTITUTE(LEFT(Накл!G537,11),".",""),"-",""))," ",Накл!J537),"-")</f>
        <v>-</v>
      </c>
      <c r="B530" s="26" t="str">
        <f>IFERROR(VLOOKUP(VALUE(LEFT(A530,8)),Накл!$A$9:$D$550,4,0),"-")</f>
        <v>-</v>
      </c>
      <c r="C530" s="26">
        <f>Накл!J537</f>
        <v>0</v>
      </c>
      <c r="D530" s="33" t="str">
        <f t="array" ref="D530">CONCATENATE(IFERROR(INDEX(Накл!$C$9:$C$550,SMALL(IF(Накл!$B$9:$B$550=A530,ROW(Накл!$B$9:$B$550)-ROW(Накл!$B$9)+1),ROW(D530)-ROW(A530)+1)),"")," ",IFERROR(INDEX(Накл!$C$9:$C$550,SMALL(IF(Накл!$B$9:$B$550=A530,ROW(Накл!$B$9:$B$550)-ROW(Накл!$B$9)+1),ROW(D531)-ROW(A530)+1)),"")," ",IFERROR(INDEX(Накл!$C$9:$C$550,SMALL(IF(Накл!$B$9:$B$550=A530,ROW(Накл!$B$9:$B$550)-ROW(Накл!$B$9)+1),ROW(D532)-ROW(A530)+1)),"")," ",IFERROR(INDEX(Накл!$C$9:$C$550,SMALL(IF(Накл!$B$9:$B$550=A530,ROW(Накл!$B$9:$B$550)-ROW(Накл!$B$9)+1),ROW(D533)-ROW(A530)+1)),"")," ",IFERROR(INDEX(Накл!$C$9:$C$550,SMALL(IF(Накл!$B$9:$B$550=A530,ROW(Накл!$B$9:$B$550)-ROW(Накл!$B$9)+1),ROW(D534)-ROW(A530)+1)),"")," ",IFERROR(INDEX(Накл!$C$9:$C$550,SMALL(IF(Накл!$B$9:$B$550=A530,ROW(Накл!$B$9:$B$550)-ROW(Накл!$B$9)+1),ROW(D535)-ROW(A530)+1)),"")," ",IFERROR(INDEX(Накл!$C$9:$C$550,SMALL(IF(Накл!$B$9:$B$550=A530,ROW(Накл!$B$9:$B$550)-ROW(Накл!$B$9)+1),ROW(D536)-ROW(A530)+1)),"")," ",IFERROR(INDEX(Накл!$C$9:$C$550,SMALL(IF(Накл!$B$9:$B$550=A530,ROW(Накл!$B$9:$B$550)-ROW(Накл!$B$9)+1),ROW(D537)-ROW(A530)+1)),"")," ",IFERROR(INDEX(Накл!$C$9:$C$550,SMALL(IF(Накл!$B$9:$B$550=A530,ROW(Накл!$B$9:$B$550)-ROW(Накл!$B$9)+1),ROW(D538)-ROW(A530)+1)),"")," ",IFERROR(INDEX(Накл!$C$9:$C$550,SMALL(IF(Накл!$B$9:$B$550=A530,ROW(Накл!$B$9:$B$550)-ROW(Накл!$B$9)+1),ROW(D539)-ROW(A530)+1)),""))</f>
        <v xml:space="preserve">         </v>
      </c>
      <c r="E530" s="26" t="str">
        <f t="array" ref="E530">IF(LEN(D530)&lt;10,CONCATENATE(IFERROR(INDEX(Накл!$C$9:$C$550,SMALL(IF(Накл!$A$9:$A$550=VALUE(LEFT(A530,8)),ROW(Накл!$A$9:$A$550)-ROW(Накл!$A$9)+1),ROW(E530)-ROW(B530)+1)),"")," ",IFERROR(INDEX(Накл!$C$9:$C$550,SMALL(IF(Накл!$A$9:$A$550=VALUE(LEFT(A530,8)),ROW(Накл!$A$9:$A$550)-ROW(Накл!$A$9)+1),ROW(E531)-ROW(B530)+1)),"")," ",IFERROR(INDEX(Накл!$C$9:$C$550,SMALL(IF(Накл!$A$9:$A$550=VALUE(LEFT(A530,8)),ROW(Накл!$A$9:$A$550)-ROW(Накл!$A$9)+1),ROW(E532)-ROW(B530)+1)),"")," ",IFERROR(INDEX(Накл!$C$9:$C$550,SMALL(IF(Накл!$A$9:$A$550=VALUE(LEFT(A530,8)),ROW(Накл!$A$9:$A$550)-ROW(Накл!$A$9)+1),ROW(E533)-ROW(B530)+1)),"")),"")</f>
        <v xml:space="preserve">   </v>
      </c>
    </row>
    <row r="531" spans="1:5">
      <c r="A531" s="26" t="str">
        <f>IFERROR(CONCATENATE(VALUE(SUBSTITUTE(SUBSTITUTE(LEFT(Накл!G538,11),".",""),"-",""))," ",Накл!J538),"-")</f>
        <v>-</v>
      </c>
      <c r="B531" s="26" t="str">
        <f>IFERROR(VLOOKUP(VALUE(LEFT(A531,8)),Накл!$A$9:$D$550,4,0),"-")</f>
        <v>-</v>
      </c>
      <c r="C531" s="26">
        <f>Накл!J538</f>
        <v>0</v>
      </c>
      <c r="D531" s="33" t="str">
        <f t="array" ref="D531">CONCATENATE(IFERROR(INDEX(Накл!$C$9:$C$550,SMALL(IF(Накл!$B$9:$B$550=A531,ROW(Накл!$B$9:$B$550)-ROW(Накл!$B$9)+1),ROW(D531)-ROW(A531)+1)),"")," ",IFERROR(INDEX(Накл!$C$9:$C$550,SMALL(IF(Накл!$B$9:$B$550=A531,ROW(Накл!$B$9:$B$550)-ROW(Накл!$B$9)+1),ROW(D532)-ROW(A531)+1)),"")," ",IFERROR(INDEX(Накл!$C$9:$C$550,SMALL(IF(Накл!$B$9:$B$550=A531,ROW(Накл!$B$9:$B$550)-ROW(Накл!$B$9)+1),ROW(D533)-ROW(A531)+1)),"")," ",IFERROR(INDEX(Накл!$C$9:$C$550,SMALL(IF(Накл!$B$9:$B$550=A531,ROW(Накл!$B$9:$B$550)-ROW(Накл!$B$9)+1),ROW(D534)-ROW(A531)+1)),"")," ",IFERROR(INDEX(Накл!$C$9:$C$550,SMALL(IF(Накл!$B$9:$B$550=A531,ROW(Накл!$B$9:$B$550)-ROW(Накл!$B$9)+1),ROW(D535)-ROW(A531)+1)),"")," ",IFERROR(INDEX(Накл!$C$9:$C$550,SMALL(IF(Накл!$B$9:$B$550=A531,ROW(Накл!$B$9:$B$550)-ROW(Накл!$B$9)+1),ROW(D536)-ROW(A531)+1)),"")," ",IFERROR(INDEX(Накл!$C$9:$C$550,SMALL(IF(Накл!$B$9:$B$550=A531,ROW(Накл!$B$9:$B$550)-ROW(Накл!$B$9)+1),ROW(D537)-ROW(A531)+1)),"")," ",IFERROR(INDEX(Накл!$C$9:$C$550,SMALL(IF(Накл!$B$9:$B$550=A531,ROW(Накл!$B$9:$B$550)-ROW(Накл!$B$9)+1),ROW(D538)-ROW(A531)+1)),"")," ",IFERROR(INDEX(Накл!$C$9:$C$550,SMALL(IF(Накл!$B$9:$B$550=A531,ROW(Накл!$B$9:$B$550)-ROW(Накл!$B$9)+1),ROW(D539)-ROW(A531)+1)),"")," ",IFERROR(INDEX(Накл!$C$9:$C$550,SMALL(IF(Накл!$B$9:$B$550=A531,ROW(Накл!$B$9:$B$550)-ROW(Накл!$B$9)+1),ROW(D540)-ROW(A531)+1)),""))</f>
        <v xml:space="preserve">         </v>
      </c>
      <c r="E531" s="26" t="str">
        <f t="array" ref="E531">IF(LEN(D531)&lt;10,CONCATENATE(IFERROR(INDEX(Накл!$C$9:$C$550,SMALL(IF(Накл!$A$9:$A$550=VALUE(LEFT(A531,8)),ROW(Накл!$A$9:$A$550)-ROW(Накл!$A$9)+1),ROW(E531)-ROW(B531)+1)),"")," ",IFERROR(INDEX(Накл!$C$9:$C$550,SMALL(IF(Накл!$A$9:$A$550=VALUE(LEFT(A531,8)),ROW(Накл!$A$9:$A$550)-ROW(Накл!$A$9)+1),ROW(E532)-ROW(B531)+1)),"")," ",IFERROR(INDEX(Накл!$C$9:$C$550,SMALL(IF(Накл!$A$9:$A$550=VALUE(LEFT(A531,8)),ROW(Накл!$A$9:$A$550)-ROW(Накл!$A$9)+1),ROW(E533)-ROW(B531)+1)),"")," ",IFERROR(INDEX(Накл!$C$9:$C$550,SMALL(IF(Накл!$A$9:$A$550=VALUE(LEFT(A531,8)),ROW(Накл!$A$9:$A$550)-ROW(Накл!$A$9)+1),ROW(E534)-ROW(B531)+1)),"")),"")</f>
        <v xml:space="preserve">   </v>
      </c>
    </row>
    <row r="532" spans="1:5">
      <c r="A532" s="26" t="str">
        <f>IFERROR(CONCATENATE(VALUE(SUBSTITUTE(SUBSTITUTE(LEFT(Накл!G539,11),".",""),"-",""))," ",Накл!J539),"-")</f>
        <v>-</v>
      </c>
      <c r="B532" s="26" t="str">
        <f>IFERROR(VLOOKUP(VALUE(LEFT(A532,8)),Накл!$A$9:$D$550,4,0),"-")</f>
        <v>-</v>
      </c>
      <c r="C532" s="26">
        <f>Накл!J539</f>
        <v>0</v>
      </c>
      <c r="D532" s="33" t="str">
        <f t="array" ref="D532">CONCATENATE(IFERROR(INDEX(Накл!$C$9:$C$550,SMALL(IF(Накл!$B$9:$B$550=A532,ROW(Накл!$B$9:$B$550)-ROW(Накл!$B$9)+1),ROW(D532)-ROW(A532)+1)),"")," ",IFERROR(INDEX(Накл!$C$9:$C$550,SMALL(IF(Накл!$B$9:$B$550=A532,ROW(Накл!$B$9:$B$550)-ROW(Накл!$B$9)+1),ROW(D533)-ROW(A532)+1)),"")," ",IFERROR(INDEX(Накл!$C$9:$C$550,SMALL(IF(Накл!$B$9:$B$550=A532,ROW(Накл!$B$9:$B$550)-ROW(Накл!$B$9)+1),ROW(D534)-ROW(A532)+1)),"")," ",IFERROR(INDEX(Накл!$C$9:$C$550,SMALL(IF(Накл!$B$9:$B$550=A532,ROW(Накл!$B$9:$B$550)-ROW(Накл!$B$9)+1),ROW(D535)-ROW(A532)+1)),"")," ",IFERROR(INDEX(Накл!$C$9:$C$550,SMALL(IF(Накл!$B$9:$B$550=A532,ROW(Накл!$B$9:$B$550)-ROW(Накл!$B$9)+1),ROW(D536)-ROW(A532)+1)),"")," ",IFERROR(INDEX(Накл!$C$9:$C$550,SMALL(IF(Накл!$B$9:$B$550=A532,ROW(Накл!$B$9:$B$550)-ROW(Накл!$B$9)+1),ROW(D537)-ROW(A532)+1)),"")," ",IFERROR(INDEX(Накл!$C$9:$C$550,SMALL(IF(Накл!$B$9:$B$550=A532,ROW(Накл!$B$9:$B$550)-ROW(Накл!$B$9)+1),ROW(D538)-ROW(A532)+1)),"")," ",IFERROR(INDEX(Накл!$C$9:$C$550,SMALL(IF(Накл!$B$9:$B$550=A532,ROW(Накл!$B$9:$B$550)-ROW(Накл!$B$9)+1),ROW(D539)-ROW(A532)+1)),"")," ",IFERROR(INDEX(Накл!$C$9:$C$550,SMALL(IF(Накл!$B$9:$B$550=A532,ROW(Накл!$B$9:$B$550)-ROW(Накл!$B$9)+1),ROW(D540)-ROW(A532)+1)),"")," ",IFERROR(INDEX(Накл!$C$9:$C$550,SMALL(IF(Накл!$B$9:$B$550=A532,ROW(Накл!$B$9:$B$550)-ROW(Накл!$B$9)+1),ROW(D541)-ROW(A532)+1)),""))</f>
        <v xml:space="preserve">         </v>
      </c>
      <c r="E532" s="26" t="str">
        <f t="array" ref="E532">IF(LEN(D532)&lt;10,CONCATENATE(IFERROR(INDEX(Накл!$C$9:$C$550,SMALL(IF(Накл!$A$9:$A$550=VALUE(LEFT(A532,8)),ROW(Накл!$A$9:$A$550)-ROW(Накл!$A$9)+1),ROW(E532)-ROW(B532)+1)),"")," ",IFERROR(INDEX(Накл!$C$9:$C$550,SMALL(IF(Накл!$A$9:$A$550=VALUE(LEFT(A532,8)),ROW(Накл!$A$9:$A$550)-ROW(Накл!$A$9)+1),ROW(E533)-ROW(B532)+1)),"")," ",IFERROR(INDEX(Накл!$C$9:$C$550,SMALL(IF(Накл!$A$9:$A$550=VALUE(LEFT(A532,8)),ROW(Накл!$A$9:$A$550)-ROW(Накл!$A$9)+1),ROW(E534)-ROW(B532)+1)),"")," ",IFERROR(INDEX(Накл!$C$9:$C$550,SMALL(IF(Накл!$A$9:$A$550=VALUE(LEFT(A532,8)),ROW(Накл!$A$9:$A$550)-ROW(Накл!$A$9)+1),ROW(E535)-ROW(B532)+1)),"")),"")</f>
        <v xml:space="preserve">   </v>
      </c>
    </row>
    <row r="533" spans="1:5">
      <c r="A533" s="26" t="str">
        <f>IFERROR(CONCATENATE(VALUE(SUBSTITUTE(SUBSTITUTE(LEFT(Накл!G540,11),".",""),"-",""))," ",Накл!J540),"-")</f>
        <v>-</v>
      </c>
      <c r="B533" s="26" t="str">
        <f>IFERROR(VLOOKUP(VALUE(LEFT(A533,8)),Накл!$A$9:$D$550,4,0),"-")</f>
        <v>-</v>
      </c>
      <c r="C533" s="26">
        <f>Накл!J540</f>
        <v>0</v>
      </c>
      <c r="D533" s="33" t="str">
        <f t="array" ref="D533">CONCATENATE(IFERROR(INDEX(Накл!$C$9:$C$550,SMALL(IF(Накл!$B$9:$B$550=A533,ROW(Накл!$B$9:$B$550)-ROW(Накл!$B$9)+1),ROW(D533)-ROW(A533)+1)),"")," ",IFERROR(INDEX(Накл!$C$9:$C$550,SMALL(IF(Накл!$B$9:$B$550=A533,ROW(Накл!$B$9:$B$550)-ROW(Накл!$B$9)+1),ROW(D534)-ROW(A533)+1)),"")," ",IFERROR(INDEX(Накл!$C$9:$C$550,SMALL(IF(Накл!$B$9:$B$550=A533,ROW(Накл!$B$9:$B$550)-ROW(Накл!$B$9)+1),ROW(D535)-ROW(A533)+1)),"")," ",IFERROR(INDEX(Накл!$C$9:$C$550,SMALL(IF(Накл!$B$9:$B$550=A533,ROW(Накл!$B$9:$B$550)-ROW(Накл!$B$9)+1),ROW(D536)-ROW(A533)+1)),"")," ",IFERROR(INDEX(Накл!$C$9:$C$550,SMALL(IF(Накл!$B$9:$B$550=A533,ROW(Накл!$B$9:$B$550)-ROW(Накл!$B$9)+1),ROW(D537)-ROW(A533)+1)),"")," ",IFERROR(INDEX(Накл!$C$9:$C$550,SMALL(IF(Накл!$B$9:$B$550=A533,ROW(Накл!$B$9:$B$550)-ROW(Накл!$B$9)+1),ROW(D538)-ROW(A533)+1)),"")," ",IFERROR(INDEX(Накл!$C$9:$C$550,SMALL(IF(Накл!$B$9:$B$550=A533,ROW(Накл!$B$9:$B$550)-ROW(Накл!$B$9)+1),ROW(D539)-ROW(A533)+1)),"")," ",IFERROR(INDEX(Накл!$C$9:$C$550,SMALL(IF(Накл!$B$9:$B$550=A533,ROW(Накл!$B$9:$B$550)-ROW(Накл!$B$9)+1),ROW(D540)-ROW(A533)+1)),"")," ",IFERROR(INDEX(Накл!$C$9:$C$550,SMALL(IF(Накл!$B$9:$B$550=A533,ROW(Накл!$B$9:$B$550)-ROW(Накл!$B$9)+1),ROW(D541)-ROW(A533)+1)),"")," ",IFERROR(INDEX(Накл!$C$9:$C$550,SMALL(IF(Накл!$B$9:$B$550=A533,ROW(Накл!$B$9:$B$550)-ROW(Накл!$B$9)+1),ROW(D542)-ROW(A533)+1)),""))</f>
        <v xml:space="preserve">         </v>
      </c>
      <c r="E533" s="26" t="str">
        <f t="array" ref="E533">IF(LEN(D533)&lt;10,CONCATENATE(IFERROR(INDEX(Накл!$C$9:$C$550,SMALL(IF(Накл!$A$9:$A$550=VALUE(LEFT(A533,8)),ROW(Накл!$A$9:$A$550)-ROW(Накл!$A$9)+1),ROW(E533)-ROW(B533)+1)),"")," ",IFERROR(INDEX(Накл!$C$9:$C$550,SMALL(IF(Накл!$A$9:$A$550=VALUE(LEFT(A533,8)),ROW(Накл!$A$9:$A$550)-ROW(Накл!$A$9)+1),ROW(E534)-ROW(B533)+1)),"")," ",IFERROR(INDEX(Накл!$C$9:$C$550,SMALL(IF(Накл!$A$9:$A$550=VALUE(LEFT(A533,8)),ROW(Накл!$A$9:$A$550)-ROW(Накл!$A$9)+1),ROW(E535)-ROW(B533)+1)),"")," ",IFERROR(INDEX(Накл!$C$9:$C$550,SMALL(IF(Накл!$A$9:$A$550=VALUE(LEFT(A533,8)),ROW(Накл!$A$9:$A$550)-ROW(Накл!$A$9)+1),ROW(E536)-ROW(B533)+1)),"")),"")</f>
        <v xml:space="preserve">   </v>
      </c>
    </row>
    <row r="534" spans="1:5">
      <c r="A534" s="26" t="str">
        <f>IFERROR(CONCATENATE(VALUE(SUBSTITUTE(SUBSTITUTE(LEFT(Накл!G541,11),".",""),"-",""))," ",Накл!J541),"-")</f>
        <v>-</v>
      </c>
      <c r="B534" s="26" t="str">
        <f>IFERROR(VLOOKUP(VALUE(LEFT(A534,8)),Накл!$A$9:$D$550,4,0),"-")</f>
        <v>-</v>
      </c>
      <c r="C534" s="26">
        <f>Накл!J541</f>
        <v>0</v>
      </c>
      <c r="D534" s="33" t="str">
        <f t="array" ref="D534">CONCATENATE(IFERROR(INDEX(Накл!$C$9:$C$550,SMALL(IF(Накл!$B$9:$B$550=A534,ROW(Накл!$B$9:$B$550)-ROW(Накл!$B$9)+1),ROW(D534)-ROW(A534)+1)),"")," ",IFERROR(INDEX(Накл!$C$9:$C$550,SMALL(IF(Накл!$B$9:$B$550=A534,ROW(Накл!$B$9:$B$550)-ROW(Накл!$B$9)+1),ROW(D535)-ROW(A534)+1)),"")," ",IFERROR(INDEX(Накл!$C$9:$C$550,SMALL(IF(Накл!$B$9:$B$550=A534,ROW(Накл!$B$9:$B$550)-ROW(Накл!$B$9)+1),ROW(D536)-ROW(A534)+1)),"")," ",IFERROR(INDEX(Накл!$C$9:$C$550,SMALL(IF(Накл!$B$9:$B$550=A534,ROW(Накл!$B$9:$B$550)-ROW(Накл!$B$9)+1),ROW(D537)-ROW(A534)+1)),"")," ",IFERROR(INDEX(Накл!$C$9:$C$550,SMALL(IF(Накл!$B$9:$B$550=A534,ROW(Накл!$B$9:$B$550)-ROW(Накл!$B$9)+1),ROW(D538)-ROW(A534)+1)),"")," ",IFERROR(INDEX(Накл!$C$9:$C$550,SMALL(IF(Накл!$B$9:$B$550=A534,ROW(Накл!$B$9:$B$550)-ROW(Накл!$B$9)+1),ROW(D539)-ROW(A534)+1)),"")," ",IFERROR(INDEX(Накл!$C$9:$C$550,SMALL(IF(Накл!$B$9:$B$550=A534,ROW(Накл!$B$9:$B$550)-ROW(Накл!$B$9)+1),ROW(D540)-ROW(A534)+1)),"")," ",IFERROR(INDEX(Накл!$C$9:$C$550,SMALL(IF(Накл!$B$9:$B$550=A534,ROW(Накл!$B$9:$B$550)-ROW(Накл!$B$9)+1),ROW(D541)-ROW(A534)+1)),"")," ",IFERROR(INDEX(Накл!$C$9:$C$550,SMALL(IF(Накл!$B$9:$B$550=A534,ROW(Накл!$B$9:$B$550)-ROW(Накл!$B$9)+1),ROW(D542)-ROW(A534)+1)),"")," ",IFERROR(INDEX(Накл!$C$9:$C$550,SMALL(IF(Накл!$B$9:$B$550=A534,ROW(Накл!$B$9:$B$550)-ROW(Накл!$B$9)+1),ROW(D543)-ROW(A534)+1)),""))</f>
        <v xml:space="preserve">         </v>
      </c>
      <c r="E534" s="26" t="str">
        <f t="array" ref="E534">IF(LEN(D534)&lt;10,CONCATENATE(IFERROR(INDEX(Накл!$C$9:$C$550,SMALL(IF(Накл!$A$9:$A$550=VALUE(LEFT(A534,8)),ROW(Накл!$A$9:$A$550)-ROW(Накл!$A$9)+1),ROW(E534)-ROW(B534)+1)),"")," ",IFERROR(INDEX(Накл!$C$9:$C$550,SMALL(IF(Накл!$A$9:$A$550=VALUE(LEFT(A534,8)),ROW(Накл!$A$9:$A$550)-ROW(Накл!$A$9)+1),ROW(E535)-ROW(B534)+1)),"")," ",IFERROR(INDEX(Накл!$C$9:$C$550,SMALL(IF(Накл!$A$9:$A$550=VALUE(LEFT(A534,8)),ROW(Накл!$A$9:$A$550)-ROW(Накл!$A$9)+1),ROW(E536)-ROW(B534)+1)),"")," ",IFERROR(INDEX(Накл!$C$9:$C$550,SMALL(IF(Накл!$A$9:$A$550=VALUE(LEFT(A534,8)),ROW(Накл!$A$9:$A$550)-ROW(Накл!$A$9)+1),ROW(E537)-ROW(B534)+1)),"")),"")</f>
        <v xml:space="preserve">   </v>
      </c>
    </row>
    <row r="535" spans="1:5">
      <c r="A535" s="26" t="str">
        <f>IFERROR(CONCATENATE(VALUE(SUBSTITUTE(SUBSTITUTE(LEFT(Накл!G542,11),".",""),"-",""))," ",Накл!J542),"-")</f>
        <v>-</v>
      </c>
      <c r="B535" s="26" t="str">
        <f>IFERROR(VLOOKUP(VALUE(LEFT(A535,8)),Накл!$A$9:$D$550,4,0),"-")</f>
        <v>-</v>
      </c>
      <c r="C535" s="26">
        <f>Накл!J542</f>
        <v>0</v>
      </c>
      <c r="D535" s="33" t="str">
        <f t="array" ref="D535">CONCATENATE(IFERROR(INDEX(Накл!$C$9:$C$550,SMALL(IF(Накл!$B$9:$B$550=A535,ROW(Накл!$B$9:$B$550)-ROW(Накл!$B$9)+1),ROW(D535)-ROW(A535)+1)),"")," ",IFERROR(INDEX(Накл!$C$9:$C$550,SMALL(IF(Накл!$B$9:$B$550=A535,ROW(Накл!$B$9:$B$550)-ROW(Накл!$B$9)+1),ROW(D536)-ROW(A535)+1)),"")," ",IFERROR(INDEX(Накл!$C$9:$C$550,SMALL(IF(Накл!$B$9:$B$550=A535,ROW(Накл!$B$9:$B$550)-ROW(Накл!$B$9)+1),ROW(D537)-ROW(A535)+1)),"")," ",IFERROR(INDEX(Накл!$C$9:$C$550,SMALL(IF(Накл!$B$9:$B$550=A535,ROW(Накл!$B$9:$B$550)-ROW(Накл!$B$9)+1),ROW(D538)-ROW(A535)+1)),"")," ",IFERROR(INDEX(Накл!$C$9:$C$550,SMALL(IF(Накл!$B$9:$B$550=A535,ROW(Накл!$B$9:$B$550)-ROW(Накл!$B$9)+1),ROW(D539)-ROW(A535)+1)),"")," ",IFERROR(INDEX(Накл!$C$9:$C$550,SMALL(IF(Накл!$B$9:$B$550=A535,ROW(Накл!$B$9:$B$550)-ROW(Накл!$B$9)+1),ROW(D540)-ROW(A535)+1)),"")," ",IFERROR(INDEX(Накл!$C$9:$C$550,SMALL(IF(Накл!$B$9:$B$550=A535,ROW(Накл!$B$9:$B$550)-ROW(Накл!$B$9)+1),ROW(D541)-ROW(A535)+1)),"")," ",IFERROR(INDEX(Накл!$C$9:$C$550,SMALL(IF(Накл!$B$9:$B$550=A535,ROW(Накл!$B$9:$B$550)-ROW(Накл!$B$9)+1),ROW(D542)-ROW(A535)+1)),"")," ",IFERROR(INDEX(Накл!$C$9:$C$550,SMALL(IF(Накл!$B$9:$B$550=A535,ROW(Накл!$B$9:$B$550)-ROW(Накл!$B$9)+1),ROW(D543)-ROW(A535)+1)),"")," ",IFERROR(INDEX(Накл!$C$9:$C$550,SMALL(IF(Накл!$B$9:$B$550=A535,ROW(Накл!$B$9:$B$550)-ROW(Накл!$B$9)+1),ROW(D544)-ROW(A535)+1)),""))</f>
        <v xml:space="preserve">         </v>
      </c>
      <c r="E535" s="26" t="str">
        <f t="array" ref="E535">IF(LEN(D535)&lt;10,CONCATENATE(IFERROR(INDEX(Накл!$C$9:$C$550,SMALL(IF(Накл!$A$9:$A$550=VALUE(LEFT(A535,8)),ROW(Накл!$A$9:$A$550)-ROW(Накл!$A$9)+1),ROW(E535)-ROW(B535)+1)),"")," ",IFERROR(INDEX(Накл!$C$9:$C$550,SMALL(IF(Накл!$A$9:$A$550=VALUE(LEFT(A535,8)),ROW(Накл!$A$9:$A$550)-ROW(Накл!$A$9)+1),ROW(E536)-ROW(B535)+1)),"")," ",IFERROR(INDEX(Накл!$C$9:$C$550,SMALL(IF(Накл!$A$9:$A$550=VALUE(LEFT(A535,8)),ROW(Накл!$A$9:$A$550)-ROW(Накл!$A$9)+1),ROW(E537)-ROW(B535)+1)),"")," ",IFERROR(INDEX(Накл!$C$9:$C$550,SMALL(IF(Накл!$A$9:$A$550=VALUE(LEFT(A535,8)),ROW(Накл!$A$9:$A$550)-ROW(Накл!$A$9)+1),ROW(E538)-ROW(B535)+1)),"")),"")</f>
        <v xml:space="preserve">   </v>
      </c>
    </row>
    <row r="536" spans="1:5">
      <c r="A536" s="26" t="str">
        <f>IFERROR(CONCATENATE(VALUE(SUBSTITUTE(SUBSTITUTE(LEFT(Накл!G543,11),".",""),"-",""))," ",Накл!J543),"-")</f>
        <v>-</v>
      </c>
      <c r="B536" s="26" t="str">
        <f>IFERROR(VLOOKUP(VALUE(LEFT(A536,8)),Накл!$A$9:$D$550,4,0),"-")</f>
        <v>-</v>
      </c>
      <c r="C536" s="26">
        <f>Накл!J543</f>
        <v>0</v>
      </c>
      <c r="D536" s="33" t="str">
        <f t="array" ref="D536">CONCATENATE(IFERROR(INDEX(Накл!$C$9:$C$550,SMALL(IF(Накл!$B$9:$B$550=A536,ROW(Накл!$B$9:$B$550)-ROW(Накл!$B$9)+1),ROW(D536)-ROW(A536)+1)),"")," ",IFERROR(INDEX(Накл!$C$9:$C$550,SMALL(IF(Накл!$B$9:$B$550=A536,ROW(Накл!$B$9:$B$550)-ROW(Накл!$B$9)+1),ROW(D537)-ROW(A536)+1)),"")," ",IFERROR(INDEX(Накл!$C$9:$C$550,SMALL(IF(Накл!$B$9:$B$550=A536,ROW(Накл!$B$9:$B$550)-ROW(Накл!$B$9)+1),ROW(D538)-ROW(A536)+1)),"")," ",IFERROR(INDEX(Накл!$C$9:$C$550,SMALL(IF(Накл!$B$9:$B$550=A536,ROW(Накл!$B$9:$B$550)-ROW(Накл!$B$9)+1),ROW(D539)-ROW(A536)+1)),"")," ",IFERROR(INDEX(Накл!$C$9:$C$550,SMALL(IF(Накл!$B$9:$B$550=A536,ROW(Накл!$B$9:$B$550)-ROW(Накл!$B$9)+1),ROW(D540)-ROW(A536)+1)),"")," ",IFERROR(INDEX(Накл!$C$9:$C$550,SMALL(IF(Накл!$B$9:$B$550=A536,ROW(Накл!$B$9:$B$550)-ROW(Накл!$B$9)+1),ROW(D541)-ROW(A536)+1)),"")," ",IFERROR(INDEX(Накл!$C$9:$C$550,SMALL(IF(Накл!$B$9:$B$550=A536,ROW(Накл!$B$9:$B$550)-ROW(Накл!$B$9)+1),ROW(D542)-ROW(A536)+1)),"")," ",IFERROR(INDEX(Накл!$C$9:$C$550,SMALL(IF(Накл!$B$9:$B$550=A536,ROW(Накл!$B$9:$B$550)-ROW(Накл!$B$9)+1),ROW(D543)-ROW(A536)+1)),"")," ",IFERROR(INDEX(Накл!$C$9:$C$550,SMALL(IF(Накл!$B$9:$B$550=A536,ROW(Накл!$B$9:$B$550)-ROW(Накл!$B$9)+1),ROW(D544)-ROW(A536)+1)),"")," ",IFERROR(INDEX(Накл!$C$9:$C$550,SMALL(IF(Накл!$B$9:$B$550=A536,ROW(Накл!$B$9:$B$550)-ROW(Накл!$B$9)+1),ROW(D545)-ROW(A536)+1)),""))</f>
        <v xml:space="preserve">         </v>
      </c>
      <c r="E536" s="26" t="str">
        <f t="array" ref="E536">IF(LEN(D536)&lt;10,CONCATENATE(IFERROR(INDEX(Накл!$C$9:$C$550,SMALL(IF(Накл!$A$9:$A$550=VALUE(LEFT(A536,8)),ROW(Накл!$A$9:$A$550)-ROW(Накл!$A$9)+1),ROW(E536)-ROW(B536)+1)),"")," ",IFERROR(INDEX(Накл!$C$9:$C$550,SMALL(IF(Накл!$A$9:$A$550=VALUE(LEFT(A536,8)),ROW(Накл!$A$9:$A$550)-ROW(Накл!$A$9)+1),ROW(E537)-ROW(B536)+1)),"")," ",IFERROR(INDEX(Накл!$C$9:$C$550,SMALL(IF(Накл!$A$9:$A$550=VALUE(LEFT(A536,8)),ROW(Накл!$A$9:$A$550)-ROW(Накл!$A$9)+1),ROW(E538)-ROW(B536)+1)),"")," ",IFERROR(INDEX(Накл!$C$9:$C$550,SMALL(IF(Накл!$A$9:$A$550=VALUE(LEFT(A536,8)),ROW(Накл!$A$9:$A$550)-ROW(Накл!$A$9)+1),ROW(E539)-ROW(B536)+1)),"")),"")</f>
        <v xml:space="preserve">   </v>
      </c>
    </row>
    <row r="537" spans="1:5">
      <c r="A537" s="26" t="str">
        <f>IFERROR(CONCATENATE(VALUE(SUBSTITUTE(SUBSTITUTE(LEFT(Накл!G544,11),".",""),"-",""))," ",Накл!J544),"-")</f>
        <v>-</v>
      </c>
      <c r="B537" s="26" t="str">
        <f>IFERROR(VLOOKUP(VALUE(LEFT(A537,8)),Накл!$A$9:$D$550,4,0),"-")</f>
        <v>-</v>
      </c>
      <c r="C537" s="26">
        <f>Накл!J544</f>
        <v>0</v>
      </c>
      <c r="D537" s="33" t="str">
        <f t="array" ref="D537">CONCATENATE(IFERROR(INDEX(Накл!$C$9:$C$550,SMALL(IF(Накл!$B$9:$B$550=A537,ROW(Накл!$B$9:$B$550)-ROW(Накл!$B$9)+1),ROW(D537)-ROW(A537)+1)),"")," ",IFERROR(INDEX(Накл!$C$9:$C$550,SMALL(IF(Накл!$B$9:$B$550=A537,ROW(Накл!$B$9:$B$550)-ROW(Накл!$B$9)+1),ROW(D538)-ROW(A537)+1)),"")," ",IFERROR(INDEX(Накл!$C$9:$C$550,SMALL(IF(Накл!$B$9:$B$550=A537,ROW(Накл!$B$9:$B$550)-ROW(Накл!$B$9)+1),ROW(D539)-ROW(A537)+1)),"")," ",IFERROR(INDEX(Накл!$C$9:$C$550,SMALL(IF(Накл!$B$9:$B$550=A537,ROW(Накл!$B$9:$B$550)-ROW(Накл!$B$9)+1),ROW(D540)-ROW(A537)+1)),"")," ",IFERROR(INDEX(Накл!$C$9:$C$550,SMALL(IF(Накл!$B$9:$B$550=A537,ROW(Накл!$B$9:$B$550)-ROW(Накл!$B$9)+1),ROW(D541)-ROW(A537)+1)),"")," ",IFERROR(INDEX(Накл!$C$9:$C$550,SMALL(IF(Накл!$B$9:$B$550=A537,ROW(Накл!$B$9:$B$550)-ROW(Накл!$B$9)+1),ROW(D542)-ROW(A537)+1)),"")," ",IFERROR(INDEX(Накл!$C$9:$C$550,SMALL(IF(Накл!$B$9:$B$550=A537,ROW(Накл!$B$9:$B$550)-ROW(Накл!$B$9)+1),ROW(D543)-ROW(A537)+1)),"")," ",IFERROR(INDEX(Накл!$C$9:$C$550,SMALL(IF(Накл!$B$9:$B$550=A537,ROW(Накл!$B$9:$B$550)-ROW(Накл!$B$9)+1),ROW(D544)-ROW(A537)+1)),"")," ",IFERROR(INDEX(Накл!$C$9:$C$550,SMALL(IF(Накл!$B$9:$B$550=A537,ROW(Накл!$B$9:$B$550)-ROW(Накл!$B$9)+1),ROW(D545)-ROW(A537)+1)),"")," ",IFERROR(INDEX(Накл!$C$9:$C$550,SMALL(IF(Накл!$B$9:$B$550=A537,ROW(Накл!$B$9:$B$550)-ROW(Накл!$B$9)+1),ROW(D546)-ROW(A537)+1)),""))</f>
        <v xml:space="preserve">         </v>
      </c>
      <c r="E537" s="26" t="str">
        <f t="array" ref="E537">IF(LEN(D537)&lt;10,CONCATENATE(IFERROR(INDEX(Накл!$C$9:$C$550,SMALL(IF(Накл!$A$9:$A$550=VALUE(LEFT(A537,8)),ROW(Накл!$A$9:$A$550)-ROW(Накл!$A$9)+1),ROW(E537)-ROW(B537)+1)),"")," ",IFERROR(INDEX(Накл!$C$9:$C$550,SMALL(IF(Накл!$A$9:$A$550=VALUE(LEFT(A537,8)),ROW(Накл!$A$9:$A$550)-ROW(Накл!$A$9)+1),ROW(E538)-ROW(B537)+1)),"")," ",IFERROR(INDEX(Накл!$C$9:$C$550,SMALL(IF(Накл!$A$9:$A$550=VALUE(LEFT(A537,8)),ROW(Накл!$A$9:$A$550)-ROW(Накл!$A$9)+1),ROW(E539)-ROW(B537)+1)),"")," ",IFERROR(INDEX(Накл!$C$9:$C$550,SMALL(IF(Накл!$A$9:$A$550=VALUE(LEFT(A537,8)),ROW(Накл!$A$9:$A$550)-ROW(Накл!$A$9)+1),ROW(E540)-ROW(B537)+1)),"")),"")</f>
        <v xml:space="preserve">   </v>
      </c>
    </row>
    <row r="538" spans="1:5">
      <c r="A538" s="26" t="str">
        <f>IFERROR(CONCATENATE(VALUE(SUBSTITUTE(SUBSTITUTE(LEFT(Накл!G545,11),".",""),"-",""))," ",Накл!J545),"-")</f>
        <v>-</v>
      </c>
      <c r="B538" s="26" t="str">
        <f>IFERROR(VLOOKUP(VALUE(LEFT(A538,8)),Накл!$A$9:$D$550,4,0),"-")</f>
        <v>-</v>
      </c>
      <c r="C538" s="26">
        <f>Накл!J545</f>
        <v>0</v>
      </c>
      <c r="D538" s="33" t="str">
        <f t="array" ref="D538">CONCATENATE(IFERROR(INDEX(Накл!$C$9:$C$550,SMALL(IF(Накл!$B$9:$B$550=A538,ROW(Накл!$B$9:$B$550)-ROW(Накл!$B$9)+1),ROW(D538)-ROW(A538)+1)),"")," ",IFERROR(INDEX(Накл!$C$9:$C$550,SMALL(IF(Накл!$B$9:$B$550=A538,ROW(Накл!$B$9:$B$550)-ROW(Накл!$B$9)+1),ROW(D539)-ROW(A538)+1)),"")," ",IFERROR(INDEX(Накл!$C$9:$C$550,SMALL(IF(Накл!$B$9:$B$550=A538,ROW(Накл!$B$9:$B$550)-ROW(Накл!$B$9)+1),ROW(D540)-ROW(A538)+1)),"")," ",IFERROR(INDEX(Накл!$C$9:$C$550,SMALL(IF(Накл!$B$9:$B$550=A538,ROW(Накл!$B$9:$B$550)-ROW(Накл!$B$9)+1),ROW(D541)-ROW(A538)+1)),"")," ",IFERROR(INDEX(Накл!$C$9:$C$550,SMALL(IF(Накл!$B$9:$B$550=A538,ROW(Накл!$B$9:$B$550)-ROW(Накл!$B$9)+1),ROW(D542)-ROW(A538)+1)),"")," ",IFERROR(INDEX(Накл!$C$9:$C$550,SMALL(IF(Накл!$B$9:$B$550=A538,ROW(Накл!$B$9:$B$550)-ROW(Накл!$B$9)+1),ROW(D543)-ROW(A538)+1)),"")," ",IFERROR(INDEX(Накл!$C$9:$C$550,SMALL(IF(Накл!$B$9:$B$550=A538,ROW(Накл!$B$9:$B$550)-ROW(Накл!$B$9)+1),ROW(D544)-ROW(A538)+1)),"")," ",IFERROR(INDEX(Накл!$C$9:$C$550,SMALL(IF(Накл!$B$9:$B$550=A538,ROW(Накл!$B$9:$B$550)-ROW(Накл!$B$9)+1),ROW(D545)-ROW(A538)+1)),"")," ",IFERROR(INDEX(Накл!$C$9:$C$550,SMALL(IF(Накл!$B$9:$B$550=A538,ROW(Накл!$B$9:$B$550)-ROW(Накл!$B$9)+1),ROW(D546)-ROW(A538)+1)),"")," ",IFERROR(INDEX(Накл!$C$9:$C$550,SMALL(IF(Накл!$B$9:$B$550=A538,ROW(Накл!$B$9:$B$550)-ROW(Накл!$B$9)+1),ROW(D547)-ROW(A538)+1)),""))</f>
        <v xml:space="preserve">         </v>
      </c>
      <c r="E538" s="26" t="str">
        <f t="array" ref="E538">IF(LEN(D538)&lt;10,CONCATENATE(IFERROR(INDEX(Накл!$C$9:$C$550,SMALL(IF(Накл!$A$9:$A$550=VALUE(LEFT(A538,8)),ROW(Накл!$A$9:$A$550)-ROW(Накл!$A$9)+1),ROW(E538)-ROW(B538)+1)),"")," ",IFERROR(INDEX(Накл!$C$9:$C$550,SMALL(IF(Накл!$A$9:$A$550=VALUE(LEFT(A538,8)),ROW(Накл!$A$9:$A$550)-ROW(Накл!$A$9)+1),ROW(E539)-ROW(B538)+1)),"")," ",IFERROR(INDEX(Накл!$C$9:$C$550,SMALL(IF(Накл!$A$9:$A$550=VALUE(LEFT(A538,8)),ROW(Накл!$A$9:$A$550)-ROW(Накл!$A$9)+1),ROW(E540)-ROW(B538)+1)),"")," ",IFERROR(INDEX(Накл!$C$9:$C$550,SMALL(IF(Накл!$A$9:$A$550=VALUE(LEFT(A538,8)),ROW(Накл!$A$9:$A$550)-ROW(Накл!$A$9)+1),ROW(E541)-ROW(B538)+1)),"")),"")</f>
        <v xml:space="preserve">   </v>
      </c>
    </row>
    <row r="539" spans="1:5">
      <c r="A539" s="26" t="str">
        <f>IFERROR(CONCATENATE(VALUE(SUBSTITUTE(SUBSTITUTE(LEFT(Накл!G546,11),".",""),"-",""))," ",Накл!J546),"-")</f>
        <v>-</v>
      </c>
      <c r="B539" s="26" t="str">
        <f>IFERROR(VLOOKUP(VALUE(LEFT(A539,8)),Накл!$A$9:$D$550,4,0),"-")</f>
        <v>-</v>
      </c>
      <c r="C539" s="26">
        <f>Накл!J546</f>
        <v>0</v>
      </c>
      <c r="D539" s="33" t="str">
        <f t="array" ref="D539">CONCATENATE(IFERROR(INDEX(Накл!$C$9:$C$550,SMALL(IF(Накл!$B$9:$B$550=A539,ROW(Накл!$B$9:$B$550)-ROW(Накл!$B$9)+1),ROW(D539)-ROW(A539)+1)),"")," ",IFERROR(INDEX(Накл!$C$9:$C$550,SMALL(IF(Накл!$B$9:$B$550=A539,ROW(Накл!$B$9:$B$550)-ROW(Накл!$B$9)+1),ROW(D540)-ROW(A539)+1)),"")," ",IFERROR(INDEX(Накл!$C$9:$C$550,SMALL(IF(Накл!$B$9:$B$550=A539,ROW(Накл!$B$9:$B$550)-ROW(Накл!$B$9)+1),ROW(D541)-ROW(A539)+1)),"")," ",IFERROR(INDEX(Накл!$C$9:$C$550,SMALL(IF(Накл!$B$9:$B$550=A539,ROW(Накл!$B$9:$B$550)-ROW(Накл!$B$9)+1),ROW(D542)-ROW(A539)+1)),"")," ",IFERROR(INDEX(Накл!$C$9:$C$550,SMALL(IF(Накл!$B$9:$B$550=A539,ROW(Накл!$B$9:$B$550)-ROW(Накл!$B$9)+1),ROW(D543)-ROW(A539)+1)),"")," ",IFERROR(INDEX(Накл!$C$9:$C$550,SMALL(IF(Накл!$B$9:$B$550=A539,ROW(Накл!$B$9:$B$550)-ROW(Накл!$B$9)+1),ROW(D544)-ROW(A539)+1)),"")," ",IFERROR(INDEX(Накл!$C$9:$C$550,SMALL(IF(Накл!$B$9:$B$550=A539,ROW(Накл!$B$9:$B$550)-ROW(Накл!$B$9)+1),ROW(D545)-ROW(A539)+1)),"")," ",IFERROR(INDEX(Накл!$C$9:$C$550,SMALL(IF(Накл!$B$9:$B$550=A539,ROW(Накл!$B$9:$B$550)-ROW(Накл!$B$9)+1),ROW(D546)-ROW(A539)+1)),"")," ",IFERROR(INDEX(Накл!$C$9:$C$550,SMALL(IF(Накл!$B$9:$B$550=A539,ROW(Накл!$B$9:$B$550)-ROW(Накл!$B$9)+1),ROW(D547)-ROW(A539)+1)),"")," ",IFERROR(INDEX(Накл!$C$9:$C$550,SMALL(IF(Накл!$B$9:$B$550=A539,ROW(Накл!$B$9:$B$550)-ROW(Накл!$B$9)+1),ROW(D548)-ROW(A539)+1)),""))</f>
        <v xml:space="preserve">         </v>
      </c>
      <c r="E539" s="26" t="str">
        <f t="array" ref="E539">IF(LEN(D539)&lt;10,CONCATENATE(IFERROR(INDEX(Накл!$C$9:$C$550,SMALL(IF(Накл!$A$9:$A$550=VALUE(LEFT(A539,8)),ROW(Накл!$A$9:$A$550)-ROW(Накл!$A$9)+1),ROW(E539)-ROW(B539)+1)),"")," ",IFERROR(INDEX(Накл!$C$9:$C$550,SMALL(IF(Накл!$A$9:$A$550=VALUE(LEFT(A539,8)),ROW(Накл!$A$9:$A$550)-ROW(Накл!$A$9)+1),ROW(E540)-ROW(B539)+1)),"")," ",IFERROR(INDEX(Накл!$C$9:$C$550,SMALL(IF(Накл!$A$9:$A$550=VALUE(LEFT(A539,8)),ROW(Накл!$A$9:$A$550)-ROW(Накл!$A$9)+1),ROW(E541)-ROW(B539)+1)),"")," ",IFERROR(INDEX(Накл!$C$9:$C$550,SMALL(IF(Накл!$A$9:$A$550=VALUE(LEFT(A539,8)),ROW(Накл!$A$9:$A$550)-ROW(Накл!$A$9)+1),ROW(E542)-ROW(B539)+1)),"")),"")</f>
        <v xml:space="preserve">   </v>
      </c>
    </row>
    <row r="540" spans="1:5">
      <c r="A540" s="26" t="str">
        <f>IFERROR(CONCATENATE(VALUE(SUBSTITUTE(SUBSTITUTE(LEFT(Накл!G547,11),".",""),"-",""))," ",Накл!J547),"-")</f>
        <v>-</v>
      </c>
      <c r="B540" s="26" t="str">
        <f>IFERROR(VLOOKUP(VALUE(LEFT(A540,8)),Накл!$A$9:$D$550,4,0),"-")</f>
        <v>-</v>
      </c>
      <c r="C540" s="26">
        <f>Накл!J547</f>
        <v>0</v>
      </c>
      <c r="D540" s="33" t="str">
        <f t="array" ref="D540">CONCATENATE(IFERROR(INDEX(Накл!$C$9:$C$550,SMALL(IF(Накл!$B$9:$B$550=A540,ROW(Накл!$B$9:$B$550)-ROW(Накл!$B$9)+1),ROW(D540)-ROW(A540)+1)),"")," ",IFERROR(INDEX(Накл!$C$9:$C$550,SMALL(IF(Накл!$B$9:$B$550=A540,ROW(Накл!$B$9:$B$550)-ROW(Накл!$B$9)+1),ROW(D541)-ROW(A540)+1)),"")," ",IFERROR(INDEX(Накл!$C$9:$C$550,SMALL(IF(Накл!$B$9:$B$550=A540,ROW(Накл!$B$9:$B$550)-ROW(Накл!$B$9)+1),ROW(D542)-ROW(A540)+1)),"")," ",IFERROR(INDEX(Накл!$C$9:$C$550,SMALL(IF(Накл!$B$9:$B$550=A540,ROW(Накл!$B$9:$B$550)-ROW(Накл!$B$9)+1),ROW(D543)-ROW(A540)+1)),"")," ",IFERROR(INDEX(Накл!$C$9:$C$550,SMALL(IF(Накл!$B$9:$B$550=A540,ROW(Накл!$B$9:$B$550)-ROW(Накл!$B$9)+1),ROW(D544)-ROW(A540)+1)),"")," ",IFERROR(INDEX(Накл!$C$9:$C$550,SMALL(IF(Накл!$B$9:$B$550=A540,ROW(Накл!$B$9:$B$550)-ROW(Накл!$B$9)+1),ROW(D545)-ROW(A540)+1)),"")," ",IFERROR(INDEX(Накл!$C$9:$C$550,SMALL(IF(Накл!$B$9:$B$550=A540,ROW(Накл!$B$9:$B$550)-ROW(Накл!$B$9)+1),ROW(D546)-ROW(A540)+1)),"")," ",IFERROR(INDEX(Накл!$C$9:$C$550,SMALL(IF(Накл!$B$9:$B$550=A540,ROW(Накл!$B$9:$B$550)-ROW(Накл!$B$9)+1),ROW(D547)-ROW(A540)+1)),"")," ",IFERROR(INDEX(Накл!$C$9:$C$550,SMALL(IF(Накл!$B$9:$B$550=A540,ROW(Накл!$B$9:$B$550)-ROW(Накл!$B$9)+1),ROW(D548)-ROW(A540)+1)),"")," ",IFERROR(INDEX(Накл!$C$9:$C$550,SMALL(IF(Накл!$B$9:$B$550=A540,ROW(Накл!$B$9:$B$550)-ROW(Накл!$B$9)+1),ROW(D549)-ROW(A540)+1)),""))</f>
        <v xml:space="preserve">         </v>
      </c>
      <c r="E540" s="26" t="str">
        <f t="array" ref="E540">IF(LEN(D540)&lt;10,CONCATENATE(IFERROR(INDEX(Накл!$C$9:$C$550,SMALL(IF(Накл!$A$9:$A$550=VALUE(LEFT(A540,8)),ROW(Накл!$A$9:$A$550)-ROW(Накл!$A$9)+1),ROW(E540)-ROW(B540)+1)),"")," ",IFERROR(INDEX(Накл!$C$9:$C$550,SMALL(IF(Накл!$A$9:$A$550=VALUE(LEFT(A540,8)),ROW(Накл!$A$9:$A$550)-ROW(Накл!$A$9)+1),ROW(E541)-ROW(B540)+1)),"")," ",IFERROR(INDEX(Накл!$C$9:$C$550,SMALL(IF(Накл!$A$9:$A$550=VALUE(LEFT(A540,8)),ROW(Накл!$A$9:$A$550)-ROW(Накл!$A$9)+1),ROW(E542)-ROW(B540)+1)),"")," ",IFERROR(INDEX(Накл!$C$9:$C$550,SMALL(IF(Накл!$A$9:$A$550=VALUE(LEFT(A540,8)),ROW(Накл!$A$9:$A$550)-ROW(Накл!$A$9)+1),ROW(E543)-ROW(B540)+1)),"")),"")</f>
        <v xml:space="preserve">   </v>
      </c>
    </row>
    <row r="541" spans="1:5">
      <c r="A541" s="26" t="str">
        <f>IFERROR(CONCATENATE(VALUE(SUBSTITUTE(SUBSTITUTE(LEFT(Накл!G548,11),".",""),"-",""))," ",Накл!J548),"-")</f>
        <v>-</v>
      </c>
      <c r="B541" s="26" t="str">
        <f>IFERROR(VLOOKUP(VALUE(LEFT(A541,8)),Накл!$A$9:$D$550,4,0),"-")</f>
        <v>-</v>
      </c>
      <c r="C541" s="26">
        <f>Накл!J548</f>
        <v>0</v>
      </c>
      <c r="D541" s="33" t="str">
        <f t="array" ref="D541">CONCATENATE(IFERROR(INDEX(Накл!$C$9:$C$550,SMALL(IF(Накл!$B$9:$B$550=A541,ROW(Накл!$B$9:$B$550)-ROW(Накл!$B$9)+1),ROW(D541)-ROW(A541)+1)),"")," ",IFERROR(INDEX(Накл!$C$9:$C$550,SMALL(IF(Накл!$B$9:$B$550=A541,ROW(Накл!$B$9:$B$550)-ROW(Накл!$B$9)+1),ROW(D542)-ROW(A541)+1)),"")," ",IFERROR(INDEX(Накл!$C$9:$C$550,SMALL(IF(Накл!$B$9:$B$550=A541,ROW(Накл!$B$9:$B$550)-ROW(Накл!$B$9)+1),ROW(D543)-ROW(A541)+1)),"")," ",IFERROR(INDEX(Накл!$C$9:$C$550,SMALL(IF(Накл!$B$9:$B$550=A541,ROW(Накл!$B$9:$B$550)-ROW(Накл!$B$9)+1),ROW(D544)-ROW(A541)+1)),"")," ",IFERROR(INDEX(Накл!$C$9:$C$550,SMALL(IF(Накл!$B$9:$B$550=A541,ROW(Накл!$B$9:$B$550)-ROW(Накл!$B$9)+1),ROW(D545)-ROW(A541)+1)),"")," ",IFERROR(INDEX(Накл!$C$9:$C$550,SMALL(IF(Накл!$B$9:$B$550=A541,ROW(Накл!$B$9:$B$550)-ROW(Накл!$B$9)+1),ROW(D546)-ROW(A541)+1)),"")," ",IFERROR(INDEX(Накл!$C$9:$C$550,SMALL(IF(Накл!$B$9:$B$550=A541,ROW(Накл!$B$9:$B$550)-ROW(Накл!$B$9)+1),ROW(D547)-ROW(A541)+1)),"")," ",IFERROR(INDEX(Накл!$C$9:$C$550,SMALL(IF(Накл!$B$9:$B$550=A541,ROW(Накл!$B$9:$B$550)-ROW(Накл!$B$9)+1),ROW(D548)-ROW(A541)+1)),"")," ",IFERROR(INDEX(Накл!$C$9:$C$550,SMALL(IF(Накл!$B$9:$B$550=A541,ROW(Накл!$B$9:$B$550)-ROW(Накл!$B$9)+1),ROW(D549)-ROW(A541)+1)),"")," ",IFERROR(INDEX(Накл!$C$9:$C$550,SMALL(IF(Накл!$B$9:$B$550=A541,ROW(Накл!$B$9:$B$550)-ROW(Накл!$B$9)+1),ROW(D550)-ROW(A541)+1)),""))</f>
        <v xml:space="preserve">         </v>
      </c>
      <c r="E541" s="26" t="str">
        <f t="array" ref="E541">IF(LEN(D541)&lt;10,CONCATENATE(IFERROR(INDEX(Накл!$C$9:$C$550,SMALL(IF(Накл!$A$9:$A$550=VALUE(LEFT(A541,8)),ROW(Накл!$A$9:$A$550)-ROW(Накл!$A$9)+1),ROW(E541)-ROW(B541)+1)),"")," ",IFERROR(INDEX(Накл!$C$9:$C$550,SMALL(IF(Накл!$A$9:$A$550=VALUE(LEFT(A541,8)),ROW(Накл!$A$9:$A$550)-ROW(Накл!$A$9)+1),ROW(E542)-ROW(B541)+1)),"")," ",IFERROR(INDEX(Накл!$C$9:$C$550,SMALL(IF(Накл!$A$9:$A$550=VALUE(LEFT(A541,8)),ROW(Накл!$A$9:$A$550)-ROW(Накл!$A$9)+1),ROW(E543)-ROW(B541)+1)),"")," ",IFERROR(INDEX(Накл!$C$9:$C$550,SMALL(IF(Накл!$A$9:$A$550=VALUE(LEFT(A541,8)),ROW(Накл!$A$9:$A$550)-ROW(Накл!$A$9)+1),ROW(E544)-ROW(B541)+1)),"")),"")</f>
        <v xml:space="preserve">   </v>
      </c>
    </row>
    <row r="542" spans="1:5">
      <c r="A542" s="26" t="str">
        <f>IFERROR(CONCATENATE(VALUE(SUBSTITUTE(SUBSTITUTE(LEFT(Накл!G549,11),".",""),"-",""))," ",Накл!J549),"-")</f>
        <v>-</v>
      </c>
      <c r="B542" s="26" t="str">
        <f>IFERROR(VLOOKUP(VALUE(LEFT(A542,8)),Накл!$A$9:$D$550,4,0),"-")</f>
        <v>-</v>
      </c>
      <c r="C542" s="26">
        <f>Накл!J549</f>
        <v>0</v>
      </c>
      <c r="D542" s="33" t="str">
        <f t="array" ref="D542">CONCATENATE(IFERROR(INDEX(Накл!$C$9:$C$550,SMALL(IF(Накл!$B$9:$B$550=A542,ROW(Накл!$B$9:$B$550)-ROW(Накл!$B$9)+1),ROW(D542)-ROW(A542)+1)),"")," ",IFERROR(INDEX(Накл!$C$9:$C$550,SMALL(IF(Накл!$B$9:$B$550=A542,ROW(Накл!$B$9:$B$550)-ROW(Накл!$B$9)+1),ROW(D543)-ROW(A542)+1)),"")," ",IFERROR(INDEX(Накл!$C$9:$C$550,SMALL(IF(Накл!$B$9:$B$550=A542,ROW(Накл!$B$9:$B$550)-ROW(Накл!$B$9)+1),ROW(D544)-ROW(A542)+1)),"")," ",IFERROR(INDEX(Накл!$C$9:$C$550,SMALL(IF(Накл!$B$9:$B$550=A542,ROW(Накл!$B$9:$B$550)-ROW(Накл!$B$9)+1),ROW(D545)-ROW(A542)+1)),"")," ",IFERROR(INDEX(Накл!$C$9:$C$550,SMALL(IF(Накл!$B$9:$B$550=A542,ROW(Накл!$B$9:$B$550)-ROW(Накл!$B$9)+1),ROW(D546)-ROW(A542)+1)),"")," ",IFERROR(INDEX(Накл!$C$9:$C$550,SMALL(IF(Накл!$B$9:$B$550=A542,ROW(Накл!$B$9:$B$550)-ROW(Накл!$B$9)+1),ROW(D547)-ROW(A542)+1)),"")," ",IFERROR(INDEX(Накл!$C$9:$C$550,SMALL(IF(Накл!$B$9:$B$550=A542,ROW(Накл!$B$9:$B$550)-ROW(Накл!$B$9)+1),ROW(D548)-ROW(A542)+1)),"")," ",IFERROR(INDEX(Накл!$C$9:$C$550,SMALL(IF(Накл!$B$9:$B$550=A542,ROW(Накл!$B$9:$B$550)-ROW(Накл!$B$9)+1),ROW(D549)-ROW(A542)+1)),"")," ",IFERROR(INDEX(Накл!$C$9:$C$550,SMALL(IF(Накл!$B$9:$B$550=A542,ROW(Накл!$B$9:$B$550)-ROW(Накл!$B$9)+1),ROW(D550)-ROW(A542)+1)),"")," ",IFERROR(INDEX(Накл!$C$9:$C$550,SMALL(IF(Накл!$B$9:$B$550=A542,ROW(Накл!$B$9:$B$550)-ROW(Накл!$B$9)+1),ROW(D551)-ROW(A542)+1)),""))</f>
        <v xml:space="preserve">         </v>
      </c>
      <c r="E542" s="26" t="str">
        <f t="array" ref="E542">IF(LEN(D542)&lt;10,CONCATENATE(IFERROR(INDEX(Накл!$C$9:$C$550,SMALL(IF(Накл!$A$9:$A$550=VALUE(LEFT(A542,8)),ROW(Накл!$A$9:$A$550)-ROW(Накл!$A$9)+1),ROW(E542)-ROW(B542)+1)),"")," ",IFERROR(INDEX(Накл!$C$9:$C$550,SMALL(IF(Накл!$A$9:$A$550=VALUE(LEFT(A542,8)),ROW(Накл!$A$9:$A$550)-ROW(Накл!$A$9)+1),ROW(E543)-ROW(B542)+1)),"")," ",IFERROR(INDEX(Накл!$C$9:$C$550,SMALL(IF(Накл!$A$9:$A$550=VALUE(LEFT(A542,8)),ROW(Накл!$A$9:$A$550)-ROW(Накл!$A$9)+1),ROW(E544)-ROW(B542)+1)),"")," ",IFERROR(INDEX(Накл!$C$9:$C$550,SMALL(IF(Накл!$A$9:$A$550=VALUE(LEFT(A542,8)),ROW(Накл!$A$9:$A$550)-ROW(Накл!$A$9)+1),ROW(E545)-ROW(B542)+1)),"")),"")</f>
        <v xml:space="preserve">   </v>
      </c>
    </row>
    <row r="543" spans="1:5">
      <c r="A543" s="26" t="str">
        <f>IFERROR(CONCATENATE(VALUE(SUBSTITUTE(SUBSTITUTE(LEFT(Накл!G550,11),".",""),"-",""))," ",Накл!J550),"-")</f>
        <v>-</v>
      </c>
      <c r="B543" s="26" t="str">
        <f>IFERROR(VLOOKUP(VALUE(LEFT(A543,8)),Накл!$A$9:$D$550,4,0),"-")</f>
        <v>-</v>
      </c>
      <c r="C543" s="26">
        <f>Накл!J550</f>
        <v>0</v>
      </c>
      <c r="D543" s="33" t="str">
        <f t="array" ref="D543">CONCATENATE(IFERROR(INDEX(Накл!$C$9:$C$550,SMALL(IF(Накл!$B$9:$B$550=A543,ROW(Накл!$B$9:$B$550)-ROW(Накл!$B$9)+1),ROW(D543)-ROW(A543)+1)),"")," ",IFERROR(INDEX(Накл!$C$9:$C$550,SMALL(IF(Накл!$B$9:$B$550=A543,ROW(Накл!$B$9:$B$550)-ROW(Накл!$B$9)+1),ROW(D544)-ROW(A543)+1)),"")," ",IFERROR(INDEX(Накл!$C$9:$C$550,SMALL(IF(Накл!$B$9:$B$550=A543,ROW(Накл!$B$9:$B$550)-ROW(Накл!$B$9)+1),ROW(D545)-ROW(A543)+1)),"")," ",IFERROR(INDEX(Накл!$C$9:$C$550,SMALL(IF(Накл!$B$9:$B$550=A543,ROW(Накл!$B$9:$B$550)-ROW(Накл!$B$9)+1),ROW(D546)-ROW(A543)+1)),"")," ",IFERROR(INDEX(Накл!$C$9:$C$550,SMALL(IF(Накл!$B$9:$B$550=A543,ROW(Накл!$B$9:$B$550)-ROW(Накл!$B$9)+1),ROW(D547)-ROW(A543)+1)),"")," ",IFERROR(INDEX(Накл!$C$9:$C$550,SMALL(IF(Накл!$B$9:$B$550=A543,ROW(Накл!$B$9:$B$550)-ROW(Накл!$B$9)+1),ROW(D548)-ROW(A543)+1)),"")," ",IFERROR(INDEX(Накл!$C$9:$C$550,SMALL(IF(Накл!$B$9:$B$550=A543,ROW(Накл!$B$9:$B$550)-ROW(Накл!$B$9)+1),ROW(D549)-ROW(A543)+1)),"")," ",IFERROR(INDEX(Накл!$C$9:$C$550,SMALL(IF(Накл!$B$9:$B$550=A543,ROW(Накл!$B$9:$B$550)-ROW(Накл!$B$9)+1),ROW(D550)-ROW(A543)+1)),"")," ",IFERROR(INDEX(Накл!$C$9:$C$550,SMALL(IF(Накл!$B$9:$B$550=A543,ROW(Накл!$B$9:$B$550)-ROW(Накл!$B$9)+1),ROW(D551)-ROW(A543)+1)),"")," ",IFERROR(INDEX(Накл!$C$9:$C$550,SMALL(IF(Накл!$B$9:$B$550=A543,ROW(Накл!$B$9:$B$550)-ROW(Накл!$B$9)+1),ROW(D552)-ROW(A543)+1)),""))</f>
        <v xml:space="preserve">         </v>
      </c>
      <c r="E543" s="26" t="str">
        <f t="array" ref="E543">IF(LEN(D543)&lt;10,CONCATENATE(IFERROR(INDEX(Накл!$C$9:$C$550,SMALL(IF(Накл!$A$9:$A$550=VALUE(LEFT(A543,8)),ROW(Накл!$A$9:$A$550)-ROW(Накл!$A$9)+1),ROW(E543)-ROW(B543)+1)),"")," ",IFERROR(INDEX(Накл!$C$9:$C$550,SMALL(IF(Накл!$A$9:$A$550=VALUE(LEFT(A543,8)),ROW(Накл!$A$9:$A$550)-ROW(Накл!$A$9)+1),ROW(E544)-ROW(B543)+1)),"")," ",IFERROR(INDEX(Накл!$C$9:$C$550,SMALL(IF(Накл!$A$9:$A$550=VALUE(LEFT(A543,8)),ROW(Накл!$A$9:$A$550)-ROW(Накл!$A$9)+1),ROW(E545)-ROW(B543)+1)),"")," ",IFERROR(INDEX(Накл!$C$9:$C$550,SMALL(IF(Накл!$A$9:$A$550=VALUE(LEFT(A543,8)),ROW(Накл!$A$9:$A$550)-ROW(Накл!$A$9)+1),ROW(E546)-ROW(B543)+1)),"")),"")</f>
        <v xml:space="preserve">   </v>
      </c>
    </row>
  </sheetData>
  <sheetProtection sheet="1" objects="1" scenarios="1"/>
  <mergeCells count="2">
    <mergeCell ref="A1:C1"/>
    <mergeCell ref="I2:N7"/>
  </mergeCells>
  <conditionalFormatting sqref="A2:A550">
    <cfRule type="duplicateValues" dxfId="1" priority="4"/>
  </conditionalFormatting>
  <conditionalFormatting sqref="D2:D543">
    <cfRule type="duplicateValues" dxfId="0" priority="6"/>
  </conditionalFormatting>
  <pageMargins left="0.25" right="0.25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Общий</vt:lpstr>
      <vt:lpstr>Накл</vt:lpstr>
      <vt:lpstr>Сравнение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G1610</cp:lastModifiedBy>
  <cp:lastPrinted>2023-08-18T12:16:20Z</cp:lastPrinted>
  <dcterms:created xsi:type="dcterms:W3CDTF">2023-07-25T14:54:34Z</dcterms:created>
  <dcterms:modified xsi:type="dcterms:W3CDTF">2023-08-31T07:53:11Z</dcterms:modified>
</cp:coreProperties>
</file>