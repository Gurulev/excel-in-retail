
<file path=[Content_Types].xml><?xml version="1.0" encoding="utf-8"?>
<Types xmlns="http://schemas.openxmlformats.org/package/2006/content-types">
  <Default Extension="bin" ContentType="application/vnd.openxmlformats-officedocument.spreadsheetml.printerSettings"/>
  <Default Extension="png" ContentType="image/png"/>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ЭтаКнига" defaultThemeVersion="124226"/>
  <bookViews>
    <workbookView xWindow="120" yWindow="45" windowWidth="23895" windowHeight="9975"/>
  </bookViews>
  <sheets>
    <sheet name="Поиск" sheetId="1" r:id="rId1"/>
    <sheet name="Запчасти" sheetId="3" r:id="rId2"/>
    <sheet name="Журнал движений" sheetId="4" r:id="rId3"/>
  </sheets>
  <definedNames>
    <definedName name="_xlnm._FilterDatabase" localSheetId="1" hidden="1">Запчасти!$A$1:$D$608</definedName>
  </definedNames>
  <calcPr calcId="124519"/>
</workbook>
</file>

<file path=xl/calcChain.xml><?xml version="1.0" encoding="utf-8"?>
<calcChain xmlns="http://schemas.openxmlformats.org/spreadsheetml/2006/main">
  <c r="J6" i="1"/>
  <c r="N6" s="1"/>
  <c r="J7"/>
  <c r="N7" s="1"/>
  <c r="J8"/>
  <c r="N8" s="1"/>
  <c r="J9"/>
  <c r="N9" s="1"/>
  <c r="J10"/>
  <c r="N10" s="1"/>
  <c r="J11"/>
  <c r="N11" s="1"/>
  <c r="J12"/>
  <c r="N12" s="1"/>
  <c r="J13"/>
  <c r="N13" s="1"/>
  <c r="J14"/>
  <c r="N14" s="1"/>
  <c r="J15"/>
  <c r="N15" s="1"/>
  <c r="J16"/>
  <c r="N16" s="1"/>
  <c r="J17"/>
  <c r="N17" s="1"/>
  <c r="J18"/>
  <c r="N18" s="1"/>
  <c r="J19"/>
  <c r="N19" s="1"/>
  <c r="J20"/>
  <c r="N20" s="1"/>
  <c r="J21"/>
  <c r="N21" s="1"/>
  <c r="J22"/>
  <c r="N22" s="1"/>
  <c r="J23"/>
  <c r="N23" s="1"/>
  <c r="J24"/>
  <c r="N24" s="1"/>
  <c r="J25"/>
  <c r="N25" s="1"/>
  <c r="J26"/>
  <c r="N26" s="1"/>
  <c r="J27"/>
  <c r="N27" s="1"/>
  <c r="J28"/>
  <c r="N28" s="1"/>
  <c r="J29"/>
  <c r="N29" s="1"/>
  <c r="J30"/>
  <c r="N30" s="1"/>
  <c r="J31"/>
  <c r="N31" s="1"/>
  <c r="J32"/>
  <c r="N32" s="1"/>
  <c r="J33"/>
  <c r="N33" s="1"/>
  <c r="J34"/>
  <c r="N34" s="1"/>
  <c r="J35"/>
  <c r="N35" s="1"/>
  <c r="J36"/>
  <c r="N36" s="1"/>
  <c r="J37"/>
  <c r="N37" s="1"/>
  <c r="J38"/>
  <c r="N38" s="1"/>
  <c r="J39"/>
  <c r="N39" s="1"/>
  <c r="J40"/>
  <c r="N40" s="1"/>
  <c r="J41"/>
  <c r="N41" s="1"/>
  <c r="J42"/>
  <c r="N42" s="1"/>
  <c r="J43"/>
  <c r="N43" s="1"/>
  <c r="J44"/>
  <c r="N44" s="1"/>
  <c r="J45"/>
  <c r="N45" s="1"/>
  <c r="J46"/>
  <c r="N46" s="1"/>
  <c r="J47"/>
  <c r="N47" s="1"/>
  <c r="J48"/>
  <c r="N48" s="1"/>
  <c r="K47" l="1"/>
  <c r="K45"/>
  <c r="K43"/>
  <c r="K41"/>
  <c r="K39"/>
  <c r="K37"/>
  <c r="K35"/>
  <c r="K33"/>
  <c r="K31"/>
  <c r="K29"/>
  <c r="K27"/>
  <c r="K25"/>
  <c r="K23"/>
  <c r="K21"/>
  <c r="K19"/>
  <c r="K17"/>
  <c r="K15"/>
  <c r="K13"/>
  <c r="K11"/>
  <c r="K9"/>
  <c r="L47"/>
  <c r="L45"/>
  <c r="L43"/>
  <c r="L41"/>
  <c r="L39"/>
  <c r="L37"/>
  <c r="L35"/>
  <c r="L33"/>
  <c r="L31"/>
  <c r="L29"/>
  <c r="L27"/>
  <c r="L25"/>
  <c r="L23"/>
  <c r="L21"/>
  <c r="L19"/>
  <c r="L17"/>
  <c r="L15"/>
  <c r="L13"/>
  <c r="L11"/>
  <c r="L9"/>
  <c r="K48"/>
  <c r="K46"/>
  <c r="K44"/>
  <c r="K42"/>
  <c r="K40"/>
  <c r="K38"/>
  <c r="K36"/>
  <c r="K34"/>
  <c r="K32"/>
  <c r="K30"/>
  <c r="K28"/>
  <c r="K26"/>
  <c r="K24"/>
  <c r="K22"/>
  <c r="K20"/>
  <c r="K18"/>
  <c r="K16"/>
  <c r="K14"/>
  <c r="K12"/>
  <c r="K10"/>
  <c r="L48"/>
  <c r="L46"/>
  <c r="L44"/>
  <c r="L42"/>
  <c r="L40"/>
  <c r="L38"/>
  <c r="L36"/>
  <c r="L34"/>
  <c r="L32"/>
  <c r="L30"/>
  <c r="L28"/>
  <c r="L26"/>
  <c r="L24"/>
  <c r="L22"/>
  <c r="L20"/>
  <c r="L18"/>
  <c r="L16"/>
  <c r="L14"/>
  <c r="L12"/>
  <c r="L10"/>
  <c r="K6"/>
  <c r="L6"/>
  <c r="K8"/>
  <c r="L8"/>
  <c r="L7"/>
  <c r="K7"/>
  <c r="M6"/>
  <c r="M7"/>
  <c r="M8"/>
  <c r="M9"/>
  <c r="M10"/>
  <c r="M11"/>
  <c r="M12"/>
  <c r="M13"/>
  <c r="M14"/>
  <c r="M15"/>
  <c r="M16"/>
  <c r="M17"/>
  <c r="M18"/>
  <c r="M19"/>
  <c r="M20"/>
  <c r="M21"/>
  <c r="M22"/>
  <c r="M23"/>
  <c r="M24"/>
  <c r="M25"/>
  <c r="M26"/>
  <c r="M27"/>
  <c r="M28"/>
  <c r="M29"/>
  <c r="M30"/>
  <c r="M31"/>
  <c r="M32"/>
  <c r="M33"/>
  <c r="M34"/>
  <c r="M35"/>
  <c r="M36"/>
  <c r="M37"/>
  <c r="M38"/>
  <c r="M39"/>
  <c r="M40"/>
  <c r="M41"/>
  <c r="M42"/>
  <c r="M43"/>
  <c r="M44"/>
  <c r="M45"/>
  <c r="M46"/>
  <c r="M47"/>
  <c r="M48"/>
  <c r="N2"/>
  <c r="J5"/>
  <c r="N5" s="1"/>
  <c r="M5"/>
  <c r="K5" l="1"/>
  <c r="L5"/>
</calcChain>
</file>

<file path=xl/sharedStrings.xml><?xml version="1.0" encoding="utf-8"?>
<sst xmlns="http://schemas.openxmlformats.org/spreadsheetml/2006/main" count="1840" uniqueCount="1168">
  <si>
    <t>Артикул</t>
  </si>
  <si>
    <t>Код</t>
  </si>
  <si>
    <t>Наименование</t>
  </si>
  <si>
    <t>Место</t>
  </si>
  <si>
    <t>030788</t>
  </si>
  <si>
    <t>030739</t>
  </si>
  <si>
    <t>030730</t>
  </si>
  <si>
    <t>030500</t>
  </si>
  <si>
    <t>030713</t>
  </si>
  <si>
    <t>030703</t>
  </si>
  <si>
    <t>030756</t>
  </si>
  <si>
    <t>030700</t>
  </si>
  <si>
    <t>030705</t>
  </si>
  <si>
    <t>030765</t>
  </si>
  <si>
    <t>030770</t>
  </si>
  <si>
    <t>Фиксирующая пластина</t>
  </si>
  <si>
    <t>Балансир всасывающей балки</t>
  </si>
  <si>
    <t>Опорная плита привода</t>
  </si>
  <si>
    <t>Фильтр только для замены</t>
  </si>
  <si>
    <t>Направляющий ролик</t>
  </si>
  <si>
    <t>Выпуклая шина тягового двигателя</t>
  </si>
  <si>
    <t>Плоский фильтр</t>
  </si>
  <si>
    <t>Поплавковый выключатель в сборе</t>
  </si>
  <si>
    <t>Колесо D200</t>
  </si>
  <si>
    <t>Колесо D 200 Karcher</t>
  </si>
  <si>
    <t>4.2.1.</t>
  </si>
  <si>
    <t>030706</t>
  </si>
  <si>
    <t>030707</t>
  </si>
  <si>
    <t>030806</t>
  </si>
  <si>
    <t>030751</t>
  </si>
  <si>
    <t>030753</t>
  </si>
  <si>
    <t>030550</t>
  </si>
  <si>
    <t>030735</t>
  </si>
  <si>
    <t>030797</t>
  </si>
  <si>
    <t>030798</t>
  </si>
  <si>
    <t>Всасывающий шланг маслоупорный</t>
  </si>
  <si>
    <t>Сливной шланг маслостойкий</t>
  </si>
  <si>
    <t>Всасывающий шланг в компл.</t>
  </si>
  <si>
    <t>Всасывающий шланг комплектный</t>
  </si>
  <si>
    <t>Сливной шланг</t>
  </si>
  <si>
    <t>Сливной маслостойкий шланг DN38 B90 R</t>
  </si>
  <si>
    <t>Всасывающий шланг PU DN32</t>
  </si>
  <si>
    <t>Сливной шланг с крышкой</t>
  </si>
  <si>
    <t>Всасывающий шланг</t>
  </si>
  <si>
    <t>4.2.2.</t>
  </si>
  <si>
    <t>Брызговик</t>
  </si>
  <si>
    <t>Полоски ребр.д/V-балки 1200мм(полиуретан</t>
  </si>
  <si>
    <t>Уплотнительные полосы маслостойкие, 2 шт</t>
  </si>
  <si>
    <t>Набор резин. полосок</t>
  </si>
  <si>
    <t>Защитный профиль</t>
  </si>
  <si>
    <t>Разбрызгиватель в комплекте Karcher</t>
  </si>
  <si>
    <t>Уплотнительные полосы маслостойкие, 2шт Karcher</t>
  </si>
  <si>
    <t>Полоски ребристые для V-балки 1000мм (полиуретан) Karcher</t>
  </si>
  <si>
    <t>Уплотнит.полосы маслостойкие,2 шт.870 мм Karcher</t>
  </si>
  <si>
    <t>Уплотнительный полосы стандартные, 2шт Karcher</t>
  </si>
  <si>
    <t>030704</t>
  </si>
  <si>
    <t>030503</t>
  </si>
  <si>
    <t>030501</t>
  </si>
  <si>
    <t>030502</t>
  </si>
  <si>
    <t>030759</t>
  </si>
  <si>
    <t>030570</t>
  </si>
  <si>
    <t>030522</t>
  </si>
  <si>
    <t>030504</t>
  </si>
  <si>
    <t>030744</t>
  </si>
  <si>
    <t>030789</t>
  </si>
  <si>
    <t>4.2.3.</t>
  </si>
  <si>
    <t>Зубчатый ремень</t>
  </si>
  <si>
    <t>Резинка во всасывающ.балку BR 35/1</t>
  </si>
  <si>
    <t>Набор всасывающих насадок BD 38/12</t>
  </si>
  <si>
    <t>Набор всасывающих полосок</t>
  </si>
  <si>
    <t>Комплект уплотнительных полос для балки</t>
  </si>
  <si>
    <t>Брызговик в комплекте (одной стороны)</t>
  </si>
  <si>
    <t>Щёточный валик красный в сборе BR 30/4 C</t>
  </si>
  <si>
    <t>Всасыввающая силикон. балка</t>
  </si>
  <si>
    <t>Всасывающая балка маслостойкая BR 40/10</t>
  </si>
  <si>
    <t>Ведущий вал BR</t>
  </si>
  <si>
    <t>Уплотнительное кольцо</t>
  </si>
  <si>
    <t>Уплотнительное кольцо сетчатого фильтра</t>
  </si>
  <si>
    <t>Зубчатый ремень HTD-570-3M-15 CXPIII</t>
  </si>
  <si>
    <t>Уплотнительный профиль</t>
  </si>
  <si>
    <t>Уплотняющий профиль</t>
  </si>
  <si>
    <t>Колесо D50</t>
  </si>
  <si>
    <t>Набор угольных щеток</t>
  </si>
  <si>
    <t>Угольная щетка для тягового двигателя</t>
  </si>
  <si>
    <t>Фильтровальная сетка</t>
  </si>
  <si>
    <t>030738</t>
  </si>
  <si>
    <t>030773</t>
  </si>
  <si>
    <t>030774</t>
  </si>
  <si>
    <t>030758</t>
  </si>
  <si>
    <t>030748</t>
  </si>
  <si>
    <t>030777</t>
  </si>
  <si>
    <t>030771</t>
  </si>
  <si>
    <t>030803</t>
  </si>
  <si>
    <t>030761</t>
  </si>
  <si>
    <t>030747</t>
  </si>
  <si>
    <t>030736</t>
  </si>
  <si>
    <t>030775</t>
  </si>
  <si>
    <t>030732</t>
  </si>
  <si>
    <t>030772</t>
  </si>
  <si>
    <t>030784</t>
  </si>
  <si>
    <t>030805</t>
  </si>
  <si>
    <t>030786</t>
  </si>
  <si>
    <t>030776</t>
  </si>
  <si>
    <t>030749</t>
  </si>
  <si>
    <t>030733</t>
  </si>
  <si>
    <t>030701</t>
  </si>
  <si>
    <t>030780</t>
  </si>
  <si>
    <t>4.2.4.</t>
  </si>
  <si>
    <t>Привод верхней части насадки</t>
  </si>
  <si>
    <t>Колесо д/всасывающ.балки</t>
  </si>
  <si>
    <t>Шланговая муфта в сборе - только на заме</t>
  </si>
  <si>
    <t>Комплект роликов  K55</t>
  </si>
  <si>
    <t>Защелкивающийся крючок</t>
  </si>
  <si>
    <t>Шаровый кран</t>
  </si>
  <si>
    <t>Соединительное кольцо всасывающей балки</t>
  </si>
  <si>
    <t>Ось трансмиссии</t>
  </si>
  <si>
    <t>Приводной вал</t>
  </si>
  <si>
    <t>Шайба</t>
  </si>
  <si>
    <t>Ручка регулятора</t>
  </si>
  <si>
    <t>Винтовая пружина</t>
  </si>
  <si>
    <t>Пластинчатая пружина</t>
  </si>
  <si>
    <t>Погружной фильтр</t>
  </si>
  <si>
    <t>Резиновый буфер 2xM6</t>
  </si>
  <si>
    <t>Стопорная шайба 8</t>
  </si>
  <si>
    <t>Стопорная шайба</t>
  </si>
  <si>
    <t>Уплотнительное кольцо NILOS</t>
  </si>
  <si>
    <t>Шаровой кран</t>
  </si>
  <si>
    <t>Ремень всасывающей балки</t>
  </si>
  <si>
    <t>030778</t>
  </si>
  <si>
    <t>030768</t>
  </si>
  <si>
    <t>030715</t>
  </si>
  <si>
    <t>030708</t>
  </si>
  <si>
    <t>030745</t>
  </si>
  <si>
    <t>030796</t>
  </si>
  <si>
    <t>030754</t>
  </si>
  <si>
    <t>030794</t>
  </si>
  <si>
    <t>030737</t>
  </si>
  <si>
    <t>030712</t>
  </si>
  <si>
    <t>030721</t>
  </si>
  <si>
    <t>030731</t>
  </si>
  <si>
    <t>030743</t>
  </si>
  <si>
    <t>030764</t>
  </si>
  <si>
    <t>030714</t>
  </si>
  <si>
    <t>030729</t>
  </si>
  <si>
    <t>030766</t>
  </si>
  <si>
    <t>030734</t>
  </si>
  <si>
    <t>030726</t>
  </si>
  <si>
    <t>030740</t>
  </si>
  <si>
    <t>4.2.5.</t>
  </si>
  <si>
    <t>Подшипник скольжения с сальником</t>
  </si>
  <si>
    <t>Шнур штанга с присосами</t>
  </si>
  <si>
    <t>Салазки</t>
  </si>
  <si>
    <t>Промежуточное кольцо</t>
  </si>
  <si>
    <t>Барашковый винт M8x30 VA</t>
  </si>
  <si>
    <t>Ролик</t>
  </si>
  <si>
    <t>Быстродействующий крепежный элемент</t>
  </si>
  <si>
    <t>Хомут для шланга с вкладышем 13,3</t>
  </si>
  <si>
    <t>Кольцо Nilos D 28</t>
  </si>
  <si>
    <t>Замок-выключатель</t>
  </si>
  <si>
    <t>Комплект отбойного ролика</t>
  </si>
  <si>
    <t>Призматическая шпонка 6x6x28-C45K DIN 68</t>
  </si>
  <si>
    <t>Стопорное кольцо 12x1-Rf-St  DIN 471</t>
  </si>
  <si>
    <t>Стопорное кольцо 15x1-FST-PHR  DIN 471</t>
  </si>
  <si>
    <t>Стопорное кольцо 15x1-FST-RF  DIN 471</t>
  </si>
  <si>
    <t>Стопорная шайба 10-FST-A2E  DIN 6799</t>
  </si>
  <si>
    <t>Стопорное кольцо 8x0,8 -Rf-St  DIN 471</t>
  </si>
  <si>
    <t>Стопорная шайба 7-A2 DIN 6799</t>
  </si>
  <si>
    <t>Стопорная шайба 8-St-ph DIN 6799</t>
  </si>
  <si>
    <t>Уплотнение под крышку слива</t>
  </si>
  <si>
    <t>Поплавок</t>
  </si>
  <si>
    <t>030762</t>
  </si>
  <si>
    <t>030750</t>
  </si>
  <si>
    <t>030783</t>
  </si>
  <si>
    <t>030757</t>
  </si>
  <si>
    <t>030804</t>
  </si>
  <si>
    <t>030752</t>
  </si>
  <si>
    <t>030711</t>
  </si>
  <si>
    <t>030709</t>
  </si>
  <si>
    <t>030760</t>
  </si>
  <si>
    <t>030724</t>
  </si>
  <si>
    <t>030728</t>
  </si>
  <si>
    <t>030723</t>
  </si>
  <si>
    <t>030746</t>
  </si>
  <si>
    <t>030719</t>
  </si>
  <si>
    <t>030717</t>
  </si>
  <si>
    <t>030718</t>
  </si>
  <si>
    <t>030720</t>
  </si>
  <si>
    <t>030710</t>
  </si>
  <si>
    <t>030722</t>
  </si>
  <si>
    <t>030799</t>
  </si>
  <si>
    <t>030795</t>
  </si>
  <si>
    <t>4.2.6.</t>
  </si>
  <si>
    <t>Валик щетки в сборе BR 55/40</t>
  </si>
  <si>
    <t>Щёточный валик в сборе красный</t>
  </si>
  <si>
    <t>Дисковая щетка в сборе 45</t>
  </si>
  <si>
    <t>Вращающаяся щётка красная BR 90</t>
  </si>
  <si>
    <t>Дисковая щетка в сборе красная D51 Karcher</t>
  </si>
  <si>
    <t>Цилиндрическая щетка в сборе красная BR</t>
  </si>
  <si>
    <t>Роликовая щётка красная</t>
  </si>
  <si>
    <t>030792</t>
  </si>
  <si>
    <t>030793</t>
  </si>
  <si>
    <t>030781</t>
  </si>
  <si>
    <t>030782</t>
  </si>
  <si>
    <t>030787</t>
  </si>
  <si>
    <t>030801</t>
  </si>
  <si>
    <t>030802</t>
  </si>
  <si>
    <t>4.1.0.</t>
  </si>
  <si>
    <t>Всасывающая турбина</t>
  </si>
  <si>
    <t>Ремкомплект опорного ролика В40</t>
  </si>
  <si>
    <t>Всасывающая турбина, 36V, 760W</t>
  </si>
  <si>
    <t>Всасывающая турбина 24V, 500W</t>
  </si>
  <si>
    <t>Мотор подъёма</t>
  </si>
  <si>
    <t>Всасывающая турбина для замены</t>
  </si>
  <si>
    <t>Щетка дисковая в сборе красная BD75</t>
  </si>
  <si>
    <t>Магнитный клапан 24V</t>
  </si>
  <si>
    <t>Магнитный клапан 24 V</t>
  </si>
  <si>
    <t>Двигатель BR 35/12</t>
  </si>
  <si>
    <t>Силовое реле</t>
  </si>
  <si>
    <t>Переключатель 24V</t>
  </si>
  <si>
    <t>030785</t>
  </si>
  <si>
    <t>030727</t>
  </si>
  <si>
    <t>030741</t>
  </si>
  <si>
    <t>030742</t>
  </si>
  <si>
    <t>030702</t>
  </si>
  <si>
    <t>030790</t>
  </si>
  <si>
    <t>030520</t>
  </si>
  <si>
    <t>030767</t>
  </si>
  <si>
    <t>030779</t>
  </si>
  <si>
    <t>030769</t>
  </si>
  <si>
    <t>030725</t>
  </si>
  <si>
    <t>030755</t>
  </si>
  <si>
    <t>4.2.0.</t>
  </si>
  <si>
    <t>Наменование</t>
  </si>
  <si>
    <t>Артикул или код</t>
  </si>
  <si>
    <t>Кол-во</t>
  </si>
  <si>
    <r>
      <t>Товар согласно перечню получил.     ___________________</t>
    </r>
    <r>
      <rPr>
        <u/>
        <sz val="11"/>
        <color theme="1"/>
        <rFont val="Calibri"/>
        <family val="2"/>
        <charset val="204"/>
        <scheme val="minor"/>
      </rPr>
      <t>/____________________________/</t>
    </r>
  </si>
  <si>
    <t>2.8.0.</t>
  </si>
  <si>
    <t>005134</t>
  </si>
  <si>
    <t>005036</t>
  </si>
  <si>
    <t>005855</t>
  </si>
  <si>
    <t>005131</t>
  </si>
  <si>
    <t>005011</t>
  </si>
  <si>
    <t>005026</t>
  </si>
  <si>
    <t>005178</t>
  </si>
  <si>
    <t>005023</t>
  </si>
  <si>
    <t>2.7.0.</t>
  </si>
  <si>
    <t>005148</t>
  </si>
  <si>
    <t>005162</t>
  </si>
  <si>
    <t>005798</t>
  </si>
  <si>
    <t>005705</t>
  </si>
  <si>
    <t>2.6.0.</t>
  </si>
  <si>
    <t>006487</t>
  </si>
  <si>
    <t>005037</t>
  </si>
  <si>
    <t>2.6.1.</t>
  </si>
  <si>
    <t>006157</t>
  </si>
  <si>
    <t>005156</t>
  </si>
  <si>
    <t>005245</t>
  </si>
  <si>
    <t>006277</t>
  </si>
  <si>
    <t>005067</t>
  </si>
  <si>
    <t>005157</t>
  </si>
  <si>
    <t>005094</t>
  </si>
  <si>
    <t>006265</t>
  </si>
  <si>
    <t>005018</t>
  </si>
  <si>
    <t>006149</t>
  </si>
  <si>
    <t>005824</t>
  </si>
  <si>
    <t>005348</t>
  </si>
  <si>
    <t>006384</t>
  </si>
  <si>
    <t>006151</t>
  </si>
  <si>
    <t>006078</t>
  </si>
  <si>
    <t>006107</t>
  </si>
  <si>
    <t>006203</t>
  </si>
  <si>
    <t>005353</t>
  </si>
  <si>
    <t>005355</t>
  </si>
  <si>
    <t>005357</t>
  </si>
  <si>
    <t>2.6.2.</t>
  </si>
  <si>
    <t>005031</t>
  </si>
  <si>
    <t>005169</t>
  </si>
  <si>
    <t>005491</t>
  </si>
  <si>
    <t>005030</t>
  </si>
  <si>
    <t>005042</t>
  </si>
  <si>
    <t>005153</t>
  </si>
  <si>
    <t>005083</t>
  </si>
  <si>
    <t>005124</t>
  </si>
  <si>
    <t>005740</t>
  </si>
  <si>
    <t>005845</t>
  </si>
  <si>
    <t>005231</t>
  </si>
  <si>
    <t>005114</t>
  </si>
  <si>
    <t>005025</t>
  </si>
  <si>
    <t>005727</t>
  </si>
  <si>
    <t>005050</t>
  </si>
  <si>
    <t>005316</t>
  </si>
  <si>
    <t>005317</t>
  </si>
  <si>
    <t>006088</t>
  </si>
  <si>
    <t>2.5.0.</t>
  </si>
  <si>
    <t>005175</t>
  </si>
  <si>
    <t>005119</t>
  </si>
  <si>
    <t>005305</t>
  </si>
  <si>
    <t>005535</t>
  </si>
  <si>
    <t>005060</t>
  </si>
  <si>
    <t>005837</t>
  </si>
  <si>
    <t>005879</t>
  </si>
  <si>
    <t>005126</t>
  </si>
  <si>
    <t>005085</t>
  </si>
  <si>
    <t>005000</t>
  </si>
  <si>
    <t>005176</t>
  </si>
  <si>
    <t>005032</t>
  </si>
  <si>
    <t>005081</t>
  </si>
  <si>
    <t>005154</t>
  </si>
  <si>
    <t>005155</t>
  </si>
  <si>
    <t>005240</t>
  </si>
  <si>
    <t>005006</t>
  </si>
  <si>
    <t>005237</t>
  </si>
  <si>
    <t>005063</t>
  </si>
  <si>
    <t>005053</t>
  </si>
  <si>
    <t>005072</t>
  </si>
  <si>
    <t>005223</t>
  </si>
  <si>
    <t>005663</t>
  </si>
  <si>
    <t>005506</t>
  </si>
  <si>
    <t>005048</t>
  </si>
  <si>
    <t>005750</t>
  </si>
  <si>
    <t>005744</t>
  </si>
  <si>
    <t>005047</t>
  </si>
  <si>
    <t>006442</t>
  </si>
  <si>
    <t>005105</t>
  </si>
  <si>
    <t>006402</t>
  </si>
  <si>
    <t>005508</t>
  </si>
  <si>
    <t>005140</t>
  </si>
  <si>
    <t>005345</t>
  </si>
  <si>
    <t>005046</t>
  </si>
  <si>
    <t>005177</t>
  </si>
  <si>
    <t>005194</t>
  </si>
  <si>
    <t>005196</t>
  </si>
  <si>
    <t>006257</t>
  </si>
  <si>
    <t>005174</t>
  </si>
  <si>
    <t>005785</t>
  </si>
  <si>
    <t>005168</t>
  </si>
  <si>
    <t>005170</t>
  </si>
  <si>
    <t>005713</t>
  </si>
  <si>
    <t>005172</t>
  </si>
  <si>
    <t>005150</t>
  </si>
  <si>
    <t>005343</t>
  </si>
  <si>
    <t>005344</t>
  </si>
  <si>
    <t>006455</t>
  </si>
  <si>
    <t>030144</t>
  </si>
  <si>
    <t>005611</t>
  </si>
  <si>
    <t>005335</t>
  </si>
  <si>
    <t>005688</t>
  </si>
  <si>
    <t>005767</t>
  </si>
  <si>
    <t>005224</t>
  </si>
  <si>
    <t>005090</t>
  </si>
  <si>
    <t>005184</t>
  </si>
  <si>
    <t>005220</t>
  </si>
  <si>
    <t>005983</t>
  </si>
  <si>
    <t>005519</t>
  </si>
  <si>
    <t>005716</t>
  </si>
  <si>
    <t>006141</t>
  </si>
  <si>
    <t>005091</t>
  </si>
  <si>
    <t>005893</t>
  </si>
  <si>
    <t>005496</t>
  </si>
  <si>
    <t>005193</t>
  </si>
  <si>
    <t>005086</t>
  </si>
  <si>
    <t>005129</t>
  </si>
  <si>
    <t>005191</t>
  </si>
  <si>
    <t>005218</t>
  </si>
  <si>
    <t>Выключатель в сборе</t>
  </si>
  <si>
    <t>Головка блока цилиндров</t>
  </si>
  <si>
    <t>Переключатель</t>
  </si>
  <si>
    <t>Выключатель комплектный</t>
  </si>
  <si>
    <t>Клапаны (3 шт.)</t>
  </si>
  <si>
    <t>Корпус</t>
  </si>
  <si>
    <t>Манометр только на замену 0-25MPa</t>
  </si>
  <si>
    <t>Комплект уплотнителей воздуховода</t>
  </si>
  <si>
    <t>Двигатель в сборе K5</t>
  </si>
  <si>
    <t>Головка блока цилиндров на замену (70)</t>
  </si>
  <si>
    <t>Изоляционный набор крышка</t>
  </si>
  <si>
    <t>Комплект клапанов (3 штуки)</t>
  </si>
  <si>
    <t>КЗЧ включающего вала</t>
  </si>
  <si>
    <t>Держатель всасывающей планки</t>
  </si>
  <si>
    <t>Пусковой клапан</t>
  </si>
  <si>
    <t>Перепускной узел в сборе</t>
  </si>
  <si>
    <t>Держатель</t>
  </si>
  <si>
    <t>Опора</t>
  </si>
  <si>
    <t>Крышка серая</t>
  </si>
  <si>
    <t>Болт с резьбой</t>
  </si>
  <si>
    <t>Болт с проушиной LB-5.6 M10x70</t>
  </si>
  <si>
    <t>Топливный фильтр</t>
  </si>
  <si>
    <t>Защитный выключатель E-T-A 1659 (20A)</t>
  </si>
  <si>
    <t>Винт с 6-гранной головкой M10х35-8.8-A3E</t>
  </si>
  <si>
    <t>Винт M6x70 -8.8-R3R (In6Rd)</t>
  </si>
  <si>
    <t>Перемычка PS</t>
  </si>
  <si>
    <t>Ручной переключатель</t>
  </si>
  <si>
    <t>Вилка ЕВРО</t>
  </si>
  <si>
    <t>Комплект запчастей</t>
  </si>
  <si>
    <t>Распределительный поршень в сборе</t>
  </si>
  <si>
    <t>Всасывающий клапан в сборе</t>
  </si>
  <si>
    <t>Сопловая насадка</t>
  </si>
  <si>
    <t>Пружина сжатия</t>
  </si>
  <si>
    <t>Кольцо круглого сечения 12,42 в сборе</t>
  </si>
  <si>
    <t>Кольцо 146x5 мм</t>
  </si>
  <si>
    <t>Уплотнительное кольцо D130x5</t>
  </si>
  <si>
    <t>Пружина</t>
  </si>
  <si>
    <t>Набор уплотнителей</t>
  </si>
  <si>
    <t>Комплект прокладок низкого давления</t>
  </si>
  <si>
    <t>Уплотнение D 18</t>
  </si>
  <si>
    <t>Набор запасных частей уплотнения</t>
  </si>
  <si>
    <t>КЗЧ для распределительного змеевика</t>
  </si>
  <si>
    <t>Комплект запасных частей</t>
  </si>
  <si>
    <t>Соединительный элемент</t>
  </si>
  <si>
    <t>Пробка</t>
  </si>
  <si>
    <t>Заглушка клапана в сборе</t>
  </si>
  <si>
    <t>Кольцо с проточкой для замены комплект</t>
  </si>
  <si>
    <t>Седло клапана в сборе HD7/18</t>
  </si>
  <si>
    <t>Кнопка модуля в сборе</t>
  </si>
  <si>
    <t>Уплотнительное кольцо для замены</t>
  </si>
  <si>
    <t>Шток регулировочного клапана</t>
  </si>
  <si>
    <t>Поршень в сборе</t>
  </si>
  <si>
    <t>Клапан в сборе</t>
  </si>
  <si>
    <t>Перепускной клапан</t>
  </si>
  <si>
    <t>Термостат</t>
  </si>
  <si>
    <t>Заглушка в сборе</t>
  </si>
  <si>
    <t>Ось клапана в сборе</t>
  </si>
  <si>
    <t>Сопловая насадка - только на замену</t>
  </si>
  <si>
    <t>Пластина</t>
  </si>
  <si>
    <t>Бугель кабеля</t>
  </si>
  <si>
    <t>Опорное кольцо</t>
  </si>
  <si>
    <t>Крюк</t>
  </si>
  <si>
    <t>Ручка</t>
  </si>
  <si>
    <t>Скоба</t>
  </si>
  <si>
    <t>Штанга</t>
  </si>
  <si>
    <t>Шайба  K 520 M</t>
  </si>
  <si>
    <t>Поддерживающий диск</t>
  </si>
  <si>
    <t>Диск направляющей поршня</t>
  </si>
  <si>
    <t>Втулка направляющей поршня</t>
  </si>
  <si>
    <t>Фасонный винт</t>
  </si>
  <si>
    <t>Штифт</t>
  </si>
  <si>
    <t>Зажим</t>
  </si>
  <si>
    <t>Прокладка</t>
  </si>
  <si>
    <t>Ниппель</t>
  </si>
  <si>
    <t>Резьбовая пробка</t>
  </si>
  <si>
    <t>Муфта топливного насоса</t>
  </si>
  <si>
    <t>Седло клапана HDS 800E</t>
  </si>
  <si>
    <t>Седло клапана</t>
  </si>
  <si>
    <t>006454</t>
  </si>
  <si>
    <t>005087</t>
  </si>
  <si>
    <t>006225</t>
  </si>
  <si>
    <t>005521</t>
  </si>
  <si>
    <t>005897</t>
  </si>
  <si>
    <t>006087</t>
  </si>
  <si>
    <t>005008</t>
  </si>
  <si>
    <t>005937</t>
  </si>
  <si>
    <t>005122</t>
  </si>
  <si>
    <t>005216</t>
  </si>
  <si>
    <t>005631</t>
  </si>
  <si>
    <t>005116</t>
  </si>
  <si>
    <t>005944</t>
  </si>
  <si>
    <t>005850</t>
  </si>
  <si>
    <t>006392</t>
  </si>
  <si>
    <t>006443</t>
  </si>
  <si>
    <t>005052</t>
  </si>
  <si>
    <t>005137</t>
  </si>
  <si>
    <t>005238</t>
  </si>
  <si>
    <t>005209</t>
  </si>
  <si>
    <t>005138</t>
  </si>
  <si>
    <t>006311</t>
  </si>
  <si>
    <t>030209</t>
  </si>
  <si>
    <t>005043</t>
  </si>
  <si>
    <t>005623</t>
  </si>
  <si>
    <t>006095</t>
  </si>
  <si>
    <t>005243</t>
  </si>
  <si>
    <t>030142</t>
  </si>
  <si>
    <t>005115</t>
  </si>
  <si>
    <t>005117</t>
  </si>
  <si>
    <t>005626</t>
  </si>
  <si>
    <t>006470</t>
  </si>
  <si>
    <t>005494</t>
  </si>
  <si>
    <t>005861</t>
  </si>
  <si>
    <t>005206</t>
  </si>
  <si>
    <t>005084</t>
  </si>
  <si>
    <t>005044</t>
  </si>
  <si>
    <t>005949</t>
  </si>
  <si>
    <t>006374</t>
  </si>
  <si>
    <t>005700</t>
  </si>
  <si>
    <t>005100</t>
  </si>
  <si>
    <t>005954</t>
  </si>
  <si>
    <t>005210</t>
  </si>
  <si>
    <t>005125</t>
  </si>
  <si>
    <t>005241</t>
  </si>
  <si>
    <t>005326</t>
  </si>
  <si>
    <t>005213</t>
  </si>
  <si>
    <t>005249</t>
  </si>
  <si>
    <t>006079</t>
  </si>
  <si>
    <t>005207</t>
  </si>
  <si>
    <t>005093</t>
  </si>
  <si>
    <t>006369</t>
  </si>
  <si>
    <t>Тарелка клапана</t>
  </si>
  <si>
    <t>Ось клапана</t>
  </si>
  <si>
    <t>Винт с цилиндрической головкой M6х19</t>
  </si>
  <si>
    <t>Винт с полупотайной головкой M6x18-4.8-R</t>
  </si>
  <si>
    <t>Вставная гайка</t>
  </si>
  <si>
    <t>Распорное монтажное кольцо 15х6</t>
  </si>
  <si>
    <t>Крепежная скоба</t>
  </si>
  <si>
    <t>Кольцо круглого сечения 36,0 х 2,0</t>
  </si>
  <si>
    <t>Кольцо круглого сечения 6,0 х 2,0</t>
  </si>
  <si>
    <t>Кольцо круглого сечения диам. 10 x 2 NBR</t>
  </si>
  <si>
    <t>Кольцо круглого сечения 5,28 x 1,78</t>
  </si>
  <si>
    <t>Сальник</t>
  </si>
  <si>
    <t>Кольцо круглого сечения 16,0 х 2,0</t>
  </si>
  <si>
    <t>Кольцо круглого сечения 7,65X1,78</t>
  </si>
  <si>
    <t>Кольцо круглого сечения в сборе 1ST.-R.</t>
  </si>
  <si>
    <t>Кольцо круглого сечения 24,0 х 1,5</t>
  </si>
  <si>
    <t>Кольцо круглого сечения 13,0 х 2,0</t>
  </si>
  <si>
    <t>Кольцо круглого сечения 33,05 х 1,78</t>
  </si>
  <si>
    <t>Кольцо круглого сечения 9,0 х 1,5</t>
  </si>
  <si>
    <t>Кольцо круглого сечения 5 х 1,5</t>
  </si>
  <si>
    <t>Кольцо круглого сечения 27,5 х 1,5</t>
  </si>
  <si>
    <t>Кольцо круглого сечения 11,0 х 1,3</t>
  </si>
  <si>
    <t>Кольцо круглого сечения в сборе / 2ST.-R</t>
  </si>
  <si>
    <t>Кольцо круглого сечения в сборе / 1ST.-R</t>
  </si>
  <si>
    <t>Кольцо круглого сечения 21,95 х 1,78</t>
  </si>
  <si>
    <t>Кольцо круглого сечения 8,0 х 1,5</t>
  </si>
  <si>
    <t>Кольцо круглого сечения 14,0 х 2,0-NBR 8</t>
  </si>
  <si>
    <t>Кольцо круглого сечения 10 x 1,5-NBR 70</t>
  </si>
  <si>
    <t>Кольцо круглого сечения 80 х 3</t>
  </si>
  <si>
    <t>Кольцо круглого сечения 29,1 х 2,55</t>
  </si>
  <si>
    <t>Кольцо круглого сечения 20,0 х 1,5</t>
  </si>
  <si>
    <t>Кольцо круглого сечения 14,0 х 1,5</t>
  </si>
  <si>
    <t>Кольцо круглого сечения 17,0 х 1,5</t>
  </si>
  <si>
    <t>Кольцо круглого сечения 17,5 х 2,0</t>
  </si>
  <si>
    <t>Кольцо круглого сечения 20,0 х 1,3</t>
  </si>
  <si>
    <t>Кольцо круглого сечения 3,69 в сборе</t>
  </si>
  <si>
    <t>Кольцо круглого сечения 4 x 2 -NBR90</t>
  </si>
  <si>
    <t>Кольцо круглого сечения 2,9 в сборе</t>
  </si>
  <si>
    <t>Кольцо круглого сечения 6,0 х 1,5</t>
  </si>
  <si>
    <t>Кольцо круглого сечения 7 х 1,5</t>
  </si>
  <si>
    <t>Кольцо с проточкой диам. 12 x 20 x 5</t>
  </si>
  <si>
    <t>Уплотнительное кольцо 65,0 X 2,5</t>
  </si>
  <si>
    <t>Кольцо круглого сечения 8,73 х 1,78</t>
  </si>
  <si>
    <t>Кольцо круглого сечения 9 х 2</t>
  </si>
  <si>
    <t>Кольцо круглого сечения в сборе</t>
  </si>
  <si>
    <t>Кольцо круглого сечения 22,3 х 2,4</t>
  </si>
  <si>
    <t>Уплотнительное кольцо 1 шт. 4,47X 1,78</t>
  </si>
  <si>
    <t>Кольцо кругл. сечения 13 x 3 -NBR</t>
  </si>
  <si>
    <t>Кольцо круглого сечения 12,42 х 1,78</t>
  </si>
  <si>
    <t>Кольцо круглого сечения 12,42 x 1,78</t>
  </si>
  <si>
    <t>Кольцевое уплотнение 60x2,5 -NBR 80</t>
  </si>
  <si>
    <t>Комплект уплотнителей</t>
  </si>
  <si>
    <t>Крышка ограничителя перенапряжения</t>
  </si>
  <si>
    <t>005505</t>
  </si>
  <si>
    <t>005330</t>
  </si>
  <si>
    <t>005301</t>
  </si>
  <si>
    <t>006063</t>
  </si>
  <si>
    <t>005308</t>
  </si>
  <si>
    <t>005325</t>
  </si>
  <si>
    <t>005674</t>
  </si>
  <si>
    <t>030050</t>
  </si>
  <si>
    <t>006210</t>
  </si>
  <si>
    <t>005198</t>
  </si>
  <si>
    <t>005197</t>
  </si>
  <si>
    <t>030081</t>
  </si>
  <si>
    <t>005112</t>
  </si>
  <si>
    <t>005645</t>
  </si>
  <si>
    <t>005049</t>
  </si>
  <si>
    <t>005190</t>
  </si>
  <si>
    <t>005017</t>
  </si>
  <si>
    <t>005041</t>
  </si>
  <si>
    <t>005009</t>
  </si>
  <si>
    <t>005128</t>
  </si>
  <si>
    <t>005145</t>
  </si>
  <si>
    <t>005179</t>
  </si>
  <si>
    <t>005111</t>
  </si>
  <si>
    <t>005139</t>
  </si>
  <si>
    <t>005152</t>
  </si>
  <si>
    <t>005020</t>
  </si>
  <si>
    <t>005021</t>
  </si>
  <si>
    <t>005113</t>
  </si>
  <si>
    <t>005910</t>
  </si>
  <si>
    <t>005141</t>
  </si>
  <si>
    <t>005143</t>
  </si>
  <si>
    <t>005838</t>
  </si>
  <si>
    <t>005311</t>
  </si>
  <si>
    <t>005181</t>
  </si>
  <si>
    <t>005208</t>
  </si>
  <si>
    <t>005775</t>
  </si>
  <si>
    <t>005324</t>
  </si>
  <si>
    <t>005318</t>
  </si>
  <si>
    <t>005188</t>
  </si>
  <si>
    <t>005928</t>
  </si>
  <si>
    <t>005907</t>
  </si>
  <si>
    <t>005144</t>
  </si>
  <si>
    <t>005996</t>
  </si>
  <si>
    <t>005227</t>
  </si>
  <si>
    <t>005180</t>
  </si>
  <si>
    <t>005002</t>
  </si>
  <si>
    <t>005019</t>
  </si>
  <si>
    <t>005182</t>
  </si>
  <si>
    <t>006484</t>
  </si>
  <si>
    <t>005342</t>
  </si>
  <si>
    <t>005071</t>
  </si>
  <si>
    <t>005639</t>
  </si>
  <si>
    <t>005185</t>
  </si>
  <si>
    <t>006161</t>
  </si>
  <si>
    <t>006158</t>
  </si>
  <si>
    <t>006153</t>
  </si>
  <si>
    <t>005619</t>
  </si>
  <si>
    <t>006368</t>
  </si>
  <si>
    <t>005693</t>
  </si>
  <si>
    <t>005226</t>
  </si>
  <si>
    <t>005118</t>
  </si>
  <si>
    <t>005214</t>
  </si>
  <si>
    <t>005219</t>
  </si>
  <si>
    <t>005101</t>
  </si>
  <si>
    <t>005806</t>
  </si>
  <si>
    <t>005103</t>
  </si>
  <si>
    <t>005746</t>
  </si>
  <si>
    <t>005352</t>
  </si>
  <si>
    <t>005203</t>
  </si>
  <si>
    <t>005108</t>
  </si>
  <si>
    <t>006294</t>
  </si>
  <si>
    <t>005133</t>
  </si>
  <si>
    <t>006011</t>
  </si>
  <si>
    <t>005319</t>
  </si>
  <si>
    <t>005331</t>
  </si>
  <si>
    <t>005779</t>
  </si>
  <si>
    <t>006281</t>
  </si>
  <si>
    <t>005724</t>
  </si>
  <si>
    <t>006477</t>
  </si>
  <si>
    <t>005158</t>
  </si>
  <si>
    <t>005106</t>
  </si>
  <si>
    <t>005097</t>
  </si>
  <si>
    <t>005165</t>
  </si>
  <si>
    <t>005066</t>
  </si>
  <si>
    <t>005015</t>
  </si>
  <si>
    <t>005247</t>
  </si>
  <si>
    <t>005340</t>
  </si>
  <si>
    <t>Уплотнительное кольцо 60,0x2,0 -NBR70</t>
  </si>
  <si>
    <t>Уплотнительное кольцо 72x2mm NBR70</t>
  </si>
  <si>
    <t>Кольцо с канавкой 12x20x4/6</t>
  </si>
  <si>
    <t>Компактное уплотнение 20х30х6</t>
  </si>
  <si>
    <t>Кольцо с проточкой 22х30х5</t>
  </si>
  <si>
    <t>Компактное уплотнение 22х32х6</t>
  </si>
  <si>
    <t>Уплотнительное кольцо 21x1,5</t>
  </si>
  <si>
    <t>Кольцо с проточкой 20х28х6/8</t>
  </si>
  <si>
    <t>Уплотнительное кольцо 5,28 x 1,78</t>
  </si>
  <si>
    <t>Кольцо с проточкой 16х24х7</t>
  </si>
  <si>
    <t>Кольцо с проточкой</t>
  </si>
  <si>
    <t>Компактное уплотнение 18x28x5,8</t>
  </si>
  <si>
    <t>Кольцо с проточкой 18х26х5,4</t>
  </si>
  <si>
    <t>Кольцо с проточкой 18х26х6/8</t>
  </si>
  <si>
    <t>Кольцо с проточкой 14х22х5/7</t>
  </si>
  <si>
    <t>Компактное уплотнение 16x24x4</t>
  </si>
  <si>
    <t>Кольцо с проточкой 20х30х6</t>
  </si>
  <si>
    <t>Кольцо с проточкой 12x20x4/6</t>
  </si>
  <si>
    <t>Кольцо с проточкой 16х24х5,3</t>
  </si>
  <si>
    <t>Кольцо с проточкой 12х20х5/6</t>
  </si>
  <si>
    <t>Кольцо с проточкой 14х22х5,3</t>
  </si>
  <si>
    <t>Компактное уплотнение</t>
  </si>
  <si>
    <t>Кольцо с проточкой 13х20х4/6</t>
  </si>
  <si>
    <t>Кольцо с канавкой</t>
  </si>
  <si>
    <t>Компактное уплотнение D12</t>
  </si>
  <si>
    <t>Накидная гайка A 4-LL</t>
  </si>
  <si>
    <t>Врезное кольцо D4</t>
  </si>
  <si>
    <t>Хомут для шланга</t>
  </si>
  <si>
    <t>Угольные щетки</t>
  </si>
  <si>
    <t>Форсунка 1,35GPH</t>
  </si>
  <si>
    <t>Сопло 60 гр. H</t>
  </si>
  <si>
    <t>Форсунка 1,25GPH 60 гр. S-S</t>
  </si>
  <si>
    <t>Переключатель вкл/выкл PUZZI</t>
  </si>
  <si>
    <t>Кабельный резьбовой ввод</t>
  </si>
  <si>
    <t>Микропереключатель K 7.200</t>
  </si>
  <si>
    <t>Колпачок</t>
  </si>
  <si>
    <t>Винт 4x25 -10.9-R2R (K-In6Rd)</t>
  </si>
  <si>
    <t>Гайка с прямыми рефлениями M10- St-E2E</t>
  </si>
  <si>
    <t>6-гранная гайка M10 -8-A3E ISO 4032</t>
  </si>
  <si>
    <t>6-гранная гайка M10-04-A2E DIN 985</t>
  </si>
  <si>
    <t>Призматическая шпонка 6x6x25-C45K DIN 68</t>
  </si>
  <si>
    <t>Радиальное уплотнение вала A24x37x7-NBR</t>
  </si>
  <si>
    <t>Уплотнение вала 17x35x5</t>
  </si>
  <si>
    <t>Радиальное уплотнение вала A26x37x7-NBR</t>
  </si>
  <si>
    <t>Стопорное кольцо 25x1,2-St-vz  DIN 471</t>
  </si>
  <si>
    <t>Шарик 4,0-G20-WAELZLAGST DIN 5401</t>
  </si>
  <si>
    <t>Шарик 5 G20-1.4034 DIN 5401</t>
  </si>
  <si>
    <t>Шарик 7 G300-1.4301 DIN 5401</t>
  </si>
  <si>
    <t>Шарик 3/8 G80</t>
  </si>
  <si>
    <t>Фасонный элемент в сборе</t>
  </si>
  <si>
    <t>Компактный модуль корпуса передний</t>
  </si>
  <si>
    <t>Комплект клапанов</t>
  </si>
  <si>
    <t>КЗЧ для узла подачи чистящего средства</t>
  </si>
  <si>
    <t>Разделитель</t>
  </si>
  <si>
    <t>Уплотнение 10x2,8</t>
  </si>
  <si>
    <t>Кольцо круглого сечения 62x3 NBR, твердо</t>
  </si>
  <si>
    <t>Кольцо с проточкой 17x35x5</t>
  </si>
  <si>
    <t>Кольцо 15х2</t>
  </si>
  <si>
    <t>Кольцо круглого сечения 18 х 3</t>
  </si>
  <si>
    <t>Фасонное уплотнение</t>
  </si>
  <si>
    <t>Выключатель 16 А 3/4HF</t>
  </si>
  <si>
    <t>Уплотнительное кольцо 28.30 x 1.78</t>
  </si>
  <si>
    <t>Байпасный клапан пластик</t>
  </si>
  <si>
    <t>Кольцо с проточкой 12/17x4,9</t>
  </si>
  <si>
    <t>Уплотнительное кольцо EPDM 22x3</t>
  </si>
  <si>
    <t>Кольцо с проточкой 12x17x4,25/2,5</t>
  </si>
  <si>
    <t>Кольцо круглого сечения 5,7x1,78 NBR 90</t>
  </si>
  <si>
    <t>Кольцо с проточкой 12x18x6/5/1</t>
  </si>
  <si>
    <t>2.3.1.</t>
  </si>
  <si>
    <t>005702</t>
  </si>
  <si>
    <t>005701</t>
  </si>
  <si>
    <t>005130</t>
  </si>
  <si>
    <t>005146</t>
  </si>
  <si>
    <t>005233</t>
  </si>
  <si>
    <t>005323</t>
  </si>
  <si>
    <t>005121</t>
  </si>
  <si>
    <t>005691</t>
  </si>
  <si>
    <t>006129</t>
  </si>
  <si>
    <t>005608</t>
  </si>
  <si>
    <t>006267</t>
  </si>
  <si>
    <t>005232</t>
  </si>
  <si>
    <t>005147</t>
  </si>
  <si>
    <t>005192</t>
  </si>
  <si>
    <t>005166</t>
  </si>
  <si>
    <t>005080</t>
  </si>
  <si>
    <t>005646</t>
  </si>
  <si>
    <t>005033</t>
  </si>
  <si>
    <t>005195</t>
  </si>
  <si>
    <t>2.3.2.</t>
  </si>
  <si>
    <t>2.3.3.</t>
  </si>
  <si>
    <t>005616</t>
  </si>
  <si>
    <t>005171</t>
  </si>
  <si>
    <t>005187</t>
  </si>
  <si>
    <t>005821</t>
  </si>
  <si>
    <t>005351</t>
  </si>
  <si>
    <t>005098</t>
  </si>
  <si>
    <t>Головка цилиндра, аллюминий</t>
  </si>
  <si>
    <t>Шарикоподшипник 6303-St DIN 625</t>
  </si>
  <si>
    <t>Подшипник нижний  К 5   7305  BC</t>
  </si>
  <si>
    <t>Конический роликоподшипник 41</t>
  </si>
  <si>
    <t>Шарикоподшипник 6305-2Z</t>
  </si>
  <si>
    <t>Косая шайба</t>
  </si>
  <si>
    <t>Наклонная шайба</t>
  </si>
  <si>
    <t>Шарикоподшипник 6304</t>
  </si>
  <si>
    <t>Угловой шарикоподшипник</t>
  </si>
  <si>
    <t>Упорное кольцо</t>
  </si>
  <si>
    <t>Конический роликоподшипник</t>
  </si>
  <si>
    <t>Шарикоподшипник</t>
  </si>
  <si>
    <t>Крыльчатка вентилятора</t>
  </si>
  <si>
    <t>Защитная крышка на замену  SC 1402</t>
  </si>
  <si>
    <t>Выключатель в сборе для замены</t>
  </si>
  <si>
    <t>Уплотнение вала</t>
  </si>
  <si>
    <t>КП воспламеняющий электрод</t>
  </si>
  <si>
    <t>Профилированное уплотнение</t>
  </si>
  <si>
    <t>2.4.1.</t>
  </si>
  <si>
    <t>006430</t>
  </si>
  <si>
    <t>005320</t>
  </si>
  <si>
    <t>006421</t>
  </si>
  <si>
    <t>005065</t>
  </si>
  <si>
    <t>006224</t>
  </si>
  <si>
    <t>005336</t>
  </si>
  <si>
    <t>006308</t>
  </si>
  <si>
    <t>005337</t>
  </si>
  <si>
    <t>2.4.2.</t>
  </si>
  <si>
    <t>005040</t>
  </si>
  <si>
    <t>005228</t>
  </si>
  <si>
    <t>005313</t>
  </si>
  <si>
    <t>005310</t>
  </si>
  <si>
    <t>005306</t>
  </si>
  <si>
    <t>005142</t>
  </si>
  <si>
    <t>006296</t>
  </si>
  <si>
    <t>005186</t>
  </si>
  <si>
    <t>2.4.3.</t>
  </si>
  <si>
    <t>005747</t>
  </si>
  <si>
    <t>005303</t>
  </si>
  <si>
    <t>005307</t>
  </si>
  <si>
    <t>005309</t>
  </si>
  <si>
    <t>005253</t>
  </si>
  <si>
    <t>005492</t>
  </si>
  <si>
    <t>005096</t>
  </si>
  <si>
    <t>005339</t>
  </si>
  <si>
    <t>005089</t>
  </si>
  <si>
    <t>005092</t>
  </si>
  <si>
    <t>006100</t>
  </si>
  <si>
    <t>005014</t>
  </si>
  <si>
    <t>005695</t>
  </si>
  <si>
    <t>006490</t>
  </si>
  <si>
    <t>005225</t>
  </si>
  <si>
    <t>2.4.4.</t>
  </si>
  <si>
    <t>005836</t>
  </si>
  <si>
    <t>005068</t>
  </si>
  <si>
    <t>006492</t>
  </si>
  <si>
    <t>005230</t>
  </si>
  <si>
    <t>005212</t>
  </si>
  <si>
    <t>030807</t>
  </si>
  <si>
    <t>005104</t>
  </si>
  <si>
    <t>006418</t>
  </si>
  <si>
    <t>005016</t>
  </si>
  <si>
    <t>030276</t>
  </si>
  <si>
    <t>005061</t>
  </si>
  <si>
    <t>005221</t>
  </si>
  <si>
    <t>005312</t>
  </si>
  <si>
    <t>005160</t>
  </si>
  <si>
    <t>005668</t>
  </si>
  <si>
    <t>005760</t>
  </si>
  <si>
    <t>005709</t>
  </si>
  <si>
    <t>005239</t>
  </si>
  <si>
    <t>005062</t>
  </si>
  <si>
    <t>2.2.1.</t>
  </si>
  <si>
    <t>005328</t>
  </si>
  <si>
    <t>005302</t>
  </si>
  <si>
    <t>005251</t>
  </si>
  <si>
    <t>005024</t>
  </si>
  <si>
    <t>005252</t>
  </si>
  <si>
    <t>2.2.2.</t>
  </si>
  <si>
    <t>005686</t>
  </si>
  <si>
    <t>006184</t>
  </si>
  <si>
    <t>005350</t>
  </si>
  <si>
    <t>006073</t>
  </si>
  <si>
    <t>005927</t>
  </si>
  <si>
    <t>030089</t>
  </si>
  <si>
    <t>006160</t>
  </si>
  <si>
    <t>006405</t>
  </si>
  <si>
    <t>005029</t>
  </si>
  <si>
    <t>006355</t>
  </si>
  <si>
    <t>005726</t>
  </si>
  <si>
    <t>006255</t>
  </si>
  <si>
    <t>005202</t>
  </si>
  <si>
    <t>005204</t>
  </si>
  <si>
    <t>2.2.3.</t>
  </si>
  <si>
    <t>005876</t>
  </si>
  <si>
    <t>030057</t>
  </si>
  <si>
    <t>005005</t>
  </si>
  <si>
    <t>005689</t>
  </si>
  <si>
    <t>005327</t>
  </si>
  <si>
    <t>005332</t>
  </si>
  <si>
    <t>005333</t>
  </si>
  <si>
    <t>005329</t>
  </si>
  <si>
    <t>006489</t>
  </si>
  <si>
    <t>Поршень K7 FC</t>
  </si>
  <si>
    <t>Головка цилиндра</t>
  </si>
  <si>
    <t>Поршневая направляющая насос K5 FC</t>
  </si>
  <si>
    <t>КЗЧ для распределительной головки</t>
  </si>
  <si>
    <t>Труба для притока воды</t>
  </si>
  <si>
    <t>Картер рулевого механизма</t>
  </si>
  <si>
    <t>Всасывающее соединение</t>
  </si>
  <si>
    <t>Комплект головки блока цилиндров</t>
  </si>
  <si>
    <t>КЗЧ для головки блока цилиндров</t>
  </si>
  <si>
    <t>Корпус и контроллер давления WCP</t>
  </si>
  <si>
    <t>КЗЧ к цилиндрической головке WCP</t>
  </si>
  <si>
    <t>Соединитель в сборе</t>
  </si>
  <si>
    <t>Коллектор в сборе</t>
  </si>
  <si>
    <t>Голова насоса</t>
  </si>
  <si>
    <t>Обратный цилиндр</t>
  </si>
  <si>
    <t>Соединение с напорной стороны</t>
  </si>
  <si>
    <t>КЗЧ всасывающей стороны</t>
  </si>
  <si>
    <t>Патрубок подачи воды</t>
  </si>
  <si>
    <t>Конденсатор 25 мФ</t>
  </si>
  <si>
    <t>Конденсатор 40 ЕF с кабелем (K6/7)</t>
  </si>
  <si>
    <t>Конденсатор 25 мФ, L=73</t>
  </si>
  <si>
    <t>Конденсатор 32uF</t>
  </si>
  <si>
    <t>Конденсатор с кабелем 25 ЕF  (K6)</t>
  </si>
  <si>
    <t>Конденсатор 12 мкФ</t>
  </si>
  <si>
    <t>Конденсатор 35MF</t>
  </si>
  <si>
    <t>Конденсатор 40 мкФ</t>
  </si>
  <si>
    <t>КЗЧ для распределительного золотника</t>
  </si>
  <si>
    <t>Запасной комплект ниппелей д/химии(-90А)</t>
  </si>
  <si>
    <t>Распределительный поршень</t>
  </si>
  <si>
    <t>Поршень</t>
  </si>
  <si>
    <t>Манометрический выключатель</t>
  </si>
  <si>
    <t>Переходник D5,9PUR</t>
  </si>
  <si>
    <t>Регулятор давления/расхода жидк.D5,8 PUR</t>
  </si>
  <si>
    <t>Керамическая гильза</t>
  </si>
  <si>
    <t>Муфта HDS 801</t>
  </si>
  <si>
    <t>Переходник</t>
  </si>
  <si>
    <t>Клапан</t>
  </si>
  <si>
    <t>Управляющий корпус</t>
  </si>
  <si>
    <t>Коллектор</t>
  </si>
  <si>
    <t>Компл.переобор. корпуса распредел</t>
  </si>
  <si>
    <t>Головка насоса Alu FC RIC</t>
  </si>
  <si>
    <t>Головка блока цилиндров в сборе</t>
  </si>
  <si>
    <t>Герконовый датчик замены</t>
  </si>
  <si>
    <t>Пружина нажимная</t>
  </si>
  <si>
    <t>Топливная трубка</t>
  </si>
  <si>
    <t>Уплотнительный шнур</t>
  </si>
  <si>
    <t>Приводная штанга</t>
  </si>
  <si>
    <t>Шланг высокого давления</t>
  </si>
  <si>
    <t>Шланг высокого давления DN 13</t>
  </si>
  <si>
    <t>Защитный выключатель (20A)</t>
  </si>
  <si>
    <t>Щетка контактн. давление</t>
  </si>
  <si>
    <t>Уплотнение д/всасыв балки</t>
  </si>
  <si>
    <t>Прокладка шаровой кран D12,5</t>
  </si>
  <si>
    <t>Прокладка шарового крана</t>
  </si>
  <si>
    <t>Прокладка шаровой кран D16,5</t>
  </si>
  <si>
    <t>Зубчатый ремень на замену</t>
  </si>
  <si>
    <t>Выключатель в сборе K7.8X *EU</t>
  </si>
  <si>
    <t>Держатель щеток</t>
  </si>
  <si>
    <t>Крышка подшипника B</t>
  </si>
  <si>
    <t>Кольцо 140X4 мм</t>
  </si>
  <si>
    <t>Уплотнительное кольцо 95x6</t>
  </si>
  <si>
    <t>Кабель со штеккером</t>
  </si>
  <si>
    <t>2.1.1.</t>
  </si>
  <si>
    <t>006030</t>
  </si>
  <si>
    <t>006010</t>
  </si>
  <si>
    <t>2.1.2.</t>
  </si>
  <si>
    <t>005534</t>
  </si>
  <si>
    <t>005527</t>
  </si>
  <si>
    <t>Входной патрубок K5 (разборка: 005527)</t>
  </si>
  <si>
    <t>005530</t>
  </si>
  <si>
    <t>005529</t>
  </si>
  <si>
    <t>Соединительная муфта К3/К4 (разборка: 005529)</t>
  </si>
  <si>
    <t>005515</t>
  </si>
  <si>
    <t>005559</t>
  </si>
  <si>
    <t>2.1.3.</t>
  </si>
  <si>
    <t>006564</t>
  </si>
  <si>
    <t>005541</t>
  </si>
  <si>
    <t>005524</t>
  </si>
  <si>
    <t>005544</t>
  </si>
  <si>
    <t>Микропереключатель (разборка: 005544)</t>
  </si>
  <si>
    <t>2.0.2.</t>
  </si>
  <si>
    <t>005242</t>
  </si>
  <si>
    <t>2.0.1.</t>
  </si>
  <si>
    <t>005569</t>
  </si>
  <si>
    <t>005565</t>
  </si>
  <si>
    <t>005555</t>
  </si>
  <si>
    <t>005580</t>
  </si>
  <si>
    <t>005576</t>
  </si>
  <si>
    <t>005575</t>
  </si>
  <si>
    <t>005577</t>
  </si>
  <si>
    <t>005570</t>
  </si>
  <si>
    <t>005526</t>
  </si>
  <si>
    <t>005556</t>
  </si>
  <si>
    <t>005566</t>
  </si>
  <si>
    <t>005567</t>
  </si>
  <si>
    <t>005568</t>
  </si>
  <si>
    <t>005574</t>
  </si>
  <si>
    <t>005539</t>
  </si>
  <si>
    <t>005234</t>
  </si>
  <si>
    <t>Крышка кожуха мотора в сборе</t>
  </si>
  <si>
    <t>Фильтр с грузом</t>
  </si>
  <si>
    <t>Соединительная деталь</t>
  </si>
  <si>
    <t>Всасывающая трубка</t>
  </si>
  <si>
    <t>Переходник HD</t>
  </si>
  <si>
    <t>Выключатель в сборе UL/CSA + на замену б</t>
  </si>
  <si>
    <t>Поворотная кнопка в компл.</t>
  </si>
  <si>
    <t>Резиновый буфер</t>
  </si>
  <si>
    <t>Всасывающий соединит. шланг компле K5 FC</t>
  </si>
  <si>
    <t>Натяжной стержень хомута</t>
  </si>
  <si>
    <t>Распределительный золотник в сборе</t>
  </si>
  <si>
    <t>Разборка: Пружина выключателя К3/4/5 Karcher</t>
  </si>
  <si>
    <t>Разборка: Флажок переключателя в ассортименте Karcher</t>
  </si>
  <si>
    <t>Разборка: Верхняя часть выключателя К4/5 Karcher</t>
  </si>
  <si>
    <t>Разборка: Нижняя часть выкл под конденсатор Karcher</t>
  </si>
  <si>
    <t>Разборка: Рычаг фиксации главного выключателя К4/5 Karcher</t>
  </si>
  <si>
    <t>Разборка: Нижняя часть электрокоробки К5.20 (138мм) Karcher</t>
  </si>
  <si>
    <t>Разборка: Главный выключатель в сборе К7.20 Karcher</t>
  </si>
  <si>
    <t>Разборка: Нижняя часть выкл без конденсатора Karcher</t>
  </si>
  <si>
    <t>Разборка: Переключатель в ассортименте Karcher</t>
  </si>
  <si>
    <t>Разборка: Конденсатор 0,22мФ К2/3 без предохр Karcher</t>
  </si>
  <si>
    <t>Разборка: Конденсатор 0,47мФ  с предохр Karcher</t>
  </si>
  <si>
    <t>Разборка: Конденсатор 0,22мФ для вакуум турбины Karcher</t>
  </si>
  <si>
    <t>Разборка: Кабель 2 * 1,0мм в сборе Karcher</t>
  </si>
  <si>
    <t>Разборка: Байпас К3/4 Karcher</t>
  </si>
  <si>
    <t>Шток фиксации клапана химии Karcher</t>
  </si>
  <si>
    <t>Разборка: Входной патрубок K5 (новый:005337)</t>
  </si>
  <si>
    <t>Уплотняющее кольцо конд. (разборка: 005555)</t>
  </si>
  <si>
    <t>Разборка: Уплотняющее кольцо конд. (новый: 005779)</t>
  </si>
  <si>
    <t>Разборка: Соед. муфта К3/К4 (новый: 005253)</t>
  </si>
  <si>
    <t>Разборка: Микропереключатель (новый: 005019)</t>
  </si>
  <si>
    <t>Cпецболт</t>
  </si>
  <si>
    <t>005211</t>
  </si>
  <si>
    <t>005173</t>
  </si>
  <si>
    <t>005099</t>
  </si>
  <si>
    <t>005001</t>
  </si>
  <si>
    <t>005183</t>
  </si>
  <si>
    <t>005012</t>
  </si>
  <si>
    <t>005038</t>
  </si>
  <si>
    <t>Набор для переоборудования импеллера</t>
  </si>
  <si>
    <t>Рама схемной платы компл.</t>
  </si>
  <si>
    <t>Монтажная плата</t>
  </si>
  <si>
    <t>Контактор 24V / 50HZ</t>
  </si>
  <si>
    <t>Контактор</t>
  </si>
  <si>
    <t>Уплотнительное кольцо D 15.54x2.62</t>
  </si>
  <si>
    <t>Нажимная пружина</t>
  </si>
  <si>
    <t>Трансформатор выс. напряжения для замены</t>
  </si>
  <si>
    <t>Колесо вентилятора</t>
  </si>
  <si>
    <t>Терморегулятор только д/замены</t>
  </si>
  <si>
    <t>Дисковая щетка D43</t>
  </si>
  <si>
    <t>005074</t>
  </si>
  <si>
    <t>005079</t>
  </si>
  <si>
    <t>Защитный профиль верхней части насадки</t>
  </si>
  <si>
    <t>Нумерация мест.
Например 2.3.1., где первая цифра ("2") - номер стеллажа; вторая ("3") - номер полки; третья ("1") - номер коробки. Если вторая цифра "0" (напр. 2.0.1.), то коробка находится на полу под соответствующим стеллажом. Если третья цифра "0" (напр., 2.3.0), то это значит, что товар лежит просто на полке, не в коробке.</t>
  </si>
  <si>
    <t>Заполнение списка запчастей.
Артикул записывается без точек и дефисов, на конце не забываем добавлять "0". Код 1С записывается в полном формате - 6 цифр с нулями спереди. Название можно скопировать либо из 1С, либо из файла "Приемка товара" (что предпочтительнее). Место указывается в формате "1.1.1.", обязательно точка в конце, иначе все будет плохо. Если при заполнении ячейка "покраснеет", то это значит, что артикул или код 1С были записаны ранее. В этом случае нужно оставить актуальный код и артикул. Если один артикул под двумя кодами, то забиваем оба, но в названии и того и другого указываем код 1С альтернативного места (напр., "Головка блока К5. (разборка: 005569)"), чтобы было видно, что под этим артикулом есть еще другой код 1С.
После внесения новых данных в лист "Запчасти" необходимо сделать сортировку: выделить 4 столбца таблицы, на вкладке "Данные" включить сортировку (НЕ Фильтр!), в появившемся окне нажать на ОК.</t>
  </si>
  <si>
    <t>Полоски ребр.д/V-балки 900мм(полиуретан)</t>
  </si>
  <si>
    <t>Уплотнит.полосы маслостойкие,2 шт.870 мм</t>
  </si>
  <si>
    <t>1.3.0.</t>
  </si>
  <si>
    <t>030028</t>
  </si>
  <si>
    <t>030791</t>
  </si>
  <si>
    <t>030800</t>
  </si>
  <si>
    <t>006103</t>
  </si>
  <si>
    <t>030716</t>
  </si>
  <si>
    <t>005201</t>
  </si>
  <si>
    <t>030809</t>
  </si>
  <si>
    <t>Красная цилиндрическая щетка (прежний цв</t>
  </si>
  <si>
    <t>Щеточный валик красный</t>
  </si>
  <si>
    <t>Манометр 0-30 MPa</t>
  </si>
  <si>
    <t>Угловая втулка G1-2</t>
  </si>
  <si>
    <t>Кольцо с проточкой 22х30х6/8</t>
  </si>
  <si>
    <t>Ремкомплект клапана</t>
  </si>
  <si>
    <t>000666</t>
  </si>
  <si>
    <t>Всасывающий шланг D35 для серий WD и NT Classic</t>
  </si>
  <si>
    <t>3.6.0.</t>
  </si>
  <si>
    <t>005199</t>
  </si>
  <si>
    <t>2.3.4.</t>
  </si>
  <si>
    <t>006486</t>
  </si>
  <si>
    <t>005882</t>
  </si>
  <si>
    <t>000000</t>
  </si>
  <si>
    <t>005064</t>
  </si>
  <si>
    <t>006262</t>
  </si>
  <si>
    <t>005610</t>
  </si>
  <si>
    <t>006059</t>
  </si>
  <si>
    <t>006176</t>
  </si>
  <si>
    <t>Переходник-адаптер в минимойке</t>
  </si>
  <si>
    <t>Соединительная деталь короткая</t>
  </si>
  <si>
    <t>Соединительный элемент в сборе</t>
  </si>
  <si>
    <t>Выпускное отверстие высок.давления</t>
  </si>
  <si>
    <t>КЗЧ для всасывающего патрубка</t>
  </si>
  <si>
    <t>Поршень K7 (c/imballo)</t>
  </si>
  <si>
    <t>Соединительный элемент шланга K7</t>
  </si>
  <si>
    <t>Коллектор только для замены</t>
  </si>
  <si>
    <t>Отвод выс.дав.с фиксатором для замены+OR</t>
  </si>
  <si>
    <t>Вентиль дозирования чистящего средства</t>
  </si>
  <si>
    <t>005217</t>
  </si>
  <si>
    <t>005004</t>
  </si>
  <si>
    <t>Выключатель</t>
  </si>
  <si>
    <t>006185</t>
  </si>
  <si>
    <t>030815</t>
  </si>
  <si>
    <t>030814</t>
  </si>
  <si>
    <t>005151</t>
  </si>
  <si>
    <t>030808</t>
  </si>
  <si>
    <t>Тeрморегулятор только на замену</t>
  </si>
  <si>
    <t>005189</t>
  </si>
  <si>
    <t>005200</t>
  </si>
  <si>
    <t>Конденсатор 20мкФ</t>
  </si>
  <si>
    <t>005229</t>
  </si>
  <si>
    <t>Конденсатор 40мкФ</t>
  </si>
  <si>
    <t>030813</t>
  </si>
  <si>
    <t>030763</t>
  </si>
  <si>
    <t>Ролик D60</t>
  </si>
  <si>
    <t>006372</t>
  </si>
  <si>
    <t>Распределительный щит</t>
  </si>
  <si>
    <t>005572</t>
  </si>
  <si>
    <t>005670</t>
  </si>
  <si>
    <t>Поршень компл.</t>
  </si>
  <si>
    <t>2.1.0.</t>
  </si>
  <si>
    <t>005027</t>
  </si>
  <si>
    <t>Уплотнительное кольцо под форсунку для EasyLock</t>
  </si>
  <si>
    <t>005028</t>
  </si>
  <si>
    <t>Сальник струйной трубки для EasyLock</t>
  </si>
  <si>
    <t>006495</t>
  </si>
  <si>
    <t>Уплотнение В/Д 7</t>
  </si>
  <si>
    <t>005634</t>
  </si>
  <si>
    <t>006483</t>
  </si>
  <si>
    <t>006478</t>
  </si>
  <si>
    <t>005742</t>
  </si>
  <si>
    <t>030231</t>
  </si>
  <si>
    <t>006420</t>
  </si>
  <si>
    <t>Хомут для шланга 8,5-10,0</t>
  </si>
  <si>
    <t>Призматическая шпонка 6x6x32-C45K  DIN 6</t>
  </si>
  <si>
    <t>Направляющая поршня</t>
  </si>
  <si>
    <t>005347</t>
  </si>
  <si>
    <t>005088</t>
  </si>
  <si>
    <t>Топливный насос только д/замены</t>
  </si>
  <si>
    <t>Винт с цилиндрической головкой M12x90</t>
  </si>
  <si>
    <t>006246</t>
  </si>
  <si>
    <t>006164</t>
  </si>
  <si>
    <t>005095</t>
  </si>
  <si>
    <t>Фильтровальная вставка (сетка 100)</t>
  </si>
  <si>
    <t>Сетчатый фильтр</t>
  </si>
  <si>
    <t>Кольцо с проточкой 12x20x4/6 (85 Shore)</t>
  </si>
  <si>
    <t>030521</t>
  </si>
  <si>
    <t>006248</t>
  </si>
  <si>
    <t>Полоса каучук 1180мм</t>
  </si>
  <si>
    <t>Винт M6x35 -8.8-R3R (In6Rd)</t>
  </si>
  <si>
    <t>Шланговый ниппель</t>
  </si>
  <si>
    <t>006055</t>
  </si>
  <si>
    <t>006075</t>
  </si>
  <si>
    <t>005722</t>
  </si>
  <si>
    <t>Крепеж в ассортименте Karcher</t>
  </si>
  <si>
    <t>005545</t>
  </si>
  <si>
    <t>Разборка: Выключатель К3/4/5 Karcher</t>
  </si>
  <si>
    <t>Зарядное устр. 24V 13A +SB50</t>
  </si>
  <si>
    <t>Косая шайба компл. 11А45'</t>
  </si>
  <si>
    <t>Уплотнительное кольцо 20x2 EPDM 70</t>
  </si>
  <si>
    <t>Колесо для замены 200 HUMMER 1 шт</t>
  </si>
  <si>
    <t>Разборка: Верхняя часть электрокоробки К5.20 (138мм) Karcher</t>
  </si>
  <si>
    <t>Шарикоподшипник 6202-2RS (старый: 7.401-128.0)</t>
  </si>
  <si>
    <t>005334</t>
  </si>
  <si>
    <t>Набор запасных частей пробка в сб. 36мм</t>
  </si>
  <si>
    <t>Кольцевое уплотнение 32,5 X 3,5</t>
  </si>
  <si>
    <t>005557</t>
  </si>
  <si>
    <t>005558</t>
  </si>
  <si>
    <t>005560</t>
  </si>
  <si>
    <t>005561</t>
  </si>
  <si>
    <t>005562</t>
  </si>
  <si>
    <t>Колесо только для замены</t>
  </si>
  <si>
    <t>Кольцо крулого сечения 60 x 2 NBR 70</t>
  </si>
  <si>
    <t>Кольцо 6,7 мм</t>
  </si>
  <si>
    <t>Соединительный элемент K5</t>
  </si>
  <si>
    <t>Двигатель для замены  K5 Compact</t>
  </si>
  <si>
    <t>030820</t>
  </si>
  <si>
    <t>030821</t>
  </si>
  <si>
    <t>005563</t>
  </si>
  <si>
    <t>Скоба фитинга</t>
  </si>
  <si>
    <t>005583</t>
  </si>
  <si>
    <t>005582</t>
  </si>
  <si>
    <t>Разборка: Проставка K5 FC Karcher</t>
  </si>
  <si>
    <t>005584</t>
  </si>
  <si>
    <t>005586</t>
  </si>
  <si>
    <t>005551</t>
  </si>
  <si>
    <t>005571</t>
  </si>
  <si>
    <t>006006</t>
  </si>
  <si>
    <t>Винт</t>
  </si>
  <si>
    <t>Поворотная плита</t>
  </si>
  <si>
    <t>Фитинг K5 FC Al</t>
  </si>
  <si>
    <t>Впускной патрубок в сборе FC +Filter</t>
  </si>
  <si>
    <t>Запчасти для подачи химии</t>
  </si>
  <si>
    <t>Пара колес FC 1K D160</t>
  </si>
  <si>
    <t>Кронштейн крепления шланга ВД</t>
  </si>
  <si>
    <t>Цилиндрическая головка в сб. K7</t>
  </si>
  <si>
    <t>Набор з/ч распределительной головки FC</t>
  </si>
  <si>
    <t>030825</t>
  </si>
  <si>
    <t>030822</t>
  </si>
  <si>
    <t>030817</t>
  </si>
  <si>
    <t>006148</t>
  </si>
  <si>
    <t>Сменный фильтрующий элемент</t>
  </si>
  <si>
    <t>Мембрана</t>
  </si>
  <si>
    <t>Насосный комплект</t>
  </si>
  <si>
    <t>Поршень на замену</t>
  </si>
  <si>
    <t>005659</t>
  </si>
  <si>
    <t>005602</t>
  </si>
  <si>
    <t>Гайка М8</t>
  </si>
  <si>
    <t>Поплавковый выключатель</t>
  </si>
  <si>
    <t>005248</t>
  </si>
  <si>
    <t>006069</t>
  </si>
  <si>
    <t>Подвод воды выгнутый</t>
  </si>
  <si>
    <t>005107</t>
  </si>
  <si>
    <t>030819</t>
  </si>
  <si>
    <t>030195</t>
  </si>
  <si>
    <t>005109</t>
  </si>
  <si>
    <t>Уплотнительное кольцо 124x3 EPDM 70</t>
  </si>
  <si>
    <t>005706</t>
  </si>
  <si>
    <t>Вилка переносная 015 3P+PE+N 16A 380B IP44</t>
  </si>
  <si>
    <t>2.6.3.</t>
  </si>
  <si>
    <t>005707</t>
  </si>
  <si>
    <t>Вилка переносная 024 3P+PE 32A 380B IP44</t>
  </si>
  <si>
    <t>005708</t>
  </si>
  <si>
    <t>Вилка переносная 025 3P+PE+N 32A 380B IP44</t>
  </si>
  <si>
    <t>030823</t>
  </si>
  <si>
    <t>006065</t>
  </si>
  <si>
    <t>005497</t>
  </si>
  <si>
    <t>005499</t>
  </si>
  <si>
    <t>030833</t>
  </si>
  <si>
    <t>030832</t>
  </si>
  <si>
    <t>Уплотнительное кольцо 16 x 2 - NBR 80 (9</t>
  </si>
  <si>
    <t>Уплотнительное кольцо 6,02x2,62</t>
  </si>
  <si>
    <t>Резинки mix PU+Linatex 95 см</t>
  </si>
  <si>
    <t>Резинки 118 см полиуретан PU</t>
  </si>
  <si>
    <t>030078</t>
  </si>
  <si>
    <t>030826</t>
  </si>
  <si>
    <t>030828</t>
  </si>
  <si>
    <t>Дата выдачи</t>
  </si>
  <si>
    <t>Количество</t>
  </si>
  <si>
    <t>Комментарии</t>
  </si>
</sst>
</file>

<file path=xl/styles.xml><?xml version="1.0" encoding="utf-8"?>
<styleSheet xmlns="http://schemas.openxmlformats.org/spreadsheetml/2006/main">
  <numFmts count="1">
    <numFmt numFmtId="164" formatCode="#&quot;.&quot;###&quot;-&quot;###&quot;.&quot;#"/>
  </numFmts>
  <fonts count="10">
    <font>
      <sz val="11"/>
      <color theme="1"/>
      <name val="Calibri"/>
      <family val="2"/>
      <charset val="204"/>
      <scheme val="minor"/>
    </font>
    <font>
      <sz val="12"/>
      <name val="Calibri"/>
      <family val="2"/>
      <charset val="204"/>
      <scheme val="minor"/>
    </font>
    <font>
      <sz val="10"/>
      <color theme="1"/>
      <name val="Arial"/>
      <family val="2"/>
      <charset val="204"/>
    </font>
    <font>
      <sz val="12"/>
      <color theme="1"/>
      <name val="Calibri"/>
      <family val="2"/>
      <charset val="204"/>
      <scheme val="minor"/>
    </font>
    <font>
      <b/>
      <sz val="11"/>
      <color theme="1"/>
      <name val="Calibri"/>
      <family val="2"/>
      <charset val="204"/>
      <scheme val="minor"/>
    </font>
    <font>
      <sz val="10"/>
      <color theme="1"/>
      <name val="Calibri"/>
      <family val="2"/>
      <charset val="204"/>
      <scheme val="minor"/>
    </font>
    <font>
      <sz val="10"/>
      <name val="Calibri"/>
      <family val="2"/>
      <charset val="204"/>
      <scheme val="minor"/>
    </font>
    <font>
      <u/>
      <sz val="11"/>
      <color theme="1"/>
      <name val="Calibri"/>
      <family val="2"/>
      <charset val="204"/>
      <scheme val="minor"/>
    </font>
    <font>
      <b/>
      <sz val="22"/>
      <color rgb="FF000000"/>
      <name val="Arial"/>
      <family val="2"/>
      <charset val="204"/>
    </font>
    <font>
      <b/>
      <sz val="11"/>
      <color rgb="FF000000"/>
      <name val="Arial"/>
      <family val="2"/>
      <charset val="204"/>
    </font>
  </fonts>
  <fills count="2">
    <fill>
      <patternFill patternType="none"/>
    </fill>
    <fill>
      <patternFill patternType="gray125"/>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top style="medium">
        <color indexed="64"/>
      </top>
      <bottom style="medium">
        <color indexed="64"/>
      </bottom>
      <diagonal/>
    </border>
    <border>
      <left style="thin">
        <color indexed="64"/>
      </left>
      <right style="thin">
        <color indexed="64"/>
      </right>
      <top/>
      <bottom/>
      <diagonal/>
    </border>
  </borders>
  <cellStyleXfs count="2">
    <xf numFmtId="0" fontId="0" fillId="0" borderId="0"/>
    <xf numFmtId="0" fontId="2" fillId="0" borderId="0"/>
  </cellStyleXfs>
  <cellXfs count="38">
    <xf numFmtId="0" fontId="0" fillId="0" borderId="0" xfId="0"/>
    <xf numFmtId="49" fontId="0" fillId="0" borderId="0" xfId="0" applyNumberFormat="1"/>
    <xf numFmtId="49" fontId="0" fillId="0" borderId="1" xfId="0" applyNumberFormat="1" applyBorder="1" applyAlignment="1">
      <alignment horizontal="right"/>
    </xf>
    <xf numFmtId="49" fontId="0" fillId="0" borderId="2" xfId="0" applyNumberFormat="1" applyBorder="1" applyAlignment="1">
      <alignment horizontal="right"/>
    </xf>
    <xf numFmtId="49" fontId="3" fillId="0" borderId="1" xfId="0" applyNumberFormat="1" applyFont="1" applyBorder="1" applyAlignment="1">
      <alignment horizontal="right"/>
    </xf>
    <xf numFmtId="0" fontId="3" fillId="0" borderId="1" xfId="1" applyFont="1" applyBorder="1"/>
    <xf numFmtId="164" fontId="1" fillId="0" borderId="1" xfId="1" applyNumberFormat="1" applyFont="1" applyBorder="1" applyAlignment="1">
      <alignment horizontal="right" vertical="center"/>
    </xf>
    <xf numFmtId="49" fontId="3" fillId="0" borderId="2" xfId="0" applyNumberFormat="1" applyFont="1" applyBorder="1" applyAlignment="1">
      <alignment horizontal="right"/>
    </xf>
    <xf numFmtId="164" fontId="1" fillId="0" borderId="2" xfId="1" applyNumberFormat="1" applyFont="1" applyBorder="1" applyAlignment="1">
      <alignment horizontal="right" vertical="center"/>
    </xf>
    <xf numFmtId="0" fontId="0" fillId="0" borderId="0" xfId="0" applyBorder="1"/>
    <xf numFmtId="49" fontId="3" fillId="0" borderId="0" xfId="0" applyNumberFormat="1" applyFont="1" applyAlignment="1">
      <alignment horizontal="right"/>
    </xf>
    <xf numFmtId="0" fontId="5" fillId="0" borderId="0" xfId="0" applyFont="1"/>
    <xf numFmtId="164" fontId="6" fillId="0" borderId="1" xfId="0" applyNumberFormat="1" applyFont="1" applyBorder="1" applyAlignment="1">
      <alignment horizontal="center" vertical="center"/>
    </xf>
    <xf numFmtId="0" fontId="5" fillId="0" borderId="1" xfId="0" applyFont="1" applyBorder="1" applyAlignment="1">
      <alignment horizontal="center" vertical="center"/>
    </xf>
    <xf numFmtId="0" fontId="5" fillId="0" borderId="1" xfId="0" applyFont="1" applyBorder="1" applyAlignment="1">
      <alignment horizontal="left" vertical="center"/>
    </xf>
    <xf numFmtId="0" fontId="0" fillId="0" borderId="1" xfId="0" applyBorder="1" applyAlignment="1">
      <alignment horizontal="center" vertical="center"/>
    </xf>
    <xf numFmtId="0" fontId="0" fillId="0" borderId="0" xfId="0" applyAlignment="1">
      <alignment horizontal="center" vertical="center"/>
    </xf>
    <xf numFmtId="0" fontId="4" fillId="0" borderId="1" xfId="0" applyFont="1" applyBorder="1" applyAlignment="1">
      <alignment horizontal="center"/>
    </xf>
    <xf numFmtId="0" fontId="4" fillId="0" borderId="1" xfId="0" applyFont="1" applyBorder="1" applyAlignment="1">
      <alignment horizontal="center" vertical="center"/>
    </xf>
    <xf numFmtId="0" fontId="0" fillId="0" borderId="1" xfId="0" applyBorder="1" applyAlignment="1" applyProtection="1">
      <alignment horizontal="center" vertical="center"/>
      <protection locked="0"/>
    </xf>
    <xf numFmtId="0" fontId="3" fillId="0" borderId="2" xfId="1" applyFont="1" applyBorder="1"/>
    <xf numFmtId="0" fontId="0" fillId="0" borderId="0" xfId="0" applyBorder="1" applyAlignment="1">
      <alignment vertical="top" wrapText="1"/>
    </xf>
    <xf numFmtId="49" fontId="3" fillId="0" borderId="1" xfId="0" applyNumberFormat="1" applyFont="1" applyBorder="1" applyAlignment="1" applyProtection="1">
      <alignment horizontal="center" vertical="center"/>
      <protection locked="0"/>
    </xf>
    <xf numFmtId="49" fontId="4" fillId="0" borderId="5" xfId="0" applyNumberFormat="1" applyFont="1" applyBorder="1" applyAlignment="1">
      <alignment horizontal="center" vertical="center"/>
    </xf>
    <xf numFmtId="164" fontId="1" fillId="0" borderId="3" xfId="1" applyNumberFormat="1" applyFont="1" applyBorder="1" applyAlignment="1">
      <alignment horizontal="center" vertical="center"/>
    </xf>
    <xf numFmtId="49" fontId="3" fillId="0" borderId="6" xfId="0" applyNumberFormat="1" applyFont="1" applyBorder="1" applyAlignment="1">
      <alignment horizontal="center"/>
    </xf>
    <xf numFmtId="0" fontId="3" fillId="0" borderId="3" xfId="1" applyFont="1" applyBorder="1" applyAlignment="1">
      <alignment horizontal="center"/>
    </xf>
    <xf numFmtId="49" fontId="0" fillId="0" borderId="4" xfId="0" applyNumberFormat="1" applyBorder="1" applyAlignment="1">
      <alignment horizontal="right"/>
    </xf>
    <xf numFmtId="0" fontId="0" fillId="0" borderId="0" xfId="0" applyAlignment="1">
      <alignment horizontal="center"/>
    </xf>
    <xf numFmtId="0" fontId="0" fillId="0" borderId="1" xfId="0" applyBorder="1" applyAlignment="1">
      <alignment horizontal="center"/>
    </xf>
    <xf numFmtId="14" fontId="0" fillId="0" borderId="1" xfId="0" applyNumberFormat="1" applyBorder="1" applyAlignment="1">
      <alignment horizontal="center"/>
    </xf>
    <xf numFmtId="0" fontId="0" fillId="0" borderId="7" xfId="0" applyFill="1" applyBorder="1" applyAlignment="1">
      <alignment horizontal="center"/>
    </xf>
    <xf numFmtId="164" fontId="0" fillId="0" borderId="1" xfId="0" applyNumberFormat="1" applyBorder="1" applyAlignment="1">
      <alignment horizontal="center" vertical="center"/>
    </xf>
    <xf numFmtId="164" fontId="0" fillId="0" borderId="0" xfId="0" applyNumberFormat="1" applyAlignment="1">
      <alignment horizontal="center" vertical="center"/>
    </xf>
    <xf numFmtId="14" fontId="0" fillId="0" borderId="0" xfId="0" applyNumberFormat="1" applyAlignment="1">
      <alignment horizontal="center"/>
    </xf>
    <xf numFmtId="14" fontId="3" fillId="0" borderId="0" xfId="0" applyNumberFormat="1" applyFont="1" applyAlignment="1">
      <alignment horizontal="center"/>
    </xf>
    <xf numFmtId="0" fontId="3" fillId="0" borderId="0" xfId="0" applyFont="1" applyAlignment="1">
      <alignment horizontal="center"/>
    </xf>
    <xf numFmtId="0" fontId="0" fillId="0" borderId="0" xfId="0" applyBorder="1" applyAlignment="1">
      <alignment horizontal="justify" vertical="top" wrapText="1"/>
    </xf>
  </cellXfs>
  <cellStyles count="2">
    <cellStyle name="Обычный" xfId="0" builtinId="0"/>
    <cellStyle name="Обычный 2" xfId="1"/>
  </cellStyles>
  <dxfs count="5">
    <dxf>
      <font>
        <condense val="0"/>
        <extend val="0"/>
        <color rgb="FF9C0006"/>
      </font>
      <fill>
        <patternFill>
          <bgColor rgb="FFFFC7CE"/>
        </patternFill>
      </fill>
    </dxf>
    <dxf>
      <font>
        <condense val="0"/>
        <extend val="0"/>
        <color rgb="FF9C0006"/>
      </font>
      <fill>
        <patternFill>
          <bgColor rgb="FFFFC7CE"/>
        </patternFill>
      </fill>
    </dxf>
    <dxf>
      <font>
        <color theme="0"/>
      </font>
    </dxf>
    <dxf>
      <font>
        <color theme="0"/>
      </font>
    </dxf>
    <dxf>
      <font>
        <color theme="0"/>
      </font>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11</xdr:col>
      <xdr:colOff>857251</xdr:colOff>
      <xdr:row>0</xdr:row>
      <xdr:rowOff>0</xdr:rowOff>
    </xdr:from>
    <xdr:to>
      <xdr:col>11</xdr:col>
      <xdr:colOff>2228851</xdr:colOff>
      <xdr:row>1</xdr:row>
      <xdr:rowOff>182747</xdr:rowOff>
    </xdr:to>
    <xdr:pic>
      <xdr:nvPicPr>
        <xdr:cNvPr id="2" name="Рисунок 1" descr="1200px-Kärcher_Logo_2015.svg.png"/>
        <xdr:cNvPicPr>
          <a:picLocks noChangeAspect="1"/>
        </xdr:cNvPicPr>
      </xdr:nvPicPr>
      <xdr:blipFill>
        <a:blip xmlns:r="http://schemas.openxmlformats.org/officeDocument/2006/relationships" r:embed="rId1" cstate="print"/>
        <a:srcRect l="21400" t="36421" r="22766" b="35879"/>
        <a:stretch>
          <a:fillRect/>
        </a:stretch>
      </xdr:blipFill>
      <xdr:spPr>
        <a:xfrm>
          <a:off x="8353426" y="0"/>
          <a:ext cx="1371600" cy="382772"/>
        </a:xfrm>
        <a:prstGeom prst="rect">
          <a:avLst/>
        </a:prstGeom>
      </xdr:spPr>
    </xdr:pic>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Лист1"/>
  <dimension ref="A2:O342"/>
  <sheetViews>
    <sheetView showGridLines="0" tabSelected="1" workbookViewId="0">
      <selection activeCell="A5" sqref="A5"/>
    </sheetView>
  </sheetViews>
  <sheetFormatPr defaultRowHeight="15.75"/>
  <cols>
    <col min="1" max="1" width="18" style="10" customWidth="1"/>
    <col min="2" max="2" width="8.42578125" style="16" customWidth="1"/>
    <col min="10" max="10" width="14.140625" customWidth="1"/>
    <col min="12" max="12" width="47" customWidth="1"/>
    <col min="13" max="13" width="6.85546875" customWidth="1"/>
    <col min="15" max="15" width="7.42578125" customWidth="1"/>
  </cols>
  <sheetData>
    <row r="2" spans="1:15" ht="38.25" customHeight="1">
      <c r="J2" t="s">
        <v>235</v>
      </c>
      <c r="N2" s="35">
        <f ca="1">TODAY()</f>
        <v>45256</v>
      </c>
      <c r="O2" s="36"/>
    </row>
    <row r="3" spans="1:15" ht="5.25" customHeight="1"/>
    <row r="4" spans="1:15" ht="15" customHeight="1">
      <c r="A4" s="23" t="s">
        <v>233</v>
      </c>
      <c r="B4" s="18" t="s">
        <v>234</v>
      </c>
      <c r="D4" s="37" t="s">
        <v>985</v>
      </c>
      <c r="E4" s="37"/>
      <c r="F4" s="37"/>
      <c r="G4" s="37"/>
      <c r="H4" s="37"/>
      <c r="I4" s="37"/>
      <c r="J4" s="17" t="s">
        <v>0</v>
      </c>
      <c r="K4" s="17" t="s">
        <v>1</v>
      </c>
      <c r="L4" s="17" t="s">
        <v>232</v>
      </c>
      <c r="M4" s="17" t="s">
        <v>234</v>
      </c>
      <c r="N4" s="17" t="s">
        <v>3</v>
      </c>
      <c r="O4" s="9"/>
    </row>
    <row r="5" spans="1:15">
      <c r="A5" s="22"/>
      <c r="B5" s="19"/>
      <c r="D5" s="37"/>
      <c r="E5" s="37"/>
      <c r="F5" s="37"/>
      <c r="G5" s="37"/>
      <c r="H5" s="37"/>
      <c r="I5" s="37"/>
      <c r="J5" s="12">
        <f>IFERROR(INDEX(Запчасти!A:A,MATCH(A5,Запчасти!B:B,0)),VALUE(A5))</f>
        <v>0</v>
      </c>
      <c r="K5" s="13" t="e">
        <f>IFERROR(INDEX(Запчасти!B:B,MATCH(A5,Запчасти!B:B,0)),VLOOKUP(J5,Запчасти!A:B,2,0))</f>
        <v>#N/A</v>
      </c>
      <c r="L5" s="14" t="e">
        <f>IFERROR(INDEX(Запчасти!C:C,MATCH(A5,Запчасти!B:B,0)),VLOOKUP(J5,Запчасти!A:C,3,0))</f>
        <v>#N/A</v>
      </c>
      <c r="M5" s="13">
        <f>B5</f>
        <v>0</v>
      </c>
      <c r="N5" s="13" t="e">
        <f>IFERROR(INDEX(Запчасти!D:D,MATCH(A5,Запчасти!B:B,0)),VLOOKUP(J5,Запчасти!A:D,4,0))</f>
        <v>#N/A</v>
      </c>
      <c r="O5" s="15"/>
    </row>
    <row r="6" spans="1:15">
      <c r="A6" s="22"/>
      <c r="B6" s="19"/>
      <c r="C6" s="9"/>
      <c r="D6" s="37"/>
      <c r="E6" s="37"/>
      <c r="F6" s="37"/>
      <c r="G6" s="37"/>
      <c r="H6" s="37"/>
      <c r="I6" s="37"/>
      <c r="J6" s="12">
        <f>IFERROR(INDEX(Запчасти!A:A,MATCH(A6,Запчасти!B:B,0)),VALUE(A6))</f>
        <v>0</v>
      </c>
      <c r="K6" s="13" t="e">
        <f>IFERROR(INDEX(Запчасти!B:B,MATCH(A6,Запчасти!B:B,0)),VLOOKUP(J6,Запчасти!A:B,2,0))</f>
        <v>#N/A</v>
      </c>
      <c r="L6" s="14" t="e">
        <f>IFERROR(INDEX(Запчасти!C:C,MATCH(A6,Запчасти!B:B,0)),VLOOKUP(J6,Запчасти!A:C,3,0))</f>
        <v>#N/A</v>
      </c>
      <c r="M6" s="13">
        <f t="shared" ref="M6:M48" si="0">B6</f>
        <v>0</v>
      </c>
      <c r="N6" s="13" t="e">
        <f>IFERROR(INDEX(Запчасти!D:D,MATCH(A6,Запчасти!B:B,0)),VLOOKUP(J6,Запчасти!A:D,4,0))</f>
        <v>#N/A</v>
      </c>
      <c r="O6" s="15"/>
    </row>
    <row r="7" spans="1:15">
      <c r="A7" s="22"/>
      <c r="B7" s="19"/>
      <c r="C7" s="9"/>
      <c r="D7" s="37"/>
      <c r="E7" s="37"/>
      <c r="F7" s="37"/>
      <c r="G7" s="37"/>
      <c r="H7" s="37"/>
      <c r="I7" s="37"/>
      <c r="J7" s="12">
        <f>IFERROR(INDEX(Запчасти!A:A,MATCH(A7,Запчасти!B:B,0)),VALUE(A7))</f>
        <v>0</v>
      </c>
      <c r="K7" s="13" t="e">
        <f>IFERROR(INDEX(Запчасти!B:B,MATCH(A7,Запчасти!B:B,0)),VLOOKUP(J7,Запчасти!A:B,2,0))</f>
        <v>#N/A</v>
      </c>
      <c r="L7" s="14" t="e">
        <f>IFERROR(INDEX(Запчасти!C:C,MATCH(A7,Запчасти!B:B,0)),VLOOKUP(J7,Запчасти!A:C,3,0))</f>
        <v>#N/A</v>
      </c>
      <c r="M7" s="13">
        <f t="shared" si="0"/>
        <v>0</v>
      </c>
      <c r="N7" s="13" t="e">
        <f>IFERROR(INDEX(Запчасти!D:D,MATCH(A7,Запчасти!B:B,0)),VLOOKUP(J7,Запчасти!A:D,4,0))</f>
        <v>#N/A</v>
      </c>
      <c r="O7" s="15"/>
    </row>
    <row r="8" spans="1:15">
      <c r="A8" s="22"/>
      <c r="B8" s="19"/>
      <c r="C8" s="9"/>
      <c r="D8" s="37"/>
      <c r="E8" s="37"/>
      <c r="F8" s="37"/>
      <c r="G8" s="37"/>
      <c r="H8" s="37"/>
      <c r="I8" s="37"/>
      <c r="J8" s="12">
        <f>IFERROR(INDEX(Запчасти!A:A,MATCH(A8,Запчасти!B:B,0)),VALUE(A8))</f>
        <v>0</v>
      </c>
      <c r="K8" s="13" t="e">
        <f>IFERROR(INDEX(Запчасти!B:B,MATCH(A8,Запчасти!B:B,0)),VLOOKUP(J8,Запчасти!A:B,2,0))</f>
        <v>#N/A</v>
      </c>
      <c r="L8" s="14" t="e">
        <f>IFERROR(INDEX(Запчасти!C:C,MATCH(A8,Запчасти!B:B,0)),VLOOKUP(J8,Запчасти!A:C,3,0))</f>
        <v>#N/A</v>
      </c>
      <c r="M8" s="13">
        <f t="shared" si="0"/>
        <v>0</v>
      </c>
      <c r="N8" s="13" t="e">
        <f>IFERROR(INDEX(Запчасти!D:D,MATCH(A8,Запчасти!B:B,0)),VLOOKUP(J8,Запчасти!A:D,4,0))</f>
        <v>#N/A</v>
      </c>
      <c r="O8" s="15"/>
    </row>
    <row r="9" spans="1:15">
      <c r="A9" s="22"/>
      <c r="B9" s="19"/>
      <c r="D9" s="37"/>
      <c r="E9" s="37"/>
      <c r="F9" s="37"/>
      <c r="G9" s="37"/>
      <c r="H9" s="37"/>
      <c r="I9" s="37"/>
      <c r="J9" s="12">
        <f>IFERROR(INDEX(Запчасти!A:A,MATCH(A9,Запчасти!B:B,0)),VALUE(A9))</f>
        <v>0</v>
      </c>
      <c r="K9" s="13" t="e">
        <f>IFERROR(INDEX(Запчасти!B:B,MATCH(A9,Запчасти!B:B,0)),VLOOKUP(J9,Запчасти!A:B,2,0))</f>
        <v>#N/A</v>
      </c>
      <c r="L9" s="14" t="e">
        <f>IFERROR(INDEX(Запчасти!C:C,MATCH(A9,Запчасти!B:B,0)),VLOOKUP(J9,Запчасти!A:C,3,0))</f>
        <v>#N/A</v>
      </c>
      <c r="M9" s="13">
        <f t="shared" si="0"/>
        <v>0</v>
      </c>
      <c r="N9" s="13" t="e">
        <f>IFERROR(INDEX(Запчасти!D:D,MATCH(A9,Запчасти!B:B,0)),VLOOKUP(J9,Запчасти!A:D,4,0))</f>
        <v>#N/A</v>
      </c>
      <c r="O9" s="15"/>
    </row>
    <row r="10" spans="1:15">
      <c r="A10" s="22"/>
      <c r="B10" s="19"/>
      <c r="D10" s="37"/>
      <c r="E10" s="37"/>
      <c r="F10" s="37"/>
      <c r="G10" s="37"/>
      <c r="H10" s="37"/>
      <c r="I10" s="37"/>
      <c r="J10" s="12">
        <f>IFERROR(INDEX(Запчасти!A:A,MATCH(A10,Запчасти!B:B,0)),VALUE(A10))</f>
        <v>0</v>
      </c>
      <c r="K10" s="13" t="e">
        <f>IFERROR(INDEX(Запчасти!B:B,MATCH(A10,Запчасти!B:B,0)),VLOOKUP(J10,Запчасти!A:B,2,0))</f>
        <v>#N/A</v>
      </c>
      <c r="L10" s="14" t="e">
        <f>IFERROR(INDEX(Запчасти!C:C,MATCH(A10,Запчасти!B:B,0)),VLOOKUP(J10,Запчасти!A:C,3,0))</f>
        <v>#N/A</v>
      </c>
      <c r="M10" s="13">
        <f t="shared" si="0"/>
        <v>0</v>
      </c>
      <c r="N10" s="13" t="e">
        <f>IFERROR(INDEX(Запчасти!D:D,MATCH(A10,Запчасти!B:B,0)),VLOOKUP(J10,Запчасти!A:D,4,0))</f>
        <v>#N/A</v>
      </c>
      <c r="O10" s="15"/>
    </row>
    <row r="11" spans="1:15">
      <c r="A11" s="22"/>
      <c r="B11" s="19"/>
      <c r="D11" s="21"/>
      <c r="E11" s="21"/>
      <c r="F11" s="21"/>
      <c r="G11" s="21"/>
      <c r="H11" s="21"/>
      <c r="I11" s="21"/>
      <c r="J11" s="12">
        <f>IFERROR(INDEX(Запчасти!A:A,MATCH(A11,Запчасти!B:B,0)),VALUE(A11))</f>
        <v>0</v>
      </c>
      <c r="K11" s="13" t="e">
        <f>IFERROR(INDEX(Запчасти!B:B,MATCH(A11,Запчасти!B:B,0)),VLOOKUP(J11,Запчасти!A:B,2,0))</f>
        <v>#N/A</v>
      </c>
      <c r="L11" s="14" t="e">
        <f>IFERROR(INDEX(Запчасти!C:C,MATCH(A11,Запчасти!B:B,0)),VLOOKUP(J11,Запчасти!A:C,3,0))</f>
        <v>#N/A</v>
      </c>
      <c r="M11" s="13">
        <f t="shared" si="0"/>
        <v>0</v>
      </c>
      <c r="N11" s="13" t="e">
        <f>IFERROR(INDEX(Запчасти!D:D,MATCH(A11,Запчасти!B:B,0)),VLOOKUP(J11,Запчасти!A:D,4,0))</f>
        <v>#N/A</v>
      </c>
      <c r="O11" s="15"/>
    </row>
    <row r="12" spans="1:15">
      <c r="A12" s="22"/>
      <c r="B12" s="19"/>
      <c r="D12" s="37" t="s">
        <v>986</v>
      </c>
      <c r="E12" s="37"/>
      <c r="F12" s="37"/>
      <c r="G12" s="37"/>
      <c r="H12" s="37"/>
      <c r="I12" s="37"/>
      <c r="J12" s="12">
        <f>IFERROR(INDEX(Запчасти!A:A,MATCH(A12,Запчасти!B:B,0)),VALUE(A12))</f>
        <v>0</v>
      </c>
      <c r="K12" s="13" t="e">
        <f>IFERROR(INDEX(Запчасти!B:B,MATCH(A12,Запчасти!B:B,0)),VLOOKUP(J12,Запчасти!A:B,2,0))</f>
        <v>#N/A</v>
      </c>
      <c r="L12" s="14" t="e">
        <f>IFERROR(INDEX(Запчасти!C:C,MATCH(A12,Запчасти!B:B,0)),VLOOKUP(J12,Запчасти!A:C,3,0))</f>
        <v>#N/A</v>
      </c>
      <c r="M12" s="13">
        <f t="shared" si="0"/>
        <v>0</v>
      </c>
      <c r="N12" s="13" t="e">
        <f>IFERROR(INDEX(Запчасти!D:D,MATCH(A12,Запчасти!B:B,0)),VLOOKUP(J12,Запчасти!A:D,4,0))</f>
        <v>#N/A</v>
      </c>
      <c r="O12" s="15"/>
    </row>
    <row r="13" spans="1:15">
      <c r="A13" s="22"/>
      <c r="B13" s="19"/>
      <c r="D13" s="37"/>
      <c r="E13" s="37"/>
      <c r="F13" s="37"/>
      <c r="G13" s="37"/>
      <c r="H13" s="37"/>
      <c r="I13" s="37"/>
      <c r="J13" s="12">
        <f>IFERROR(INDEX(Запчасти!A:A,MATCH(A13,Запчасти!B:B,0)),VALUE(A13))</f>
        <v>0</v>
      </c>
      <c r="K13" s="13" t="e">
        <f>IFERROR(INDEX(Запчасти!B:B,MATCH(A13,Запчасти!B:B,0)),VLOOKUP(J13,Запчасти!A:B,2,0))</f>
        <v>#N/A</v>
      </c>
      <c r="L13" s="14" t="e">
        <f>IFERROR(INDEX(Запчасти!C:C,MATCH(A13,Запчасти!B:B,0)),VLOOKUP(J13,Запчасти!A:C,3,0))</f>
        <v>#N/A</v>
      </c>
      <c r="M13" s="13">
        <f t="shared" si="0"/>
        <v>0</v>
      </c>
      <c r="N13" s="13" t="e">
        <f>IFERROR(INDEX(Запчасти!D:D,MATCH(A13,Запчасти!B:B,0)),VLOOKUP(J13,Запчасти!A:D,4,0))</f>
        <v>#N/A</v>
      </c>
      <c r="O13" s="15"/>
    </row>
    <row r="14" spans="1:15">
      <c r="A14" s="22"/>
      <c r="B14" s="19"/>
      <c r="D14" s="37"/>
      <c r="E14" s="37"/>
      <c r="F14" s="37"/>
      <c r="G14" s="37"/>
      <c r="H14" s="37"/>
      <c r="I14" s="37"/>
      <c r="J14" s="12">
        <f>IFERROR(INDEX(Запчасти!A:A,MATCH(A14,Запчасти!B:B,0)),VALUE(A14))</f>
        <v>0</v>
      </c>
      <c r="K14" s="13" t="e">
        <f>IFERROR(INDEX(Запчасти!B:B,MATCH(A14,Запчасти!B:B,0)),VLOOKUP(J14,Запчасти!A:B,2,0))</f>
        <v>#N/A</v>
      </c>
      <c r="L14" s="14" t="e">
        <f>IFERROR(INDEX(Запчасти!C:C,MATCH(A14,Запчасти!B:B,0)),VLOOKUP(J14,Запчасти!A:C,3,0))</f>
        <v>#N/A</v>
      </c>
      <c r="M14" s="13">
        <f t="shared" si="0"/>
        <v>0</v>
      </c>
      <c r="N14" s="13" t="e">
        <f>IFERROR(INDEX(Запчасти!D:D,MATCH(A14,Запчасти!B:B,0)),VLOOKUP(J14,Запчасти!A:D,4,0))</f>
        <v>#N/A</v>
      </c>
      <c r="O14" s="15"/>
    </row>
    <row r="15" spans="1:15">
      <c r="A15" s="22"/>
      <c r="B15" s="19"/>
      <c r="D15" s="37"/>
      <c r="E15" s="37"/>
      <c r="F15" s="37"/>
      <c r="G15" s="37"/>
      <c r="H15" s="37"/>
      <c r="I15" s="37"/>
      <c r="J15" s="12">
        <f>IFERROR(INDEX(Запчасти!A:A,MATCH(A15,Запчасти!B:B,0)),VALUE(A15))</f>
        <v>0</v>
      </c>
      <c r="K15" s="13" t="e">
        <f>IFERROR(INDEX(Запчасти!B:B,MATCH(A15,Запчасти!B:B,0)),VLOOKUP(J15,Запчасти!A:B,2,0))</f>
        <v>#N/A</v>
      </c>
      <c r="L15" s="14" t="e">
        <f>IFERROR(INDEX(Запчасти!C:C,MATCH(A15,Запчасти!B:B,0)),VLOOKUP(J15,Запчасти!A:C,3,0))</f>
        <v>#N/A</v>
      </c>
      <c r="M15" s="13">
        <f t="shared" si="0"/>
        <v>0</v>
      </c>
      <c r="N15" s="13" t="e">
        <f>IFERROR(INDEX(Запчасти!D:D,MATCH(A15,Запчасти!B:B,0)),VLOOKUP(J15,Запчасти!A:D,4,0))</f>
        <v>#N/A</v>
      </c>
      <c r="O15" s="15"/>
    </row>
    <row r="16" spans="1:15">
      <c r="A16" s="22"/>
      <c r="B16" s="19"/>
      <c r="D16" s="37"/>
      <c r="E16" s="37"/>
      <c r="F16" s="37"/>
      <c r="G16" s="37"/>
      <c r="H16" s="37"/>
      <c r="I16" s="37"/>
      <c r="J16" s="12">
        <f>IFERROR(INDEX(Запчасти!A:A,MATCH(A16,Запчасти!B:B,0)),VALUE(A16))</f>
        <v>0</v>
      </c>
      <c r="K16" s="13" t="e">
        <f>IFERROR(INDEX(Запчасти!B:B,MATCH(A16,Запчасти!B:B,0)),VLOOKUP(J16,Запчасти!A:B,2,0))</f>
        <v>#N/A</v>
      </c>
      <c r="L16" s="14" t="e">
        <f>IFERROR(INDEX(Запчасти!C:C,MATCH(A16,Запчасти!B:B,0)),VLOOKUP(J16,Запчасти!A:C,3,0))</f>
        <v>#N/A</v>
      </c>
      <c r="M16" s="13">
        <f t="shared" si="0"/>
        <v>0</v>
      </c>
      <c r="N16" s="13" t="e">
        <f>IFERROR(INDEX(Запчасти!D:D,MATCH(A16,Запчасти!B:B,0)),VLOOKUP(J16,Запчасти!A:D,4,0))</f>
        <v>#N/A</v>
      </c>
      <c r="O16" s="15"/>
    </row>
    <row r="17" spans="1:15">
      <c r="A17" s="22"/>
      <c r="B17" s="19"/>
      <c r="D17" s="37"/>
      <c r="E17" s="37"/>
      <c r="F17" s="37"/>
      <c r="G17" s="37"/>
      <c r="H17" s="37"/>
      <c r="I17" s="37"/>
      <c r="J17" s="12">
        <f>IFERROR(INDEX(Запчасти!A:A,MATCH(A17,Запчасти!B:B,0)),VALUE(A17))</f>
        <v>0</v>
      </c>
      <c r="K17" s="13" t="e">
        <f>IFERROR(INDEX(Запчасти!B:B,MATCH(A17,Запчасти!B:B,0)),VLOOKUP(J17,Запчасти!A:B,2,0))</f>
        <v>#N/A</v>
      </c>
      <c r="L17" s="14" t="e">
        <f>IFERROR(INDEX(Запчасти!C:C,MATCH(A17,Запчасти!B:B,0)),VLOOKUP(J17,Запчасти!A:C,3,0))</f>
        <v>#N/A</v>
      </c>
      <c r="M17" s="13">
        <f t="shared" si="0"/>
        <v>0</v>
      </c>
      <c r="N17" s="13" t="e">
        <f>IFERROR(INDEX(Запчасти!D:D,MATCH(A17,Запчасти!B:B,0)),VLOOKUP(J17,Запчасти!A:D,4,0))</f>
        <v>#N/A</v>
      </c>
      <c r="O17" s="15"/>
    </row>
    <row r="18" spans="1:15">
      <c r="A18" s="22"/>
      <c r="B18" s="19"/>
      <c r="D18" s="37"/>
      <c r="E18" s="37"/>
      <c r="F18" s="37"/>
      <c r="G18" s="37"/>
      <c r="H18" s="37"/>
      <c r="I18" s="37"/>
      <c r="J18" s="12">
        <f>IFERROR(INDEX(Запчасти!A:A,MATCH(A18,Запчасти!B:B,0)),VALUE(A18))</f>
        <v>0</v>
      </c>
      <c r="K18" s="13" t="e">
        <f>IFERROR(INDEX(Запчасти!B:B,MATCH(A18,Запчасти!B:B,0)),VLOOKUP(J18,Запчасти!A:B,2,0))</f>
        <v>#N/A</v>
      </c>
      <c r="L18" s="14" t="e">
        <f>IFERROR(INDEX(Запчасти!C:C,MATCH(A18,Запчасти!B:B,0)),VLOOKUP(J18,Запчасти!A:C,3,0))</f>
        <v>#N/A</v>
      </c>
      <c r="M18" s="13">
        <f t="shared" si="0"/>
        <v>0</v>
      </c>
      <c r="N18" s="13" t="e">
        <f>IFERROR(INDEX(Запчасти!D:D,MATCH(A18,Запчасти!B:B,0)),VLOOKUP(J18,Запчасти!A:D,4,0))</f>
        <v>#N/A</v>
      </c>
      <c r="O18" s="15"/>
    </row>
    <row r="19" spans="1:15">
      <c r="A19" s="22"/>
      <c r="B19" s="19"/>
      <c r="D19" s="37"/>
      <c r="E19" s="37"/>
      <c r="F19" s="37"/>
      <c r="G19" s="37"/>
      <c r="H19" s="37"/>
      <c r="I19" s="37"/>
      <c r="J19" s="12">
        <f>IFERROR(INDEX(Запчасти!A:A,MATCH(A19,Запчасти!B:B,0)),VALUE(A19))</f>
        <v>0</v>
      </c>
      <c r="K19" s="13" t="e">
        <f>IFERROR(INDEX(Запчасти!B:B,MATCH(A19,Запчасти!B:B,0)),VLOOKUP(J19,Запчасти!A:B,2,0))</f>
        <v>#N/A</v>
      </c>
      <c r="L19" s="14" t="e">
        <f>IFERROR(INDEX(Запчасти!C:C,MATCH(A19,Запчасти!B:B,0)),VLOOKUP(J19,Запчасти!A:C,3,0))</f>
        <v>#N/A</v>
      </c>
      <c r="M19" s="13">
        <f t="shared" si="0"/>
        <v>0</v>
      </c>
      <c r="N19" s="13" t="e">
        <f>IFERROR(INDEX(Запчасти!D:D,MATCH(A19,Запчасти!B:B,0)),VLOOKUP(J19,Запчасти!A:D,4,0))</f>
        <v>#N/A</v>
      </c>
      <c r="O19" s="15"/>
    </row>
    <row r="20" spans="1:15">
      <c r="A20" s="22"/>
      <c r="B20" s="19"/>
      <c r="D20" s="37"/>
      <c r="E20" s="37"/>
      <c r="F20" s="37"/>
      <c r="G20" s="37"/>
      <c r="H20" s="37"/>
      <c r="I20" s="37"/>
      <c r="J20" s="12">
        <f>IFERROR(INDEX(Запчасти!A:A,MATCH(A20,Запчасти!B:B,0)),VALUE(A20))</f>
        <v>0</v>
      </c>
      <c r="K20" s="13" t="e">
        <f>IFERROR(INDEX(Запчасти!B:B,MATCH(A20,Запчасти!B:B,0)),VLOOKUP(J20,Запчасти!A:B,2,0))</f>
        <v>#N/A</v>
      </c>
      <c r="L20" s="14" t="e">
        <f>IFERROR(INDEX(Запчасти!C:C,MATCH(A20,Запчасти!B:B,0)),VLOOKUP(J20,Запчасти!A:C,3,0))</f>
        <v>#N/A</v>
      </c>
      <c r="M20" s="13">
        <f t="shared" si="0"/>
        <v>0</v>
      </c>
      <c r="N20" s="13" t="e">
        <f>IFERROR(INDEX(Запчасти!D:D,MATCH(A20,Запчасти!B:B,0)),VLOOKUP(J20,Запчасти!A:D,4,0))</f>
        <v>#N/A</v>
      </c>
      <c r="O20" s="15"/>
    </row>
    <row r="21" spans="1:15">
      <c r="A21" s="22"/>
      <c r="B21" s="19"/>
      <c r="D21" s="37"/>
      <c r="E21" s="37"/>
      <c r="F21" s="37"/>
      <c r="G21" s="37"/>
      <c r="H21" s="37"/>
      <c r="I21" s="37"/>
      <c r="J21" s="12">
        <f>IFERROR(INDEX(Запчасти!A:A,MATCH(A21,Запчасти!B:B,0)),VALUE(A21))</f>
        <v>0</v>
      </c>
      <c r="K21" s="13" t="e">
        <f>IFERROR(INDEX(Запчасти!B:B,MATCH(A21,Запчасти!B:B,0)),VLOOKUP(J21,Запчасти!A:B,2,0))</f>
        <v>#N/A</v>
      </c>
      <c r="L21" s="14" t="e">
        <f>IFERROR(INDEX(Запчасти!C:C,MATCH(A21,Запчасти!B:B,0)),VLOOKUP(J21,Запчасти!A:C,3,0))</f>
        <v>#N/A</v>
      </c>
      <c r="M21" s="13">
        <f t="shared" si="0"/>
        <v>0</v>
      </c>
      <c r="N21" s="13" t="e">
        <f>IFERROR(INDEX(Запчасти!D:D,MATCH(A21,Запчасти!B:B,0)),VLOOKUP(J21,Запчасти!A:D,4,0))</f>
        <v>#N/A</v>
      </c>
      <c r="O21" s="15"/>
    </row>
    <row r="22" spans="1:15">
      <c r="A22" s="22"/>
      <c r="B22" s="19"/>
      <c r="D22" s="37"/>
      <c r="E22" s="37"/>
      <c r="F22" s="37"/>
      <c r="G22" s="37"/>
      <c r="H22" s="37"/>
      <c r="I22" s="37"/>
      <c r="J22" s="12">
        <f>IFERROR(INDEX(Запчасти!A:A,MATCH(A22,Запчасти!B:B,0)),VALUE(A22))</f>
        <v>0</v>
      </c>
      <c r="K22" s="13" t="e">
        <f>IFERROR(INDEX(Запчасти!B:B,MATCH(A22,Запчасти!B:B,0)),VLOOKUP(J22,Запчасти!A:B,2,0))</f>
        <v>#N/A</v>
      </c>
      <c r="L22" s="14" t="e">
        <f>IFERROR(INDEX(Запчасти!C:C,MATCH(A22,Запчасти!B:B,0)),VLOOKUP(J22,Запчасти!A:C,3,0))</f>
        <v>#N/A</v>
      </c>
      <c r="M22" s="13">
        <f t="shared" si="0"/>
        <v>0</v>
      </c>
      <c r="N22" s="13" t="e">
        <f>IFERROR(INDEX(Запчасти!D:D,MATCH(A22,Запчасти!B:B,0)),VLOOKUP(J22,Запчасти!A:D,4,0))</f>
        <v>#N/A</v>
      </c>
      <c r="O22" s="15"/>
    </row>
    <row r="23" spans="1:15">
      <c r="A23" s="22"/>
      <c r="B23" s="19"/>
      <c r="D23" s="37"/>
      <c r="E23" s="37"/>
      <c r="F23" s="37"/>
      <c r="G23" s="37"/>
      <c r="H23" s="37"/>
      <c r="I23" s="37"/>
      <c r="J23" s="12">
        <f>IFERROR(INDEX(Запчасти!A:A,MATCH(A23,Запчасти!B:B,0)),VALUE(A23))</f>
        <v>0</v>
      </c>
      <c r="K23" s="13" t="e">
        <f>IFERROR(INDEX(Запчасти!B:B,MATCH(A23,Запчасти!B:B,0)),VLOOKUP(J23,Запчасти!A:B,2,0))</f>
        <v>#N/A</v>
      </c>
      <c r="L23" s="14" t="e">
        <f>IFERROR(INDEX(Запчасти!C:C,MATCH(A23,Запчасти!B:B,0)),VLOOKUP(J23,Запчасти!A:C,3,0))</f>
        <v>#N/A</v>
      </c>
      <c r="M23" s="13">
        <f t="shared" si="0"/>
        <v>0</v>
      </c>
      <c r="N23" s="13" t="e">
        <f>IFERROR(INDEX(Запчасти!D:D,MATCH(A23,Запчасти!B:B,0)),VLOOKUP(J23,Запчасти!A:D,4,0))</f>
        <v>#N/A</v>
      </c>
      <c r="O23" s="15"/>
    </row>
    <row r="24" spans="1:15">
      <c r="A24" s="22"/>
      <c r="B24" s="19"/>
      <c r="D24" s="37"/>
      <c r="E24" s="37"/>
      <c r="F24" s="37"/>
      <c r="G24" s="37"/>
      <c r="H24" s="37"/>
      <c r="I24" s="37"/>
      <c r="J24" s="12">
        <f>IFERROR(INDEX(Запчасти!A:A,MATCH(A24,Запчасти!B:B,0)),VALUE(A24))</f>
        <v>0</v>
      </c>
      <c r="K24" s="13" t="e">
        <f>IFERROR(INDEX(Запчасти!B:B,MATCH(A24,Запчасти!B:B,0)),VLOOKUP(J24,Запчасти!A:B,2,0))</f>
        <v>#N/A</v>
      </c>
      <c r="L24" s="14" t="e">
        <f>IFERROR(INDEX(Запчасти!C:C,MATCH(A24,Запчасти!B:B,0)),VLOOKUP(J24,Запчасти!A:C,3,0))</f>
        <v>#N/A</v>
      </c>
      <c r="M24" s="13">
        <f t="shared" si="0"/>
        <v>0</v>
      </c>
      <c r="N24" s="13" t="e">
        <f>IFERROR(INDEX(Запчасти!D:D,MATCH(A24,Запчасти!B:B,0)),VLOOKUP(J24,Запчасти!A:D,4,0))</f>
        <v>#N/A</v>
      </c>
      <c r="O24" s="15"/>
    </row>
    <row r="25" spans="1:15">
      <c r="A25" s="22"/>
      <c r="B25" s="19"/>
      <c r="D25" s="37"/>
      <c r="E25" s="37"/>
      <c r="F25" s="37"/>
      <c r="G25" s="37"/>
      <c r="H25" s="37"/>
      <c r="I25" s="37"/>
      <c r="J25" s="12">
        <f>IFERROR(INDEX(Запчасти!A:A,MATCH(A25,Запчасти!B:B,0)),VALUE(A25))</f>
        <v>0</v>
      </c>
      <c r="K25" s="13" t="e">
        <f>IFERROR(INDEX(Запчасти!B:B,MATCH(A25,Запчасти!B:B,0)),VLOOKUP(J25,Запчасти!A:B,2,0))</f>
        <v>#N/A</v>
      </c>
      <c r="L25" s="14" t="e">
        <f>IFERROR(INDEX(Запчасти!C:C,MATCH(A25,Запчасти!B:B,0)),VLOOKUP(J25,Запчасти!A:C,3,0))</f>
        <v>#N/A</v>
      </c>
      <c r="M25" s="13">
        <f t="shared" si="0"/>
        <v>0</v>
      </c>
      <c r="N25" s="13" t="e">
        <f>IFERROR(INDEX(Запчасти!D:D,MATCH(A25,Запчасти!B:B,0)),VLOOKUP(J25,Запчасти!A:D,4,0))</f>
        <v>#N/A</v>
      </c>
      <c r="O25" s="15"/>
    </row>
    <row r="26" spans="1:15">
      <c r="A26" s="22"/>
      <c r="B26" s="19"/>
      <c r="D26" s="37"/>
      <c r="E26" s="37"/>
      <c r="F26" s="37"/>
      <c r="G26" s="37"/>
      <c r="H26" s="37"/>
      <c r="I26" s="37"/>
      <c r="J26" s="12">
        <f>IFERROR(INDEX(Запчасти!A:A,MATCH(A26,Запчасти!B:B,0)),VALUE(A26))</f>
        <v>0</v>
      </c>
      <c r="K26" s="13" t="e">
        <f>IFERROR(INDEX(Запчасти!B:B,MATCH(A26,Запчасти!B:B,0)),VLOOKUP(J26,Запчасти!A:B,2,0))</f>
        <v>#N/A</v>
      </c>
      <c r="L26" s="14" t="e">
        <f>IFERROR(INDEX(Запчасти!C:C,MATCH(A26,Запчасти!B:B,0)),VLOOKUP(J26,Запчасти!A:C,3,0))</f>
        <v>#N/A</v>
      </c>
      <c r="M26" s="13">
        <f t="shared" si="0"/>
        <v>0</v>
      </c>
      <c r="N26" s="13" t="e">
        <f>IFERROR(INDEX(Запчасти!D:D,MATCH(A26,Запчасти!B:B,0)),VLOOKUP(J26,Запчасти!A:D,4,0))</f>
        <v>#N/A</v>
      </c>
      <c r="O26" s="15"/>
    </row>
    <row r="27" spans="1:15">
      <c r="A27" s="22"/>
      <c r="B27" s="19"/>
      <c r="D27" s="37"/>
      <c r="E27" s="37"/>
      <c r="F27" s="37"/>
      <c r="G27" s="37"/>
      <c r="H27" s="37"/>
      <c r="I27" s="37"/>
      <c r="J27" s="12">
        <f>IFERROR(INDEX(Запчасти!A:A,MATCH(A27,Запчасти!B:B,0)),VALUE(A27))</f>
        <v>0</v>
      </c>
      <c r="K27" s="13" t="e">
        <f>IFERROR(INDEX(Запчасти!B:B,MATCH(A27,Запчасти!B:B,0)),VLOOKUP(J27,Запчасти!A:B,2,0))</f>
        <v>#N/A</v>
      </c>
      <c r="L27" s="14" t="e">
        <f>IFERROR(INDEX(Запчасти!C:C,MATCH(A27,Запчасти!B:B,0)),VLOOKUP(J27,Запчасти!A:C,3,0))</f>
        <v>#N/A</v>
      </c>
      <c r="M27" s="13">
        <f t="shared" si="0"/>
        <v>0</v>
      </c>
      <c r="N27" s="13" t="e">
        <f>IFERROR(INDEX(Запчасти!D:D,MATCH(A27,Запчасти!B:B,0)),VLOOKUP(J27,Запчасти!A:D,4,0))</f>
        <v>#N/A</v>
      </c>
      <c r="O27" s="15"/>
    </row>
    <row r="28" spans="1:15">
      <c r="A28" s="22"/>
      <c r="B28" s="19"/>
      <c r="D28" s="37"/>
      <c r="E28" s="37"/>
      <c r="F28" s="37"/>
      <c r="G28" s="37"/>
      <c r="H28" s="37"/>
      <c r="I28" s="37"/>
      <c r="J28" s="12">
        <f>IFERROR(INDEX(Запчасти!A:A,MATCH(A28,Запчасти!B:B,0)),VALUE(A28))</f>
        <v>0</v>
      </c>
      <c r="K28" s="13" t="e">
        <f>IFERROR(INDEX(Запчасти!B:B,MATCH(A28,Запчасти!B:B,0)),VLOOKUP(J28,Запчасти!A:B,2,0))</f>
        <v>#N/A</v>
      </c>
      <c r="L28" s="14" t="e">
        <f>IFERROR(INDEX(Запчасти!C:C,MATCH(A28,Запчасти!B:B,0)),VLOOKUP(J28,Запчасти!A:C,3,0))</f>
        <v>#N/A</v>
      </c>
      <c r="M28" s="13">
        <f t="shared" si="0"/>
        <v>0</v>
      </c>
      <c r="N28" s="13" t="e">
        <f>IFERROR(INDEX(Запчасти!D:D,MATCH(A28,Запчасти!B:B,0)),VLOOKUP(J28,Запчасти!A:D,4,0))</f>
        <v>#N/A</v>
      </c>
      <c r="O28" s="15"/>
    </row>
    <row r="29" spans="1:15">
      <c r="A29" s="22"/>
      <c r="B29" s="19"/>
      <c r="D29" s="37"/>
      <c r="E29" s="37"/>
      <c r="F29" s="37"/>
      <c r="G29" s="37"/>
      <c r="H29" s="37"/>
      <c r="I29" s="37"/>
      <c r="J29" s="12">
        <f>IFERROR(INDEX(Запчасти!A:A,MATCH(A29,Запчасти!B:B,0)),VALUE(A29))</f>
        <v>0</v>
      </c>
      <c r="K29" s="13" t="e">
        <f>IFERROR(INDEX(Запчасти!B:B,MATCH(A29,Запчасти!B:B,0)),VLOOKUP(J29,Запчасти!A:B,2,0))</f>
        <v>#N/A</v>
      </c>
      <c r="L29" s="14" t="e">
        <f>IFERROR(INDEX(Запчасти!C:C,MATCH(A29,Запчасти!B:B,0)),VLOOKUP(J29,Запчасти!A:C,3,0))</f>
        <v>#N/A</v>
      </c>
      <c r="M29" s="13">
        <f t="shared" si="0"/>
        <v>0</v>
      </c>
      <c r="N29" s="13" t="e">
        <f>IFERROR(INDEX(Запчасти!D:D,MATCH(A29,Запчасти!B:B,0)),VLOOKUP(J29,Запчасти!A:D,4,0))</f>
        <v>#N/A</v>
      </c>
      <c r="O29" s="15"/>
    </row>
    <row r="30" spans="1:15">
      <c r="A30" s="22"/>
      <c r="B30" s="19"/>
      <c r="D30" s="37"/>
      <c r="E30" s="37"/>
      <c r="F30" s="37"/>
      <c r="G30" s="37"/>
      <c r="H30" s="37"/>
      <c r="I30" s="37"/>
      <c r="J30" s="12">
        <f>IFERROR(INDEX(Запчасти!A:A,MATCH(A30,Запчасти!B:B,0)),VALUE(A30))</f>
        <v>0</v>
      </c>
      <c r="K30" s="13" t="e">
        <f>IFERROR(INDEX(Запчасти!B:B,MATCH(A30,Запчасти!B:B,0)),VLOOKUP(J30,Запчасти!A:B,2,0))</f>
        <v>#N/A</v>
      </c>
      <c r="L30" s="14" t="e">
        <f>IFERROR(INDEX(Запчасти!C:C,MATCH(A30,Запчасти!B:B,0)),VLOOKUP(J30,Запчасти!A:C,3,0))</f>
        <v>#N/A</v>
      </c>
      <c r="M30" s="13">
        <f t="shared" si="0"/>
        <v>0</v>
      </c>
      <c r="N30" s="13" t="e">
        <f>IFERROR(INDEX(Запчасти!D:D,MATCH(A30,Запчасти!B:B,0)),VLOOKUP(J30,Запчасти!A:D,4,0))</f>
        <v>#N/A</v>
      </c>
      <c r="O30" s="15"/>
    </row>
    <row r="31" spans="1:15">
      <c r="A31" s="22"/>
      <c r="B31" s="19"/>
      <c r="D31" s="37"/>
      <c r="E31" s="37"/>
      <c r="F31" s="37"/>
      <c r="G31" s="37"/>
      <c r="H31" s="37"/>
      <c r="I31" s="37"/>
      <c r="J31" s="12">
        <f>IFERROR(INDEX(Запчасти!A:A,MATCH(A31,Запчасти!B:B,0)),VALUE(A31))</f>
        <v>0</v>
      </c>
      <c r="K31" s="13" t="e">
        <f>IFERROR(INDEX(Запчасти!B:B,MATCH(A31,Запчасти!B:B,0)),VLOOKUP(J31,Запчасти!A:B,2,0))</f>
        <v>#N/A</v>
      </c>
      <c r="L31" s="14" t="e">
        <f>IFERROR(INDEX(Запчасти!C:C,MATCH(A31,Запчасти!B:B,0)),VLOOKUP(J31,Запчасти!A:C,3,0))</f>
        <v>#N/A</v>
      </c>
      <c r="M31" s="13">
        <f t="shared" si="0"/>
        <v>0</v>
      </c>
      <c r="N31" s="13" t="e">
        <f>IFERROR(INDEX(Запчасти!D:D,MATCH(A31,Запчасти!B:B,0)),VLOOKUP(J31,Запчасти!A:D,4,0))</f>
        <v>#N/A</v>
      </c>
      <c r="O31" s="15"/>
    </row>
    <row r="32" spans="1:15">
      <c r="A32" s="22"/>
      <c r="B32" s="19"/>
      <c r="J32" s="12">
        <f>IFERROR(INDEX(Запчасти!A:A,MATCH(A32,Запчасти!B:B,0)),VALUE(A32))</f>
        <v>0</v>
      </c>
      <c r="K32" s="13" t="e">
        <f>IFERROR(INDEX(Запчасти!B:B,MATCH(A32,Запчасти!B:B,0)),VLOOKUP(J32,Запчасти!A:B,2,0))</f>
        <v>#N/A</v>
      </c>
      <c r="L32" s="14" t="e">
        <f>IFERROR(INDEX(Запчасти!C:C,MATCH(A32,Запчасти!B:B,0)),VLOOKUP(J32,Запчасти!A:C,3,0))</f>
        <v>#N/A</v>
      </c>
      <c r="M32" s="13">
        <f t="shared" si="0"/>
        <v>0</v>
      </c>
      <c r="N32" s="13" t="e">
        <f>IFERROR(INDEX(Запчасти!D:D,MATCH(A32,Запчасти!B:B,0)),VLOOKUP(J32,Запчасти!A:D,4,0))</f>
        <v>#N/A</v>
      </c>
      <c r="O32" s="15"/>
    </row>
    <row r="33" spans="1:15">
      <c r="A33" s="22"/>
      <c r="B33" s="19"/>
      <c r="J33" s="12">
        <f>IFERROR(INDEX(Запчасти!A:A,MATCH(A33,Запчасти!B:B,0)),VALUE(A33))</f>
        <v>0</v>
      </c>
      <c r="K33" s="13" t="e">
        <f>IFERROR(INDEX(Запчасти!B:B,MATCH(A33,Запчасти!B:B,0)),VLOOKUP(J33,Запчасти!A:B,2,0))</f>
        <v>#N/A</v>
      </c>
      <c r="L33" s="14" t="e">
        <f>IFERROR(INDEX(Запчасти!C:C,MATCH(A33,Запчасти!B:B,0)),VLOOKUP(J33,Запчасти!A:C,3,0))</f>
        <v>#N/A</v>
      </c>
      <c r="M33" s="13">
        <f t="shared" si="0"/>
        <v>0</v>
      </c>
      <c r="N33" s="13" t="e">
        <f>IFERROR(INDEX(Запчасти!D:D,MATCH(A33,Запчасти!B:B,0)),VLOOKUP(J33,Запчасти!A:D,4,0))</f>
        <v>#N/A</v>
      </c>
      <c r="O33" s="15"/>
    </row>
    <row r="34" spans="1:15">
      <c r="A34" s="22"/>
      <c r="B34" s="19"/>
      <c r="J34" s="12">
        <f>IFERROR(INDEX(Запчасти!A:A,MATCH(A34,Запчасти!B:B,0)),VALUE(A34))</f>
        <v>0</v>
      </c>
      <c r="K34" s="13" t="e">
        <f>IFERROR(INDEX(Запчасти!B:B,MATCH(A34,Запчасти!B:B,0)),VLOOKUP(J34,Запчасти!A:B,2,0))</f>
        <v>#N/A</v>
      </c>
      <c r="L34" s="14" t="e">
        <f>IFERROR(INDEX(Запчасти!C:C,MATCH(A34,Запчасти!B:B,0)),VLOOKUP(J34,Запчасти!A:C,3,0))</f>
        <v>#N/A</v>
      </c>
      <c r="M34" s="13">
        <f t="shared" si="0"/>
        <v>0</v>
      </c>
      <c r="N34" s="13" t="e">
        <f>IFERROR(INDEX(Запчасти!D:D,MATCH(A34,Запчасти!B:B,0)),VLOOKUP(J34,Запчасти!A:D,4,0))</f>
        <v>#N/A</v>
      </c>
      <c r="O34" s="15"/>
    </row>
    <row r="35" spans="1:15">
      <c r="A35" s="22"/>
      <c r="B35" s="19"/>
      <c r="J35" s="12">
        <f>IFERROR(INDEX(Запчасти!A:A,MATCH(A35,Запчасти!B:B,0)),VALUE(A35))</f>
        <v>0</v>
      </c>
      <c r="K35" s="13" t="e">
        <f>IFERROR(INDEX(Запчасти!B:B,MATCH(A35,Запчасти!B:B,0)),VLOOKUP(J35,Запчасти!A:B,2,0))</f>
        <v>#N/A</v>
      </c>
      <c r="L35" s="14" t="e">
        <f>IFERROR(INDEX(Запчасти!C:C,MATCH(A35,Запчасти!B:B,0)),VLOOKUP(J35,Запчасти!A:C,3,0))</f>
        <v>#N/A</v>
      </c>
      <c r="M35" s="13">
        <f t="shared" si="0"/>
        <v>0</v>
      </c>
      <c r="N35" s="13" t="e">
        <f>IFERROR(INDEX(Запчасти!D:D,MATCH(A35,Запчасти!B:B,0)),VLOOKUP(J35,Запчасти!A:D,4,0))</f>
        <v>#N/A</v>
      </c>
      <c r="O35" s="15"/>
    </row>
    <row r="36" spans="1:15">
      <c r="A36" s="22"/>
      <c r="B36" s="19"/>
      <c r="J36" s="12">
        <f>IFERROR(INDEX(Запчасти!A:A,MATCH(A36,Запчасти!B:B,0)),VALUE(A36))</f>
        <v>0</v>
      </c>
      <c r="K36" s="13" t="e">
        <f>IFERROR(INDEX(Запчасти!B:B,MATCH(A36,Запчасти!B:B,0)),VLOOKUP(J36,Запчасти!A:B,2,0))</f>
        <v>#N/A</v>
      </c>
      <c r="L36" s="14" t="e">
        <f>IFERROR(INDEX(Запчасти!C:C,MATCH(A36,Запчасти!B:B,0)),VLOOKUP(J36,Запчасти!A:C,3,0))</f>
        <v>#N/A</v>
      </c>
      <c r="M36" s="13">
        <f t="shared" si="0"/>
        <v>0</v>
      </c>
      <c r="N36" s="13" t="e">
        <f>IFERROR(INDEX(Запчасти!D:D,MATCH(A36,Запчасти!B:B,0)),VLOOKUP(J36,Запчасти!A:D,4,0))</f>
        <v>#N/A</v>
      </c>
      <c r="O36" s="15"/>
    </row>
    <row r="37" spans="1:15">
      <c r="A37" s="22"/>
      <c r="B37" s="19"/>
      <c r="J37" s="12">
        <f>IFERROR(INDEX(Запчасти!A:A,MATCH(A37,Запчасти!B:B,0)),VALUE(A37))</f>
        <v>0</v>
      </c>
      <c r="K37" s="13" t="e">
        <f>IFERROR(INDEX(Запчасти!B:B,MATCH(A37,Запчасти!B:B,0)),VLOOKUP(J37,Запчасти!A:B,2,0))</f>
        <v>#N/A</v>
      </c>
      <c r="L37" s="14" t="e">
        <f>IFERROR(INDEX(Запчасти!C:C,MATCH(A37,Запчасти!B:B,0)),VLOOKUP(J37,Запчасти!A:C,3,0))</f>
        <v>#N/A</v>
      </c>
      <c r="M37" s="13">
        <f t="shared" si="0"/>
        <v>0</v>
      </c>
      <c r="N37" s="13" t="e">
        <f>IFERROR(INDEX(Запчасти!D:D,MATCH(A37,Запчасти!B:B,0)),VLOOKUP(J37,Запчасти!A:D,4,0))</f>
        <v>#N/A</v>
      </c>
      <c r="O37" s="15"/>
    </row>
    <row r="38" spans="1:15">
      <c r="A38" s="22"/>
      <c r="B38" s="19"/>
      <c r="J38" s="12">
        <f>IFERROR(INDEX(Запчасти!A:A,MATCH(A38,Запчасти!B:B,0)),VALUE(A38))</f>
        <v>0</v>
      </c>
      <c r="K38" s="13" t="e">
        <f>IFERROR(INDEX(Запчасти!B:B,MATCH(A38,Запчасти!B:B,0)),VLOOKUP(J38,Запчасти!A:B,2,0))</f>
        <v>#N/A</v>
      </c>
      <c r="L38" s="14" t="e">
        <f>IFERROR(INDEX(Запчасти!C:C,MATCH(A38,Запчасти!B:B,0)),VLOOKUP(J38,Запчасти!A:C,3,0))</f>
        <v>#N/A</v>
      </c>
      <c r="M38" s="13">
        <f t="shared" si="0"/>
        <v>0</v>
      </c>
      <c r="N38" s="13" t="e">
        <f>IFERROR(INDEX(Запчасти!D:D,MATCH(A38,Запчасти!B:B,0)),VLOOKUP(J38,Запчасти!A:D,4,0))</f>
        <v>#N/A</v>
      </c>
      <c r="O38" s="15"/>
    </row>
    <row r="39" spans="1:15">
      <c r="A39" s="22"/>
      <c r="B39" s="19"/>
      <c r="J39" s="12">
        <f>IFERROR(INDEX(Запчасти!A:A,MATCH(A39,Запчасти!B:B,0)),VALUE(A39))</f>
        <v>0</v>
      </c>
      <c r="K39" s="13" t="e">
        <f>IFERROR(INDEX(Запчасти!B:B,MATCH(A39,Запчасти!B:B,0)),VLOOKUP(J39,Запчасти!A:B,2,0))</f>
        <v>#N/A</v>
      </c>
      <c r="L39" s="14" t="e">
        <f>IFERROR(INDEX(Запчасти!C:C,MATCH(A39,Запчасти!B:B,0)),VLOOKUP(J39,Запчасти!A:C,3,0))</f>
        <v>#N/A</v>
      </c>
      <c r="M39" s="13">
        <f t="shared" si="0"/>
        <v>0</v>
      </c>
      <c r="N39" s="13" t="e">
        <f>IFERROR(INDEX(Запчасти!D:D,MATCH(A39,Запчасти!B:B,0)),VLOOKUP(J39,Запчасти!A:D,4,0))</f>
        <v>#N/A</v>
      </c>
      <c r="O39" s="15"/>
    </row>
    <row r="40" spans="1:15">
      <c r="A40" s="22"/>
      <c r="B40" s="19"/>
      <c r="J40" s="12">
        <f>IFERROR(INDEX(Запчасти!A:A,MATCH(A40,Запчасти!B:B,0)),VALUE(A40))</f>
        <v>0</v>
      </c>
      <c r="K40" s="13" t="e">
        <f>IFERROR(INDEX(Запчасти!B:B,MATCH(A40,Запчасти!B:B,0)),VLOOKUP(J40,Запчасти!A:B,2,0))</f>
        <v>#N/A</v>
      </c>
      <c r="L40" s="14" t="e">
        <f>IFERROR(INDEX(Запчасти!C:C,MATCH(A40,Запчасти!B:B,0)),VLOOKUP(J40,Запчасти!A:C,3,0))</f>
        <v>#N/A</v>
      </c>
      <c r="M40" s="13">
        <f t="shared" si="0"/>
        <v>0</v>
      </c>
      <c r="N40" s="13" t="e">
        <f>IFERROR(INDEX(Запчасти!D:D,MATCH(A40,Запчасти!B:B,0)),VLOOKUP(J40,Запчасти!A:D,4,0))</f>
        <v>#N/A</v>
      </c>
      <c r="O40" s="15"/>
    </row>
    <row r="41" spans="1:15">
      <c r="A41" s="22"/>
      <c r="B41" s="19"/>
      <c r="J41" s="12">
        <f>IFERROR(INDEX(Запчасти!A:A,MATCH(A41,Запчасти!B:B,0)),VALUE(A41))</f>
        <v>0</v>
      </c>
      <c r="K41" s="13" t="e">
        <f>IFERROR(INDEX(Запчасти!B:B,MATCH(A41,Запчасти!B:B,0)),VLOOKUP(J41,Запчасти!A:B,2,0))</f>
        <v>#N/A</v>
      </c>
      <c r="L41" s="14" t="e">
        <f>IFERROR(INDEX(Запчасти!C:C,MATCH(A41,Запчасти!B:B,0)),VLOOKUP(J41,Запчасти!A:C,3,0))</f>
        <v>#N/A</v>
      </c>
      <c r="M41" s="13">
        <f t="shared" si="0"/>
        <v>0</v>
      </c>
      <c r="N41" s="13" t="e">
        <f>IFERROR(INDEX(Запчасти!D:D,MATCH(A41,Запчасти!B:B,0)),VLOOKUP(J41,Запчасти!A:D,4,0))</f>
        <v>#N/A</v>
      </c>
      <c r="O41" s="15"/>
    </row>
    <row r="42" spans="1:15">
      <c r="A42" s="22"/>
      <c r="B42" s="19"/>
      <c r="J42" s="12">
        <f>IFERROR(INDEX(Запчасти!A:A,MATCH(A42,Запчасти!B:B,0)),VALUE(A42))</f>
        <v>0</v>
      </c>
      <c r="K42" s="13" t="e">
        <f>IFERROR(INDEX(Запчасти!B:B,MATCH(A42,Запчасти!B:B,0)),VLOOKUP(J42,Запчасти!A:B,2,0))</f>
        <v>#N/A</v>
      </c>
      <c r="L42" s="14" t="e">
        <f>IFERROR(INDEX(Запчасти!C:C,MATCH(A42,Запчасти!B:B,0)),VLOOKUP(J42,Запчасти!A:C,3,0))</f>
        <v>#N/A</v>
      </c>
      <c r="M42" s="13">
        <f t="shared" si="0"/>
        <v>0</v>
      </c>
      <c r="N42" s="13" t="e">
        <f>IFERROR(INDEX(Запчасти!D:D,MATCH(A42,Запчасти!B:B,0)),VLOOKUP(J42,Запчасти!A:D,4,0))</f>
        <v>#N/A</v>
      </c>
      <c r="O42" s="15"/>
    </row>
    <row r="43" spans="1:15">
      <c r="A43" s="22"/>
      <c r="B43" s="19"/>
      <c r="J43" s="12">
        <f>IFERROR(INDEX(Запчасти!A:A,MATCH(A43,Запчасти!B:B,0)),VALUE(A43))</f>
        <v>0</v>
      </c>
      <c r="K43" s="13" t="e">
        <f>IFERROR(INDEX(Запчасти!B:B,MATCH(A43,Запчасти!B:B,0)),VLOOKUP(J43,Запчасти!A:B,2,0))</f>
        <v>#N/A</v>
      </c>
      <c r="L43" s="14" t="e">
        <f>IFERROR(INDEX(Запчасти!C:C,MATCH(A43,Запчасти!B:B,0)),VLOOKUP(J43,Запчасти!A:C,3,0))</f>
        <v>#N/A</v>
      </c>
      <c r="M43" s="13">
        <f t="shared" si="0"/>
        <v>0</v>
      </c>
      <c r="N43" s="13" t="e">
        <f>IFERROR(INDEX(Запчасти!D:D,MATCH(A43,Запчасти!B:B,0)),VLOOKUP(J43,Запчасти!A:D,4,0))</f>
        <v>#N/A</v>
      </c>
      <c r="O43" s="15"/>
    </row>
    <row r="44" spans="1:15">
      <c r="A44" s="22"/>
      <c r="B44" s="19"/>
      <c r="J44" s="12">
        <f>IFERROR(INDEX(Запчасти!A:A,MATCH(A44,Запчасти!B:B,0)),VALUE(A44))</f>
        <v>0</v>
      </c>
      <c r="K44" s="13" t="e">
        <f>IFERROR(INDEX(Запчасти!B:B,MATCH(A44,Запчасти!B:B,0)),VLOOKUP(J44,Запчасти!A:B,2,0))</f>
        <v>#N/A</v>
      </c>
      <c r="L44" s="14" t="e">
        <f>IFERROR(INDEX(Запчасти!C:C,MATCH(A44,Запчасти!B:B,0)),VLOOKUP(J44,Запчасти!A:C,3,0))</f>
        <v>#N/A</v>
      </c>
      <c r="M44" s="13">
        <f t="shared" si="0"/>
        <v>0</v>
      </c>
      <c r="N44" s="13" t="e">
        <f>IFERROR(INDEX(Запчасти!D:D,MATCH(A44,Запчасти!B:B,0)),VLOOKUP(J44,Запчасти!A:D,4,0))</f>
        <v>#N/A</v>
      </c>
      <c r="O44" s="15"/>
    </row>
    <row r="45" spans="1:15">
      <c r="A45" s="22"/>
      <c r="B45" s="19"/>
      <c r="J45" s="12">
        <f>IFERROR(INDEX(Запчасти!A:A,MATCH(A45,Запчасти!B:B,0)),VALUE(A45))</f>
        <v>0</v>
      </c>
      <c r="K45" s="13" t="e">
        <f>IFERROR(INDEX(Запчасти!B:B,MATCH(A45,Запчасти!B:B,0)),VLOOKUP(J45,Запчасти!A:B,2,0))</f>
        <v>#N/A</v>
      </c>
      <c r="L45" s="14" t="e">
        <f>IFERROR(INDEX(Запчасти!C:C,MATCH(A45,Запчасти!B:B,0)),VLOOKUP(J45,Запчасти!A:C,3,0))</f>
        <v>#N/A</v>
      </c>
      <c r="M45" s="13">
        <f t="shared" si="0"/>
        <v>0</v>
      </c>
      <c r="N45" s="13" t="e">
        <f>IFERROR(INDEX(Запчасти!D:D,MATCH(A45,Запчасти!B:B,0)),VLOOKUP(J45,Запчасти!A:D,4,0))</f>
        <v>#N/A</v>
      </c>
      <c r="O45" s="15"/>
    </row>
    <row r="46" spans="1:15">
      <c r="A46" s="22"/>
      <c r="B46" s="19"/>
      <c r="J46" s="12">
        <f>IFERROR(INDEX(Запчасти!A:A,MATCH(A46,Запчасти!B:B,0)),VALUE(A46))</f>
        <v>0</v>
      </c>
      <c r="K46" s="13" t="e">
        <f>IFERROR(INDEX(Запчасти!B:B,MATCH(A46,Запчасти!B:B,0)),VLOOKUP(J46,Запчасти!A:B,2,0))</f>
        <v>#N/A</v>
      </c>
      <c r="L46" s="14" t="e">
        <f>IFERROR(INDEX(Запчасти!C:C,MATCH(A46,Запчасти!B:B,0)),VLOOKUP(J46,Запчасти!A:C,3,0))</f>
        <v>#N/A</v>
      </c>
      <c r="M46" s="13">
        <f t="shared" si="0"/>
        <v>0</v>
      </c>
      <c r="N46" s="13" t="e">
        <f>IFERROR(INDEX(Запчасти!D:D,MATCH(A46,Запчасти!B:B,0)),VLOOKUP(J46,Запчасти!A:D,4,0))</f>
        <v>#N/A</v>
      </c>
      <c r="O46" s="15"/>
    </row>
    <row r="47" spans="1:15">
      <c r="A47" s="22"/>
      <c r="B47" s="19"/>
      <c r="J47" s="12">
        <f>IFERROR(INDEX(Запчасти!A:A,MATCH(A47,Запчасти!B:B,0)),VALUE(A47))</f>
        <v>0</v>
      </c>
      <c r="K47" s="13" t="e">
        <f>IFERROR(INDEX(Запчасти!B:B,MATCH(A47,Запчасти!B:B,0)),VLOOKUP(J47,Запчасти!A:B,2,0))</f>
        <v>#N/A</v>
      </c>
      <c r="L47" s="14" t="e">
        <f>IFERROR(INDEX(Запчасти!C:C,MATCH(A47,Запчасти!B:B,0)),VLOOKUP(J47,Запчасти!A:C,3,0))</f>
        <v>#N/A</v>
      </c>
      <c r="M47" s="13">
        <f t="shared" si="0"/>
        <v>0</v>
      </c>
      <c r="N47" s="13" t="e">
        <f>IFERROR(INDEX(Запчасти!D:D,MATCH(A47,Запчасти!B:B,0)),VLOOKUP(J47,Запчасти!A:D,4,0))</f>
        <v>#N/A</v>
      </c>
      <c r="O47" s="15"/>
    </row>
    <row r="48" spans="1:15">
      <c r="A48" s="22"/>
      <c r="B48" s="19"/>
      <c r="J48" s="12">
        <f>IFERROR(INDEX(Запчасти!A:A,MATCH(A48,Запчасти!B:B,0)),VALUE(A48))</f>
        <v>0</v>
      </c>
      <c r="K48" s="13" t="e">
        <f>IFERROR(INDEX(Запчасти!B:B,MATCH(A48,Запчасти!B:B,0)),VLOOKUP(J48,Запчасти!A:B,2,0))</f>
        <v>#N/A</v>
      </c>
      <c r="L48" s="14" t="e">
        <f>IFERROR(INDEX(Запчасти!C:C,MATCH(A48,Запчасти!B:B,0)),VLOOKUP(J48,Запчасти!A:C,3,0))</f>
        <v>#N/A</v>
      </c>
      <c r="M48" s="13">
        <f t="shared" si="0"/>
        <v>0</v>
      </c>
      <c r="N48" s="13" t="e">
        <f>IFERROR(INDEX(Запчасти!D:D,MATCH(A48,Запчасти!B:B,0)),VLOOKUP(J48,Запчасти!A:D,4,0))</f>
        <v>#N/A</v>
      </c>
      <c r="O48" s="15"/>
    </row>
    <row r="49" spans="10:14">
      <c r="J49" s="11"/>
      <c r="K49" s="11"/>
      <c r="L49" s="11"/>
      <c r="M49" s="11"/>
      <c r="N49" s="11"/>
    </row>
    <row r="50" spans="10:14">
      <c r="J50" s="11"/>
      <c r="K50" s="11"/>
      <c r="L50" s="11"/>
      <c r="M50" s="11"/>
      <c r="N50" s="11"/>
    </row>
    <row r="51" spans="10:14">
      <c r="J51" s="11"/>
      <c r="K51" s="11"/>
      <c r="L51" s="11"/>
      <c r="M51" s="11"/>
      <c r="N51" s="11"/>
    </row>
    <row r="52" spans="10:14">
      <c r="J52" s="11"/>
      <c r="K52" s="11"/>
      <c r="L52" s="11"/>
      <c r="M52" s="11"/>
      <c r="N52" s="11"/>
    </row>
    <row r="53" spans="10:14">
      <c r="J53" s="11"/>
      <c r="K53" s="11"/>
      <c r="L53" s="11"/>
      <c r="M53" s="11"/>
      <c r="N53" s="11"/>
    </row>
    <row r="54" spans="10:14">
      <c r="J54" s="11"/>
      <c r="K54" s="11"/>
      <c r="L54" s="11"/>
      <c r="M54" s="11"/>
      <c r="N54" s="11"/>
    </row>
    <row r="55" spans="10:14">
      <c r="J55" s="11"/>
      <c r="K55" s="11"/>
      <c r="L55" s="11"/>
      <c r="M55" s="11"/>
      <c r="N55" s="11"/>
    </row>
    <row r="56" spans="10:14">
      <c r="J56" s="11"/>
      <c r="K56" s="11"/>
      <c r="L56" s="11"/>
      <c r="M56" s="11"/>
      <c r="N56" s="11"/>
    </row>
    <row r="57" spans="10:14">
      <c r="J57" s="11"/>
      <c r="K57" s="11"/>
      <c r="L57" s="11"/>
      <c r="M57" s="11"/>
      <c r="N57" s="11"/>
    </row>
    <row r="58" spans="10:14">
      <c r="J58" s="11"/>
      <c r="K58" s="11"/>
      <c r="L58" s="11"/>
      <c r="M58" s="11"/>
      <c r="N58" s="11"/>
    </row>
    <row r="59" spans="10:14">
      <c r="J59" s="11"/>
      <c r="K59" s="11"/>
      <c r="L59" s="11"/>
      <c r="M59" s="11"/>
      <c r="N59" s="11"/>
    </row>
    <row r="60" spans="10:14">
      <c r="J60" s="11"/>
      <c r="K60" s="11"/>
      <c r="L60" s="11"/>
      <c r="M60" s="11"/>
      <c r="N60" s="11"/>
    </row>
    <row r="61" spans="10:14">
      <c r="J61" s="11"/>
      <c r="K61" s="11"/>
      <c r="L61" s="11"/>
      <c r="M61" s="11"/>
      <c r="N61" s="11"/>
    </row>
    <row r="62" spans="10:14">
      <c r="J62" s="11"/>
      <c r="K62" s="11"/>
      <c r="L62" s="11"/>
      <c r="M62" s="11"/>
      <c r="N62" s="11"/>
    </row>
    <row r="63" spans="10:14">
      <c r="J63" s="11"/>
      <c r="K63" s="11"/>
      <c r="L63" s="11"/>
      <c r="M63" s="11"/>
      <c r="N63" s="11"/>
    </row>
    <row r="64" spans="10:14">
      <c r="J64" s="11"/>
      <c r="K64" s="11"/>
      <c r="L64" s="11"/>
      <c r="M64" s="11"/>
      <c r="N64" s="11"/>
    </row>
    <row r="65" spans="10:14">
      <c r="J65" s="11"/>
      <c r="K65" s="11"/>
      <c r="L65" s="11"/>
      <c r="M65" s="11"/>
      <c r="N65" s="11"/>
    </row>
    <row r="66" spans="10:14">
      <c r="J66" s="11"/>
      <c r="K66" s="11"/>
      <c r="L66" s="11"/>
      <c r="M66" s="11"/>
      <c r="N66" s="11"/>
    </row>
    <row r="67" spans="10:14">
      <c r="J67" s="11"/>
      <c r="K67" s="11"/>
      <c r="L67" s="11"/>
      <c r="M67" s="11"/>
      <c r="N67" s="11"/>
    </row>
    <row r="68" spans="10:14">
      <c r="J68" s="11"/>
      <c r="K68" s="11"/>
      <c r="L68" s="11"/>
      <c r="M68" s="11"/>
      <c r="N68" s="11"/>
    </row>
    <row r="69" spans="10:14">
      <c r="J69" s="11"/>
      <c r="K69" s="11"/>
      <c r="L69" s="11"/>
      <c r="M69" s="11"/>
      <c r="N69" s="11"/>
    </row>
    <row r="70" spans="10:14">
      <c r="J70" s="11"/>
      <c r="K70" s="11"/>
      <c r="L70" s="11"/>
      <c r="M70" s="11"/>
      <c r="N70" s="11"/>
    </row>
    <row r="71" spans="10:14">
      <c r="J71" s="11"/>
      <c r="K71" s="11"/>
      <c r="L71" s="11"/>
      <c r="M71" s="11"/>
      <c r="N71" s="11"/>
    </row>
    <row r="72" spans="10:14">
      <c r="J72" s="11"/>
      <c r="K72" s="11"/>
      <c r="L72" s="11"/>
      <c r="M72" s="11"/>
      <c r="N72" s="11"/>
    </row>
    <row r="73" spans="10:14">
      <c r="J73" s="11"/>
      <c r="K73" s="11"/>
      <c r="L73" s="11"/>
      <c r="M73" s="11"/>
      <c r="N73" s="11"/>
    </row>
    <row r="74" spans="10:14">
      <c r="J74" s="11"/>
      <c r="K74" s="11"/>
      <c r="L74" s="11"/>
      <c r="M74" s="11"/>
      <c r="N74" s="11"/>
    </row>
    <row r="75" spans="10:14">
      <c r="J75" s="11"/>
      <c r="K75" s="11"/>
      <c r="L75" s="11"/>
      <c r="M75" s="11"/>
      <c r="N75" s="11"/>
    </row>
    <row r="76" spans="10:14">
      <c r="J76" s="11"/>
      <c r="K76" s="11"/>
      <c r="L76" s="11"/>
      <c r="M76" s="11"/>
      <c r="N76" s="11"/>
    </row>
    <row r="77" spans="10:14">
      <c r="J77" s="11"/>
      <c r="K77" s="11"/>
      <c r="L77" s="11"/>
      <c r="M77" s="11"/>
      <c r="N77" s="11"/>
    </row>
    <row r="78" spans="10:14">
      <c r="J78" s="11"/>
      <c r="K78" s="11"/>
      <c r="L78" s="11"/>
      <c r="M78" s="11"/>
      <c r="N78" s="11"/>
    </row>
    <row r="79" spans="10:14">
      <c r="J79" s="11"/>
      <c r="K79" s="11"/>
      <c r="L79" s="11"/>
      <c r="M79" s="11"/>
      <c r="N79" s="11"/>
    </row>
    <row r="80" spans="10:14">
      <c r="J80" s="11"/>
      <c r="K80" s="11"/>
      <c r="L80" s="11"/>
      <c r="M80" s="11"/>
      <c r="N80" s="11"/>
    </row>
    <row r="81" spans="10:14">
      <c r="J81" s="11"/>
      <c r="K81" s="11"/>
      <c r="L81" s="11"/>
      <c r="M81" s="11"/>
      <c r="N81" s="11"/>
    </row>
    <row r="82" spans="10:14">
      <c r="J82" s="11"/>
      <c r="K82" s="11"/>
      <c r="L82" s="11"/>
      <c r="M82" s="11"/>
      <c r="N82" s="11"/>
    </row>
    <row r="83" spans="10:14">
      <c r="J83" s="11"/>
      <c r="K83" s="11"/>
      <c r="L83" s="11"/>
      <c r="M83" s="11"/>
      <c r="N83" s="11"/>
    </row>
    <row r="84" spans="10:14">
      <c r="J84" s="11"/>
      <c r="K84" s="11"/>
      <c r="L84" s="11"/>
      <c r="M84" s="11"/>
      <c r="N84" s="11"/>
    </row>
    <row r="85" spans="10:14">
      <c r="J85" s="11"/>
      <c r="K85" s="11"/>
      <c r="L85" s="11"/>
      <c r="M85" s="11"/>
      <c r="N85" s="11"/>
    </row>
    <row r="86" spans="10:14">
      <c r="J86" s="11"/>
      <c r="K86" s="11"/>
      <c r="L86" s="11"/>
      <c r="M86" s="11"/>
      <c r="N86" s="11"/>
    </row>
    <row r="87" spans="10:14">
      <c r="J87" s="11"/>
      <c r="K87" s="11"/>
      <c r="L87" s="11"/>
      <c r="M87" s="11"/>
      <c r="N87" s="11"/>
    </row>
    <row r="88" spans="10:14">
      <c r="J88" s="11"/>
      <c r="K88" s="11"/>
      <c r="L88" s="11"/>
      <c r="M88" s="11"/>
      <c r="N88" s="11"/>
    </row>
    <row r="89" spans="10:14">
      <c r="J89" s="11"/>
      <c r="K89" s="11"/>
      <c r="L89" s="11"/>
      <c r="M89" s="11"/>
      <c r="N89" s="11"/>
    </row>
    <row r="90" spans="10:14">
      <c r="J90" s="11"/>
      <c r="K90" s="11"/>
      <c r="L90" s="11"/>
      <c r="M90" s="11"/>
      <c r="N90" s="11"/>
    </row>
    <row r="91" spans="10:14">
      <c r="J91" s="11"/>
      <c r="K91" s="11"/>
      <c r="L91" s="11"/>
      <c r="M91" s="11"/>
      <c r="N91" s="11"/>
    </row>
    <row r="92" spans="10:14">
      <c r="J92" s="11"/>
      <c r="K92" s="11"/>
      <c r="L92" s="11"/>
      <c r="M92" s="11"/>
      <c r="N92" s="11"/>
    </row>
    <row r="93" spans="10:14">
      <c r="J93" s="11"/>
      <c r="K93" s="11"/>
      <c r="L93" s="11"/>
      <c r="M93" s="11"/>
      <c r="N93" s="11"/>
    </row>
    <row r="94" spans="10:14">
      <c r="J94" s="11"/>
      <c r="K94" s="11"/>
      <c r="L94" s="11"/>
      <c r="M94" s="11"/>
      <c r="N94" s="11"/>
    </row>
    <row r="95" spans="10:14">
      <c r="J95" s="11"/>
      <c r="K95" s="11"/>
      <c r="L95" s="11"/>
      <c r="M95" s="11"/>
      <c r="N95" s="11"/>
    </row>
    <row r="96" spans="10:14">
      <c r="J96" s="11"/>
      <c r="K96" s="11"/>
      <c r="L96" s="11"/>
      <c r="M96" s="11"/>
      <c r="N96" s="11"/>
    </row>
    <row r="97" spans="10:14">
      <c r="J97" s="11"/>
      <c r="K97" s="11"/>
      <c r="L97" s="11"/>
      <c r="M97" s="11"/>
      <c r="N97" s="11"/>
    </row>
    <row r="98" spans="10:14">
      <c r="J98" s="11"/>
      <c r="K98" s="11"/>
      <c r="L98" s="11"/>
      <c r="M98" s="11"/>
      <c r="N98" s="11"/>
    </row>
    <row r="99" spans="10:14">
      <c r="J99" s="11"/>
      <c r="K99" s="11"/>
      <c r="L99" s="11"/>
      <c r="M99" s="11"/>
      <c r="N99" s="11"/>
    </row>
    <row r="100" spans="10:14">
      <c r="J100" s="11"/>
      <c r="K100" s="11"/>
      <c r="L100" s="11"/>
      <c r="M100" s="11"/>
      <c r="N100" s="11"/>
    </row>
    <row r="101" spans="10:14">
      <c r="J101" s="11"/>
      <c r="K101" s="11"/>
      <c r="L101" s="11"/>
      <c r="M101" s="11"/>
      <c r="N101" s="11"/>
    </row>
    <row r="102" spans="10:14">
      <c r="J102" s="11"/>
      <c r="K102" s="11"/>
      <c r="L102" s="11"/>
      <c r="M102" s="11"/>
      <c r="N102" s="11"/>
    </row>
    <row r="103" spans="10:14">
      <c r="J103" s="11"/>
      <c r="K103" s="11"/>
      <c r="L103" s="11"/>
      <c r="M103" s="11"/>
      <c r="N103" s="11"/>
    </row>
    <row r="104" spans="10:14">
      <c r="J104" s="11"/>
      <c r="K104" s="11"/>
      <c r="L104" s="11"/>
      <c r="M104" s="11"/>
      <c r="N104" s="11"/>
    </row>
    <row r="105" spans="10:14">
      <c r="J105" s="11"/>
      <c r="K105" s="11"/>
      <c r="L105" s="11"/>
      <c r="M105" s="11"/>
      <c r="N105" s="11"/>
    </row>
    <row r="106" spans="10:14">
      <c r="J106" s="11"/>
      <c r="K106" s="11"/>
      <c r="L106" s="11"/>
      <c r="M106" s="11"/>
      <c r="N106" s="11"/>
    </row>
    <row r="107" spans="10:14">
      <c r="J107" s="11"/>
      <c r="K107" s="11"/>
      <c r="L107" s="11"/>
      <c r="M107" s="11"/>
      <c r="N107" s="11"/>
    </row>
    <row r="108" spans="10:14">
      <c r="J108" s="11"/>
      <c r="K108" s="11"/>
      <c r="L108" s="11"/>
      <c r="M108" s="11"/>
      <c r="N108" s="11"/>
    </row>
    <row r="109" spans="10:14">
      <c r="J109" s="11"/>
      <c r="K109" s="11"/>
      <c r="L109" s="11"/>
      <c r="M109" s="11"/>
      <c r="N109" s="11"/>
    </row>
    <row r="110" spans="10:14">
      <c r="J110" s="11"/>
      <c r="K110" s="11"/>
      <c r="L110" s="11"/>
      <c r="M110" s="11"/>
      <c r="N110" s="11"/>
    </row>
    <row r="111" spans="10:14">
      <c r="J111" s="11"/>
      <c r="K111" s="11"/>
      <c r="L111" s="11"/>
      <c r="M111" s="11"/>
      <c r="N111" s="11"/>
    </row>
    <row r="112" spans="10:14">
      <c r="J112" s="11"/>
      <c r="K112" s="11"/>
      <c r="L112" s="11"/>
      <c r="M112" s="11"/>
      <c r="N112" s="11"/>
    </row>
    <row r="113" spans="10:14">
      <c r="J113" s="11"/>
      <c r="K113" s="11"/>
      <c r="L113" s="11"/>
      <c r="M113" s="11"/>
      <c r="N113" s="11"/>
    </row>
    <row r="114" spans="10:14">
      <c r="J114" s="11"/>
      <c r="K114" s="11"/>
      <c r="L114" s="11"/>
      <c r="M114" s="11"/>
      <c r="N114" s="11"/>
    </row>
    <row r="115" spans="10:14">
      <c r="J115" s="11"/>
      <c r="K115" s="11"/>
      <c r="L115" s="11"/>
      <c r="M115" s="11"/>
      <c r="N115" s="11"/>
    </row>
    <row r="116" spans="10:14">
      <c r="J116" s="11"/>
      <c r="K116" s="11"/>
      <c r="L116" s="11"/>
      <c r="M116" s="11"/>
      <c r="N116" s="11"/>
    </row>
    <row r="117" spans="10:14">
      <c r="J117" s="11"/>
      <c r="K117" s="11"/>
      <c r="L117" s="11"/>
      <c r="M117" s="11"/>
      <c r="N117" s="11"/>
    </row>
    <row r="118" spans="10:14">
      <c r="J118" s="11"/>
      <c r="K118" s="11"/>
      <c r="L118" s="11"/>
      <c r="M118" s="11"/>
      <c r="N118" s="11"/>
    </row>
    <row r="119" spans="10:14">
      <c r="J119" s="11"/>
      <c r="K119" s="11"/>
      <c r="L119" s="11"/>
      <c r="M119" s="11"/>
      <c r="N119" s="11"/>
    </row>
    <row r="120" spans="10:14">
      <c r="J120" s="11"/>
      <c r="K120" s="11"/>
      <c r="L120" s="11"/>
      <c r="M120" s="11"/>
      <c r="N120" s="11"/>
    </row>
    <row r="121" spans="10:14">
      <c r="J121" s="11"/>
      <c r="K121" s="11"/>
      <c r="L121" s="11"/>
      <c r="M121" s="11"/>
      <c r="N121" s="11"/>
    </row>
    <row r="122" spans="10:14">
      <c r="J122" s="11"/>
      <c r="K122" s="11"/>
      <c r="L122" s="11"/>
      <c r="M122" s="11"/>
      <c r="N122" s="11"/>
    </row>
    <row r="123" spans="10:14">
      <c r="J123" s="11"/>
      <c r="K123" s="11"/>
      <c r="L123" s="11"/>
      <c r="M123" s="11"/>
      <c r="N123" s="11"/>
    </row>
    <row r="124" spans="10:14">
      <c r="J124" s="11"/>
      <c r="K124" s="11"/>
      <c r="L124" s="11"/>
      <c r="M124" s="11"/>
      <c r="N124" s="11"/>
    </row>
    <row r="125" spans="10:14">
      <c r="J125" s="11"/>
      <c r="K125" s="11"/>
      <c r="L125" s="11"/>
      <c r="M125" s="11"/>
      <c r="N125" s="11"/>
    </row>
    <row r="126" spans="10:14">
      <c r="J126" s="11"/>
      <c r="K126" s="11"/>
      <c r="L126" s="11"/>
      <c r="M126" s="11"/>
      <c r="N126" s="11"/>
    </row>
    <row r="127" spans="10:14">
      <c r="J127" s="11"/>
      <c r="K127" s="11"/>
      <c r="L127" s="11"/>
      <c r="M127" s="11"/>
      <c r="N127" s="11"/>
    </row>
    <row r="128" spans="10:14">
      <c r="J128" s="11"/>
      <c r="K128" s="11"/>
      <c r="L128" s="11"/>
      <c r="M128" s="11"/>
      <c r="N128" s="11"/>
    </row>
    <row r="129" spans="10:14">
      <c r="J129" s="11"/>
      <c r="K129" s="11"/>
      <c r="L129" s="11"/>
      <c r="M129" s="11"/>
      <c r="N129" s="11"/>
    </row>
    <row r="130" spans="10:14">
      <c r="J130" s="11"/>
      <c r="K130" s="11"/>
      <c r="L130" s="11"/>
      <c r="M130" s="11"/>
      <c r="N130" s="11"/>
    </row>
    <row r="131" spans="10:14">
      <c r="J131" s="11"/>
      <c r="K131" s="11"/>
      <c r="L131" s="11"/>
      <c r="M131" s="11"/>
      <c r="N131" s="11"/>
    </row>
    <row r="132" spans="10:14">
      <c r="J132" s="11"/>
      <c r="K132" s="11"/>
      <c r="L132" s="11"/>
      <c r="M132" s="11"/>
      <c r="N132" s="11"/>
    </row>
    <row r="133" spans="10:14">
      <c r="J133" s="11"/>
      <c r="K133" s="11"/>
      <c r="L133" s="11"/>
      <c r="M133" s="11"/>
      <c r="N133" s="11"/>
    </row>
    <row r="134" spans="10:14">
      <c r="J134" s="11"/>
      <c r="K134" s="11"/>
      <c r="L134" s="11"/>
      <c r="M134" s="11"/>
      <c r="N134" s="11"/>
    </row>
    <row r="135" spans="10:14">
      <c r="J135" s="11"/>
      <c r="K135" s="11"/>
      <c r="L135" s="11"/>
      <c r="M135" s="11"/>
      <c r="N135" s="11"/>
    </row>
    <row r="136" spans="10:14">
      <c r="J136" s="11"/>
      <c r="K136" s="11"/>
      <c r="L136" s="11"/>
      <c r="M136" s="11"/>
      <c r="N136" s="11"/>
    </row>
    <row r="137" spans="10:14">
      <c r="J137" s="11"/>
      <c r="K137" s="11"/>
      <c r="L137" s="11"/>
      <c r="M137" s="11"/>
      <c r="N137" s="11"/>
    </row>
    <row r="138" spans="10:14">
      <c r="J138" s="11"/>
      <c r="K138" s="11"/>
      <c r="L138" s="11"/>
      <c r="M138" s="11"/>
      <c r="N138" s="11"/>
    </row>
    <row r="139" spans="10:14">
      <c r="J139" s="11"/>
      <c r="K139" s="11"/>
      <c r="L139" s="11"/>
      <c r="M139" s="11"/>
      <c r="N139" s="11"/>
    </row>
    <row r="140" spans="10:14">
      <c r="J140" s="11"/>
      <c r="K140" s="11"/>
      <c r="L140" s="11"/>
      <c r="M140" s="11"/>
      <c r="N140" s="11"/>
    </row>
    <row r="141" spans="10:14">
      <c r="J141" s="11"/>
      <c r="K141" s="11"/>
      <c r="L141" s="11"/>
      <c r="M141" s="11"/>
      <c r="N141" s="11"/>
    </row>
    <row r="142" spans="10:14">
      <c r="J142" s="11"/>
      <c r="K142" s="11"/>
      <c r="L142" s="11"/>
      <c r="M142" s="11"/>
      <c r="N142" s="11"/>
    </row>
    <row r="143" spans="10:14">
      <c r="J143" s="11"/>
      <c r="K143" s="11"/>
      <c r="L143" s="11"/>
      <c r="M143" s="11"/>
      <c r="N143" s="11"/>
    </row>
    <row r="144" spans="10:14">
      <c r="J144" s="11"/>
      <c r="K144" s="11"/>
      <c r="L144" s="11"/>
      <c r="M144" s="11"/>
      <c r="N144" s="11"/>
    </row>
    <row r="145" spans="10:14">
      <c r="J145" s="11"/>
      <c r="K145" s="11"/>
      <c r="L145" s="11"/>
      <c r="M145" s="11"/>
      <c r="N145" s="11"/>
    </row>
    <row r="146" spans="10:14">
      <c r="J146" s="11"/>
      <c r="K146" s="11"/>
      <c r="L146" s="11"/>
      <c r="M146" s="11"/>
      <c r="N146" s="11"/>
    </row>
    <row r="147" spans="10:14">
      <c r="J147" s="11"/>
      <c r="K147" s="11"/>
      <c r="L147" s="11"/>
      <c r="M147" s="11"/>
      <c r="N147" s="11"/>
    </row>
    <row r="148" spans="10:14">
      <c r="J148" s="11"/>
      <c r="K148" s="11"/>
      <c r="L148" s="11"/>
      <c r="M148" s="11"/>
      <c r="N148" s="11"/>
    </row>
    <row r="149" spans="10:14">
      <c r="J149" s="11"/>
      <c r="K149" s="11"/>
      <c r="L149" s="11"/>
      <c r="M149" s="11"/>
      <c r="N149" s="11"/>
    </row>
    <row r="150" spans="10:14">
      <c r="J150" s="11"/>
      <c r="K150" s="11"/>
      <c r="L150" s="11"/>
      <c r="M150" s="11"/>
      <c r="N150" s="11"/>
    </row>
    <row r="151" spans="10:14">
      <c r="J151" s="11"/>
      <c r="K151" s="11"/>
      <c r="L151" s="11"/>
      <c r="M151" s="11"/>
      <c r="N151" s="11"/>
    </row>
    <row r="152" spans="10:14">
      <c r="J152" s="11"/>
      <c r="K152" s="11"/>
      <c r="L152" s="11"/>
      <c r="M152" s="11"/>
      <c r="N152" s="11"/>
    </row>
    <row r="153" spans="10:14">
      <c r="J153" s="11"/>
      <c r="K153" s="11"/>
      <c r="L153" s="11"/>
      <c r="M153" s="11"/>
      <c r="N153" s="11"/>
    </row>
    <row r="154" spans="10:14">
      <c r="J154" s="11"/>
      <c r="K154" s="11"/>
      <c r="L154" s="11"/>
      <c r="M154" s="11"/>
      <c r="N154" s="11"/>
    </row>
    <row r="155" spans="10:14">
      <c r="J155" s="11"/>
      <c r="K155" s="11"/>
      <c r="L155" s="11"/>
      <c r="M155" s="11"/>
      <c r="N155" s="11"/>
    </row>
    <row r="156" spans="10:14">
      <c r="J156" s="11"/>
      <c r="K156" s="11"/>
      <c r="L156" s="11"/>
      <c r="M156" s="11"/>
      <c r="N156" s="11"/>
    </row>
    <row r="157" spans="10:14">
      <c r="J157" s="11"/>
      <c r="K157" s="11"/>
      <c r="L157" s="11"/>
      <c r="M157" s="11"/>
      <c r="N157" s="11"/>
    </row>
    <row r="158" spans="10:14">
      <c r="J158" s="11"/>
      <c r="K158" s="11"/>
      <c r="L158" s="11"/>
      <c r="M158" s="11"/>
      <c r="N158" s="11"/>
    </row>
    <row r="159" spans="10:14">
      <c r="J159" s="11"/>
      <c r="K159" s="11"/>
      <c r="L159" s="11"/>
      <c r="M159" s="11"/>
      <c r="N159" s="11"/>
    </row>
    <row r="160" spans="10:14">
      <c r="J160" s="11"/>
      <c r="K160" s="11"/>
      <c r="L160" s="11"/>
      <c r="M160" s="11"/>
      <c r="N160" s="11"/>
    </row>
    <row r="161" spans="10:14">
      <c r="J161" s="11"/>
      <c r="K161" s="11"/>
      <c r="L161" s="11"/>
      <c r="M161" s="11"/>
      <c r="N161" s="11"/>
    </row>
    <row r="162" spans="10:14">
      <c r="J162" s="11"/>
      <c r="K162" s="11"/>
      <c r="L162" s="11"/>
      <c r="M162" s="11"/>
      <c r="N162" s="11"/>
    </row>
    <row r="163" spans="10:14">
      <c r="J163" s="11"/>
      <c r="K163" s="11"/>
      <c r="L163" s="11"/>
      <c r="M163" s="11"/>
      <c r="N163" s="11"/>
    </row>
    <row r="164" spans="10:14">
      <c r="J164" s="11"/>
      <c r="K164" s="11"/>
      <c r="L164" s="11"/>
      <c r="M164" s="11"/>
      <c r="N164" s="11"/>
    </row>
    <row r="165" spans="10:14">
      <c r="J165" s="11"/>
      <c r="K165" s="11"/>
      <c r="L165" s="11"/>
      <c r="M165" s="11"/>
      <c r="N165" s="11"/>
    </row>
    <row r="166" spans="10:14">
      <c r="J166" s="11"/>
      <c r="K166" s="11"/>
      <c r="L166" s="11"/>
      <c r="M166" s="11"/>
      <c r="N166" s="11"/>
    </row>
    <row r="167" spans="10:14">
      <c r="J167" s="11"/>
      <c r="K167" s="11"/>
      <c r="L167" s="11"/>
      <c r="M167" s="11"/>
      <c r="N167" s="11"/>
    </row>
    <row r="168" spans="10:14">
      <c r="J168" s="11"/>
      <c r="K168" s="11"/>
      <c r="L168" s="11"/>
      <c r="M168" s="11"/>
      <c r="N168" s="11"/>
    </row>
    <row r="169" spans="10:14">
      <c r="J169" s="11"/>
      <c r="K169" s="11"/>
      <c r="L169" s="11"/>
      <c r="M169" s="11"/>
      <c r="N169" s="11"/>
    </row>
    <row r="170" spans="10:14">
      <c r="J170" s="11"/>
      <c r="K170" s="11"/>
      <c r="L170" s="11"/>
      <c r="M170" s="11"/>
      <c r="N170" s="11"/>
    </row>
    <row r="171" spans="10:14">
      <c r="J171" s="11"/>
      <c r="K171" s="11"/>
      <c r="L171" s="11"/>
      <c r="M171" s="11"/>
      <c r="N171" s="11"/>
    </row>
    <row r="172" spans="10:14">
      <c r="J172" s="11"/>
      <c r="K172" s="11"/>
      <c r="L172" s="11"/>
      <c r="M172" s="11"/>
      <c r="N172" s="11"/>
    </row>
    <row r="173" spans="10:14">
      <c r="J173" s="11"/>
      <c r="K173" s="11"/>
      <c r="L173" s="11"/>
      <c r="M173" s="11"/>
      <c r="N173" s="11"/>
    </row>
    <row r="174" spans="10:14">
      <c r="J174" s="11"/>
      <c r="K174" s="11"/>
      <c r="L174" s="11"/>
      <c r="M174" s="11"/>
      <c r="N174" s="11"/>
    </row>
    <row r="175" spans="10:14">
      <c r="J175" s="11"/>
      <c r="K175" s="11"/>
      <c r="L175" s="11"/>
      <c r="M175" s="11"/>
      <c r="N175" s="11"/>
    </row>
    <row r="176" spans="10:14">
      <c r="J176" s="11"/>
      <c r="K176" s="11"/>
      <c r="L176" s="11"/>
      <c r="M176" s="11"/>
      <c r="N176" s="11"/>
    </row>
    <row r="177" spans="10:14">
      <c r="J177" s="11"/>
      <c r="K177" s="11"/>
      <c r="L177" s="11"/>
      <c r="M177" s="11"/>
      <c r="N177" s="11"/>
    </row>
    <row r="178" spans="10:14">
      <c r="J178" s="11"/>
      <c r="K178" s="11"/>
      <c r="L178" s="11"/>
      <c r="M178" s="11"/>
      <c r="N178" s="11"/>
    </row>
    <row r="179" spans="10:14">
      <c r="J179" s="11"/>
      <c r="K179" s="11"/>
      <c r="L179" s="11"/>
      <c r="M179" s="11"/>
      <c r="N179" s="11"/>
    </row>
    <row r="180" spans="10:14">
      <c r="J180" s="11"/>
      <c r="K180" s="11"/>
      <c r="L180" s="11"/>
      <c r="M180" s="11"/>
      <c r="N180" s="11"/>
    </row>
    <row r="181" spans="10:14">
      <c r="J181" s="11"/>
      <c r="K181" s="11"/>
      <c r="L181" s="11"/>
      <c r="M181" s="11"/>
      <c r="N181" s="11"/>
    </row>
    <row r="182" spans="10:14">
      <c r="J182" s="11"/>
      <c r="K182" s="11"/>
      <c r="L182" s="11"/>
      <c r="M182" s="11"/>
      <c r="N182" s="11"/>
    </row>
    <row r="183" spans="10:14">
      <c r="J183" s="11"/>
      <c r="K183" s="11"/>
      <c r="L183" s="11"/>
      <c r="M183" s="11"/>
      <c r="N183" s="11"/>
    </row>
    <row r="184" spans="10:14">
      <c r="J184" s="11"/>
      <c r="K184" s="11"/>
      <c r="L184" s="11"/>
      <c r="M184" s="11"/>
      <c r="N184" s="11"/>
    </row>
    <row r="185" spans="10:14">
      <c r="J185" s="11"/>
      <c r="K185" s="11"/>
      <c r="L185" s="11"/>
      <c r="M185" s="11"/>
      <c r="N185" s="11"/>
    </row>
    <row r="186" spans="10:14">
      <c r="J186" s="11"/>
      <c r="K186" s="11"/>
      <c r="L186" s="11"/>
      <c r="M186" s="11"/>
      <c r="N186" s="11"/>
    </row>
    <row r="187" spans="10:14">
      <c r="J187" s="11"/>
      <c r="K187" s="11"/>
      <c r="L187" s="11"/>
      <c r="M187" s="11"/>
      <c r="N187" s="11"/>
    </row>
    <row r="188" spans="10:14">
      <c r="J188" s="11"/>
      <c r="K188" s="11"/>
      <c r="L188" s="11"/>
      <c r="M188" s="11"/>
      <c r="N188" s="11"/>
    </row>
    <row r="189" spans="10:14">
      <c r="J189" s="11"/>
      <c r="K189" s="11"/>
      <c r="L189" s="11"/>
      <c r="M189" s="11"/>
      <c r="N189" s="11"/>
    </row>
    <row r="190" spans="10:14">
      <c r="J190" s="11"/>
      <c r="K190" s="11"/>
      <c r="L190" s="11"/>
      <c r="M190" s="11"/>
      <c r="N190" s="11"/>
    </row>
    <row r="191" spans="10:14">
      <c r="J191" s="11"/>
      <c r="K191" s="11"/>
      <c r="L191" s="11"/>
      <c r="M191" s="11"/>
      <c r="N191" s="11"/>
    </row>
    <row r="192" spans="10:14">
      <c r="J192" s="11"/>
      <c r="K192" s="11"/>
      <c r="L192" s="11"/>
      <c r="M192" s="11"/>
      <c r="N192" s="11"/>
    </row>
    <row r="193" spans="10:14">
      <c r="J193" s="11"/>
      <c r="K193" s="11"/>
      <c r="L193" s="11"/>
      <c r="M193" s="11"/>
      <c r="N193" s="11"/>
    </row>
    <row r="194" spans="10:14">
      <c r="J194" s="11"/>
      <c r="K194" s="11"/>
      <c r="L194" s="11"/>
      <c r="M194" s="11"/>
      <c r="N194" s="11"/>
    </row>
    <row r="195" spans="10:14">
      <c r="J195" s="11"/>
      <c r="K195" s="11"/>
      <c r="L195" s="11"/>
      <c r="M195" s="11"/>
      <c r="N195" s="11"/>
    </row>
    <row r="196" spans="10:14">
      <c r="J196" s="11"/>
      <c r="K196" s="11"/>
      <c r="L196" s="11"/>
      <c r="M196" s="11"/>
      <c r="N196" s="11"/>
    </row>
    <row r="197" spans="10:14">
      <c r="J197" s="11"/>
      <c r="K197" s="11"/>
      <c r="L197" s="11"/>
      <c r="M197" s="11"/>
      <c r="N197" s="11"/>
    </row>
    <row r="198" spans="10:14">
      <c r="J198" s="11"/>
      <c r="K198" s="11"/>
      <c r="L198" s="11"/>
      <c r="M198" s="11"/>
      <c r="N198" s="11"/>
    </row>
    <row r="199" spans="10:14">
      <c r="J199" s="11"/>
      <c r="K199" s="11"/>
      <c r="L199" s="11"/>
      <c r="M199" s="11"/>
      <c r="N199" s="11"/>
    </row>
    <row r="200" spans="10:14">
      <c r="J200" s="11"/>
      <c r="K200" s="11"/>
      <c r="L200" s="11"/>
      <c r="M200" s="11"/>
      <c r="N200" s="11"/>
    </row>
    <row r="201" spans="10:14">
      <c r="J201" s="11"/>
      <c r="K201" s="11"/>
      <c r="L201" s="11"/>
      <c r="M201" s="11"/>
      <c r="N201" s="11"/>
    </row>
    <row r="202" spans="10:14">
      <c r="J202" s="11"/>
      <c r="K202" s="11"/>
      <c r="L202" s="11"/>
      <c r="M202" s="11"/>
      <c r="N202" s="11"/>
    </row>
    <row r="203" spans="10:14">
      <c r="J203" s="11"/>
      <c r="K203" s="11"/>
      <c r="L203" s="11"/>
      <c r="M203" s="11"/>
      <c r="N203" s="11"/>
    </row>
    <row r="204" spans="10:14">
      <c r="J204" s="11"/>
      <c r="K204" s="11"/>
      <c r="L204" s="11"/>
      <c r="M204" s="11"/>
      <c r="N204" s="11"/>
    </row>
    <row r="205" spans="10:14">
      <c r="J205" s="11"/>
      <c r="K205" s="11"/>
      <c r="L205" s="11"/>
      <c r="M205" s="11"/>
      <c r="N205" s="11"/>
    </row>
    <row r="206" spans="10:14">
      <c r="J206" s="11"/>
      <c r="K206" s="11"/>
      <c r="L206" s="11"/>
      <c r="M206" s="11"/>
      <c r="N206" s="11"/>
    </row>
    <row r="207" spans="10:14">
      <c r="J207" s="11"/>
      <c r="K207" s="11"/>
      <c r="L207" s="11"/>
      <c r="M207" s="11"/>
      <c r="N207" s="11"/>
    </row>
    <row r="208" spans="10:14">
      <c r="J208" s="11"/>
      <c r="K208" s="11"/>
      <c r="L208" s="11"/>
      <c r="M208" s="11"/>
      <c r="N208" s="11"/>
    </row>
    <row r="209" spans="10:14">
      <c r="J209" s="11"/>
      <c r="K209" s="11"/>
      <c r="L209" s="11"/>
      <c r="M209" s="11"/>
      <c r="N209" s="11"/>
    </row>
    <row r="210" spans="10:14">
      <c r="J210" s="11"/>
      <c r="K210" s="11"/>
      <c r="L210" s="11"/>
      <c r="M210" s="11"/>
      <c r="N210" s="11"/>
    </row>
    <row r="211" spans="10:14">
      <c r="J211" s="11"/>
      <c r="K211" s="11"/>
      <c r="L211" s="11"/>
      <c r="M211" s="11"/>
      <c r="N211" s="11"/>
    </row>
    <row r="212" spans="10:14">
      <c r="J212" s="11"/>
      <c r="K212" s="11"/>
      <c r="L212" s="11"/>
      <c r="M212" s="11"/>
      <c r="N212" s="11"/>
    </row>
    <row r="213" spans="10:14">
      <c r="J213" s="11"/>
      <c r="K213" s="11"/>
      <c r="L213" s="11"/>
      <c r="M213" s="11"/>
      <c r="N213" s="11"/>
    </row>
    <row r="214" spans="10:14">
      <c r="J214" s="11"/>
      <c r="K214" s="11"/>
      <c r="L214" s="11"/>
      <c r="M214" s="11"/>
      <c r="N214" s="11"/>
    </row>
    <row r="215" spans="10:14">
      <c r="J215" s="11"/>
      <c r="K215" s="11"/>
      <c r="L215" s="11"/>
      <c r="M215" s="11"/>
      <c r="N215" s="11"/>
    </row>
    <row r="216" spans="10:14">
      <c r="J216" s="11"/>
      <c r="K216" s="11"/>
      <c r="L216" s="11"/>
      <c r="M216" s="11"/>
      <c r="N216" s="11"/>
    </row>
    <row r="217" spans="10:14">
      <c r="J217" s="11"/>
      <c r="K217" s="11"/>
      <c r="L217" s="11"/>
      <c r="M217" s="11"/>
      <c r="N217" s="11"/>
    </row>
    <row r="218" spans="10:14">
      <c r="J218" s="11"/>
      <c r="K218" s="11"/>
      <c r="L218" s="11"/>
      <c r="M218" s="11"/>
      <c r="N218" s="11"/>
    </row>
    <row r="219" spans="10:14">
      <c r="J219" s="11"/>
      <c r="K219" s="11"/>
      <c r="L219" s="11"/>
      <c r="M219" s="11"/>
      <c r="N219" s="11"/>
    </row>
    <row r="220" spans="10:14">
      <c r="J220" s="11"/>
      <c r="K220" s="11"/>
      <c r="L220" s="11"/>
      <c r="M220" s="11"/>
      <c r="N220" s="11"/>
    </row>
    <row r="221" spans="10:14">
      <c r="J221" s="11"/>
      <c r="K221" s="11"/>
      <c r="L221" s="11"/>
      <c r="M221" s="11"/>
      <c r="N221" s="11"/>
    </row>
    <row r="222" spans="10:14">
      <c r="J222" s="11"/>
      <c r="K222" s="11"/>
      <c r="L222" s="11"/>
      <c r="M222" s="11"/>
      <c r="N222" s="11"/>
    </row>
    <row r="223" spans="10:14">
      <c r="J223" s="11"/>
      <c r="K223" s="11"/>
      <c r="L223" s="11"/>
      <c r="M223" s="11"/>
      <c r="N223" s="11"/>
    </row>
    <row r="224" spans="10:14">
      <c r="J224" s="11"/>
      <c r="K224" s="11"/>
      <c r="L224" s="11"/>
      <c r="M224" s="11"/>
      <c r="N224" s="11"/>
    </row>
    <row r="225" spans="10:14">
      <c r="J225" s="11"/>
      <c r="K225" s="11"/>
      <c r="L225" s="11"/>
      <c r="M225" s="11"/>
      <c r="N225" s="11"/>
    </row>
    <row r="226" spans="10:14">
      <c r="J226" s="11"/>
      <c r="K226" s="11"/>
      <c r="L226" s="11"/>
      <c r="M226" s="11"/>
      <c r="N226" s="11"/>
    </row>
    <row r="227" spans="10:14">
      <c r="J227" s="11"/>
      <c r="K227" s="11"/>
      <c r="L227" s="11"/>
      <c r="M227" s="11"/>
      <c r="N227" s="11"/>
    </row>
    <row r="228" spans="10:14">
      <c r="J228" s="11"/>
      <c r="K228" s="11"/>
      <c r="L228" s="11"/>
      <c r="M228" s="11"/>
      <c r="N228" s="11"/>
    </row>
    <row r="229" spans="10:14">
      <c r="J229" s="11"/>
      <c r="K229" s="11"/>
      <c r="L229" s="11"/>
      <c r="M229" s="11"/>
      <c r="N229" s="11"/>
    </row>
    <row r="230" spans="10:14">
      <c r="J230" s="11"/>
      <c r="K230" s="11"/>
      <c r="L230" s="11"/>
      <c r="M230" s="11"/>
      <c r="N230" s="11"/>
    </row>
    <row r="231" spans="10:14">
      <c r="J231" s="11"/>
      <c r="K231" s="11"/>
      <c r="L231" s="11"/>
      <c r="M231" s="11"/>
      <c r="N231" s="11"/>
    </row>
    <row r="232" spans="10:14">
      <c r="J232" s="11"/>
      <c r="K232" s="11"/>
      <c r="L232" s="11"/>
      <c r="M232" s="11"/>
      <c r="N232" s="11"/>
    </row>
    <row r="233" spans="10:14">
      <c r="J233" s="11"/>
      <c r="K233" s="11"/>
      <c r="L233" s="11"/>
      <c r="M233" s="11"/>
      <c r="N233" s="11"/>
    </row>
    <row r="234" spans="10:14">
      <c r="J234" s="11"/>
      <c r="K234" s="11"/>
      <c r="L234" s="11"/>
      <c r="M234" s="11"/>
      <c r="N234" s="11"/>
    </row>
    <row r="235" spans="10:14">
      <c r="J235" s="11"/>
      <c r="K235" s="11"/>
      <c r="L235" s="11"/>
      <c r="M235" s="11"/>
      <c r="N235" s="11"/>
    </row>
    <row r="236" spans="10:14">
      <c r="J236" s="11"/>
      <c r="K236" s="11"/>
      <c r="L236" s="11"/>
      <c r="M236" s="11"/>
      <c r="N236" s="11"/>
    </row>
    <row r="237" spans="10:14">
      <c r="J237" s="11"/>
      <c r="K237" s="11"/>
      <c r="L237" s="11"/>
      <c r="M237" s="11"/>
      <c r="N237" s="11"/>
    </row>
    <row r="238" spans="10:14">
      <c r="J238" s="11"/>
      <c r="K238" s="11"/>
      <c r="L238" s="11"/>
      <c r="M238" s="11"/>
      <c r="N238" s="11"/>
    </row>
    <row r="239" spans="10:14">
      <c r="J239" s="11"/>
      <c r="K239" s="11"/>
      <c r="L239" s="11"/>
      <c r="M239" s="11"/>
      <c r="N239" s="11"/>
    </row>
    <row r="240" spans="10:14">
      <c r="J240" s="11"/>
      <c r="K240" s="11"/>
      <c r="L240" s="11"/>
      <c r="M240" s="11"/>
      <c r="N240" s="11"/>
    </row>
    <row r="241" spans="10:14">
      <c r="J241" s="11"/>
      <c r="K241" s="11"/>
      <c r="L241" s="11"/>
      <c r="M241" s="11"/>
      <c r="N241" s="11"/>
    </row>
    <row r="242" spans="10:14">
      <c r="J242" s="11"/>
      <c r="K242" s="11"/>
      <c r="L242" s="11"/>
      <c r="M242" s="11"/>
      <c r="N242" s="11"/>
    </row>
    <row r="243" spans="10:14">
      <c r="J243" s="11"/>
      <c r="K243" s="11"/>
      <c r="L243" s="11"/>
      <c r="M243" s="11"/>
      <c r="N243" s="11"/>
    </row>
    <row r="244" spans="10:14">
      <c r="J244" s="11"/>
      <c r="K244" s="11"/>
      <c r="L244" s="11"/>
      <c r="M244" s="11"/>
      <c r="N244" s="11"/>
    </row>
    <row r="245" spans="10:14">
      <c r="J245" s="11"/>
      <c r="K245" s="11"/>
      <c r="L245" s="11"/>
      <c r="M245" s="11"/>
      <c r="N245" s="11"/>
    </row>
    <row r="246" spans="10:14">
      <c r="J246" s="11"/>
      <c r="K246" s="11"/>
      <c r="L246" s="11"/>
      <c r="M246" s="11"/>
      <c r="N246" s="11"/>
    </row>
    <row r="247" spans="10:14">
      <c r="J247" s="11"/>
      <c r="K247" s="11"/>
      <c r="L247" s="11"/>
      <c r="M247" s="11"/>
      <c r="N247" s="11"/>
    </row>
    <row r="248" spans="10:14">
      <c r="J248" s="11"/>
      <c r="K248" s="11"/>
      <c r="L248" s="11"/>
      <c r="M248" s="11"/>
      <c r="N248" s="11"/>
    </row>
    <row r="249" spans="10:14">
      <c r="J249" s="11"/>
      <c r="K249" s="11"/>
      <c r="L249" s="11"/>
      <c r="M249" s="11"/>
      <c r="N249" s="11"/>
    </row>
    <row r="250" spans="10:14">
      <c r="J250" s="11"/>
      <c r="K250" s="11"/>
      <c r="L250" s="11"/>
      <c r="M250" s="11"/>
      <c r="N250" s="11"/>
    </row>
    <row r="251" spans="10:14">
      <c r="J251" s="11"/>
      <c r="K251" s="11"/>
      <c r="L251" s="11"/>
      <c r="M251" s="11"/>
      <c r="N251" s="11"/>
    </row>
    <row r="252" spans="10:14">
      <c r="J252" s="11"/>
      <c r="K252" s="11"/>
      <c r="L252" s="11"/>
      <c r="M252" s="11"/>
      <c r="N252" s="11"/>
    </row>
    <row r="253" spans="10:14">
      <c r="J253" s="11"/>
      <c r="K253" s="11"/>
      <c r="L253" s="11"/>
      <c r="M253" s="11"/>
      <c r="N253" s="11"/>
    </row>
    <row r="254" spans="10:14">
      <c r="J254" s="11"/>
      <c r="K254" s="11"/>
      <c r="L254" s="11"/>
      <c r="M254" s="11"/>
      <c r="N254" s="11"/>
    </row>
    <row r="255" spans="10:14">
      <c r="J255" s="11"/>
      <c r="K255" s="11"/>
      <c r="L255" s="11"/>
      <c r="M255" s="11"/>
      <c r="N255" s="11"/>
    </row>
    <row r="256" spans="10:14">
      <c r="J256" s="11"/>
      <c r="K256" s="11"/>
      <c r="L256" s="11"/>
      <c r="M256" s="11"/>
      <c r="N256" s="11"/>
    </row>
    <row r="257" spans="10:14">
      <c r="J257" s="11"/>
      <c r="K257" s="11"/>
      <c r="L257" s="11"/>
      <c r="M257" s="11"/>
      <c r="N257" s="11"/>
    </row>
    <row r="258" spans="10:14">
      <c r="J258" s="11"/>
      <c r="K258" s="11"/>
      <c r="L258" s="11"/>
      <c r="M258" s="11"/>
      <c r="N258" s="11"/>
    </row>
    <row r="259" spans="10:14">
      <c r="J259" s="11"/>
      <c r="K259" s="11"/>
      <c r="L259" s="11"/>
      <c r="M259" s="11"/>
      <c r="N259" s="11"/>
    </row>
    <row r="260" spans="10:14">
      <c r="J260" s="11"/>
      <c r="K260" s="11"/>
      <c r="L260" s="11"/>
      <c r="M260" s="11"/>
      <c r="N260" s="11"/>
    </row>
    <row r="261" spans="10:14">
      <c r="J261" s="11"/>
      <c r="K261" s="11"/>
      <c r="L261" s="11"/>
      <c r="M261" s="11"/>
      <c r="N261" s="11"/>
    </row>
    <row r="262" spans="10:14">
      <c r="J262" s="11"/>
      <c r="K262" s="11"/>
      <c r="L262" s="11"/>
      <c r="M262" s="11"/>
      <c r="N262" s="11"/>
    </row>
    <row r="263" spans="10:14">
      <c r="J263" s="11"/>
      <c r="K263" s="11"/>
      <c r="L263" s="11"/>
      <c r="M263" s="11"/>
      <c r="N263" s="11"/>
    </row>
    <row r="264" spans="10:14">
      <c r="J264" s="11"/>
      <c r="K264" s="11"/>
      <c r="L264" s="11"/>
      <c r="M264" s="11"/>
      <c r="N264" s="11"/>
    </row>
    <row r="265" spans="10:14">
      <c r="J265" s="11"/>
      <c r="K265" s="11"/>
      <c r="L265" s="11"/>
      <c r="M265" s="11"/>
      <c r="N265" s="11"/>
    </row>
    <row r="266" spans="10:14">
      <c r="J266" s="11"/>
      <c r="K266" s="11"/>
      <c r="L266" s="11"/>
      <c r="M266" s="11"/>
      <c r="N266" s="11"/>
    </row>
    <row r="267" spans="10:14">
      <c r="J267" s="11"/>
      <c r="K267" s="11"/>
      <c r="L267" s="11"/>
      <c r="M267" s="11"/>
      <c r="N267" s="11"/>
    </row>
    <row r="268" spans="10:14">
      <c r="J268" s="11"/>
      <c r="K268" s="11"/>
      <c r="L268" s="11"/>
      <c r="M268" s="11"/>
      <c r="N268" s="11"/>
    </row>
    <row r="269" spans="10:14">
      <c r="J269" s="11"/>
      <c r="K269" s="11"/>
      <c r="L269" s="11"/>
      <c r="M269" s="11"/>
      <c r="N269" s="11"/>
    </row>
    <row r="270" spans="10:14">
      <c r="J270" s="11"/>
      <c r="K270" s="11"/>
      <c r="L270" s="11"/>
      <c r="M270" s="11"/>
      <c r="N270" s="11"/>
    </row>
    <row r="271" spans="10:14">
      <c r="J271" s="11"/>
      <c r="K271" s="11"/>
      <c r="L271" s="11"/>
      <c r="M271" s="11"/>
      <c r="N271" s="11"/>
    </row>
    <row r="272" spans="10:14">
      <c r="J272" s="11"/>
      <c r="K272" s="11"/>
      <c r="L272" s="11"/>
      <c r="M272" s="11"/>
      <c r="N272" s="11"/>
    </row>
    <row r="273" spans="10:14">
      <c r="J273" s="11"/>
      <c r="K273" s="11"/>
      <c r="L273" s="11"/>
      <c r="M273" s="11"/>
      <c r="N273" s="11"/>
    </row>
    <row r="274" spans="10:14">
      <c r="J274" s="11"/>
      <c r="K274" s="11"/>
      <c r="L274" s="11"/>
      <c r="M274" s="11"/>
      <c r="N274" s="11"/>
    </row>
    <row r="275" spans="10:14">
      <c r="J275" s="11"/>
      <c r="K275" s="11"/>
      <c r="L275" s="11"/>
      <c r="M275" s="11"/>
      <c r="N275" s="11"/>
    </row>
    <row r="276" spans="10:14">
      <c r="J276" s="11"/>
      <c r="K276" s="11"/>
      <c r="L276" s="11"/>
      <c r="M276" s="11"/>
      <c r="N276" s="11"/>
    </row>
    <row r="277" spans="10:14">
      <c r="J277" s="11"/>
      <c r="K277" s="11"/>
      <c r="L277" s="11"/>
      <c r="M277" s="11"/>
      <c r="N277" s="11"/>
    </row>
    <row r="278" spans="10:14">
      <c r="J278" s="11"/>
      <c r="K278" s="11"/>
      <c r="L278" s="11"/>
      <c r="M278" s="11"/>
      <c r="N278" s="11"/>
    </row>
    <row r="279" spans="10:14">
      <c r="J279" s="11"/>
      <c r="K279" s="11"/>
      <c r="L279" s="11"/>
      <c r="M279" s="11"/>
      <c r="N279" s="11"/>
    </row>
    <row r="280" spans="10:14">
      <c r="J280" s="11"/>
      <c r="K280" s="11"/>
      <c r="L280" s="11"/>
      <c r="M280" s="11"/>
      <c r="N280" s="11"/>
    </row>
    <row r="281" spans="10:14">
      <c r="J281" s="11"/>
      <c r="K281" s="11"/>
      <c r="L281" s="11"/>
      <c r="M281" s="11"/>
      <c r="N281" s="11"/>
    </row>
    <row r="282" spans="10:14">
      <c r="J282" s="11"/>
      <c r="K282" s="11"/>
      <c r="L282" s="11"/>
      <c r="M282" s="11"/>
      <c r="N282" s="11"/>
    </row>
    <row r="283" spans="10:14">
      <c r="J283" s="11"/>
      <c r="K283" s="11"/>
      <c r="L283" s="11"/>
      <c r="M283" s="11"/>
      <c r="N283" s="11"/>
    </row>
    <row r="284" spans="10:14">
      <c r="J284" s="11"/>
      <c r="K284" s="11"/>
      <c r="L284" s="11"/>
      <c r="M284" s="11"/>
      <c r="N284" s="11"/>
    </row>
    <row r="285" spans="10:14">
      <c r="J285" s="11"/>
      <c r="K285" s="11"/>
      <c r="L285" s="11"/>
      <c r="M285" s="11"/>
      <c r="N285" s="11"/>
    </row>
    <row r="286" spans="10:14">
      <c r="J286" s="11"/>
      <c r="K286" s="11"/>
      <c r="L286" s="11"/>
      <c r="M286" s="11"/>
      <c r="N286" s="11"/>
    </row>
    <row r="287" spans="10:14">
      <c r="J287" s="11"/>
      <c r="K287" s="11"/>
      <c r="L287" s="11"/>
      <c r="M287" s="11"/>
      <c r="N287" s="11"/>
    </row>
    <row r="288" spans="10:14">
      <c r="J288" s="11"/>
      <c r="K288" s="11"/>
      <c r="L288" s="11"/>
      <c r="M288" s="11"/>
      <c r="N288" s="11"/>
    </row>
    <row r="289" spans="10:14">
      <c r="J289" s="11"/>
      <c r="K289" s="11"/>
      <c r="L289" s="11"/>
      <c r="M289" s="11"/>
      <c r="N289" s="11"/>
    </row>
    <row r="290" spans="10:14">
      <c r="J290" s="11"/>
      <c r="K290" s="11"/>
      <c r="L290" s="11"/>
      <c r="M290" s="11"/>
      <c r="N290" s="11"/>
    </row>
    <row r="291" spans="10:14">
      <c r="J291" s="11"/>
      <c r="K291" s="11"/>
      <c r="L291" s="11"/>
      <c r="M291" s="11"/>
      <c r="N291" s="11"/>
    </row>
    <row r="292" spans="10:14">
      <c r="J292" s="11"/>
      <c r="K292" s="11"/>
      <c r="L292" s="11"/>
      <c r="M292" s="11"/>
      <c r="N292" s="11"/>
    </row>
    <row r="293" spans="10:14">
      <c r="J293" s="11"/>
      <c r="K293" s="11"/>
      <c r="L293" s="11"/>
      <c r="M293" s="11"/>
      <c r="N293" s="11"/>
    </row>
    <row r="294" spans="10:14">
      <c r="J294" s="11"/>
      <c r="K294" s="11"/>
      <c r="L294" s="11"/>
      <c r="M294" s="11"/>
      <c r="N294" s="11"/>
    </row>
    <row r="295" spans="10:14">
      <c r="J295" s="11"/>
      <c r="K295" s="11"/>
      <c r="L295" s="11"/>
      <c r="M295" s="11"/>
      <c r="N295" s="11"/>
    </row>
    <row r="296" spans="10:14">
      <c r="J296" s="11"/>
      <c r="K296" s="11"/>
      <c r="L296" s="11"/>
      <c r="M296" s="11"/>
      <c r="N296" s="11"/>
    </row>
    <row r="297" spans="10:14">
      <c r="J297" s="11"/>
      <c r="K297" s="11"/>
      <c r="L297" s="11"/>
      <c r="M297" s="11"/>
      <c r="N297" s="11"/>
    </row>
    <row r="298" spans="10:14">
      <c r="J298" s="11"/>
      <c r="K298" s="11"/>
      <c r="L298" s="11"/>
      <c r="M298" s="11"/>
      <c r="N298" s="11"/>
    </row>
    <row r="299" spans="10:14">
      <c r="J299" s="11"/>
      <c r="K299" s="11"/>
      <c r="L299" s="11"/>
      <c r="M299" s="11"/>
      <c r="N299" s="11"/>
    </row>
    <row r="300" spans="10:14">
      <c r="J300" s="11"/>
      <c r="K300" s="11"/>
      <c r="L300" s="11"/>
      <c r="M300" s="11"/>
      <c r="N300" s="11"/>
    </row>
    <row r="301" spans="10:14">
      <c r="J301" s="11"/>
      <c r="K301" s="11"/>
      <c r="L301" s="11"/>
      <c r="M301" s="11"/>
      <c r="N301" s="11"/>
    </row>
    <row r="302" spans="10:14">
      <c r="J302" s="11"/>
      <c r="K302" s="11"/>
      <c r="L302" s="11"/>
      <c r="M302" s="11"/>
      <c r="N302" s="11"/>
    </row>
    <row r="303" spans="10:14">
      <c r="J303" s="11"/>
      <c r="K303" s="11"/>
      <c r="L303" s="11"/>
      <c r="M303" s="11"/>
      <c r="N303" s="11"/>
    </row>
    <row r="304" spans="10:14">
      <c r="J304" s="11"/>
      <c r="K304" s="11"/>
      <c r="L304" s="11"/>
      <c r="M304" s="11"/>
      <c r="N304" s="11"/>
    </row>
    <row r="305" spans="10:14">
      <c r="J305" s="11"/>
      <c r="K305" s="11"/>
      <c r="L305" s="11"/>
      <c r="M305" s="11"/>
      <c r="N305" s="11"/>
    </row>
    <row r="306" spans="10:14">
      <c r="J306" s="11"/>
      <c r="K306" s="11"/>
      <c r="L306" s="11"/>
      <c r="M306" s="11"/>
      <c r="N306" s="11"/>
    </row>
    <row r="307" spans="10:14">
      <c r="J307" s="11"/>
      <c r="K307" s="11"/>
      <c r="L307" s="11"/>
      <c r="M307" s="11"/>
      <c r="N307" s="11"/>
    </row>
    <row r="308" spans="10:14">
      <c r="J308" s="11"/>
      <c r="K308" s="11"/>
      <c r="L308" s="11"/>
      <c r="M308" s="11"/>
      <c r="N308" s="11"/>
    </row>
    <row r="309" spans="10:14">
      <c r="J309" s="11"/>
      <c r="K309" s="11"/>
      <c r="L309" s="11"/>
      <c r="M309" s="11"/>
      <c r="N309" s="11"/>
    </row>
    <row r="310" spans="10:14">
      <c r="J310" s="11"/>
      <c r="K310" s="11"/>
      <c r="L310" s="11"/>
      <c r="M310" s="11"/>
      <c r="N310" s="11"/>
    </row>
    <row r="311" spans="10:14">
      <c r="J311" s="11"/>
      <c r="K311" s="11"/>
      <c r="L311" s="11"/>
      <c r="M311" s="11"/>
      <c r="N311" s="11"/>
    </row>
    <row r="312" spans="10:14">
      <c r="J312" s="11"/>
      <c r="K312" s="11"/>
      <c r="L312" s="11"/>
      <c r="M312" s="11"/>
      <c r="N312" s="11"/>
    </row>
    <row r="313" spans="10:14">
      <c r="J313" s="11"/>
      <c r="K313" s="11"/>
      <c r="L313" s="11"/>
      <c r="M313" s="11"/>
      <c r="N313" s="11"/>
    </row>
    <row r="314" spans="10:14">
      <c r="J314" s="11"/>
      <c r="K314" s="11"/>
      <c r="L314" s="11"/>
      <c r="M314" s="11"/>
      <c r="N314" s="11"/>
    </row>
    <row r="315" spans="10:14">
      <c r="J315" s="11"/>
      <c r="K315" s="11"/>
      <c r="L315" s="11"/>
      <c r="M315" s="11"/>
      <c r="N315" s="11"/>
    </row>
    <row r="316" spans="10:14">
      <c r="J316" s="11"/>
      <c r="K316" s="11"/>
      <c r="L316" s="11"/>
      <c r="M316" s="11"/>
      <c r="N316" s="11"/>
    </row>
    <row r="317" spans="10:14">
      <c r="J317" s="11"/>
      <c r="K317" s="11"/>
      <c r="L317" s="11"/>
      <c r="M317" s="11"/>
      <c r="N317" s="11"/>
    </row>
    <row r="318" spans="10:14">
      <c r="J318" s="11"/>
      <c r="K318" s="11"/>
      <c r="L318" s="11"/>
      <c r="M318" s="11"/>
      <c r="N318" s="11"/>
    </row>
    <row r="319" spans="10:14">
      <c r="J319" s="11"/>
      <c r="K319" s="11"/>
      <c r="L319" s="11"/>
      <c r="M319" s="11"/>
      <c r="N319" s="11"/>
    </row>
    <row r="320" spans="10:14">
      <c r="J320" s="11"/>
      <c r="K320" s="11"/>
      <c r="L320" s="11"/>
      <c r="M320" s="11"/>
      <c r="N320" s="11"/>
    </row>
    <row r="321" spans="10:14">
      <c r="J321" s="11"/>
      <c r="K321" s="11"/>
      <c r="L321" s="11"/>
      <c r="M321" s="11"/>
      <c r="N321" s="11"/>
    </row>
    <row r="322" spans="10:14">
      <c r="J322" s="11"/>
      <c r="K322" s="11"/>
      <c r="L322" s="11"/>
      <c r="M322" s="11"/>
      <c r="N322" s="11"/>
    </row>
    <row r="323" spans="10:14">
      <c r="J323" s="11"/>
      <c r="K323" s="11"/>
      <c r="L323" s="11"/>
      <c r="M323" s="11"/>
      <c r="N323" s="11"/>
    </row>
    <row r="324" spans="10:14">
      <c r="J324" s="11"/>
      <c r="K324" s="11"/>
      <c r="L324" s="11"/>
      <c r="M324" s="11"/>
      <c r="N324" s="11"/>
    </row>
    <row r="325" spans="10:14">
      <c r="J325" s="11"/>
      <c r="K325" s="11"/>
      <c r="L325" s="11"/>
      <c r="M325" s="11"/>
      <c r="N325" s="11"/>
    </row>
    <row r="326" spans="10:14">
      <c r="J326" s="11"/>
      <c r="K326" s="11"/>
      <c r="L326" s="11"/>
      <c r="M326" s="11"/>
      <c r="N326" s="11"/>
    </row>
    <row r="327" spans="10:14">
      <c r="J327" s="11"/>
      <c r="K327" s="11"/>
      <c r="L327" s="11"/>
      <c r="M327" s="11"/>
      <c r="N327" s="11"/>
    </row>
    <row r="328" spans="10:14">
      <c r="J328" s="11"/>
      <c r="K328" s="11"/>
      <c r="L328" s="11"/>
      <c r="M328" s="11"/>
      <c r="N328" s="11"/>
    </row>
    <row r="329" spans="10:14">
      <c r="J329" s="11"/>
      <c r="K329" s="11"/>
      <c r="L329" s="11"/>
      <c r="M329" s="11"/>
      <c r="N329" s="11"/>
    </row>
    <row r="330" spans="10:14">
      <c r="J330" s="11"/>
      <c r="K330" s="11"/>
      <c r="L330" s="11"/>
      <c r="M330" s="11"/>
      <c r="N330" s="11"/>
    </row>
    <row r="331" spans="10:14">
      <c r="J331" s="11"/>
      <c r="K331" s="11"/>
      <c r="L331" s="11"/>
      <c r="M331" s="11"/>
      <c r="N331" s="11"/>
    </row>
    <row r="332" spans="10:14">
      <c r="J332" s="11"/>
      <c r="K332" s="11"/>
      <c r="L332" s="11"/>
      <c r="M332" s="11"/>
      <c r="N332" s="11"/>
    </row>
    <row r="333" spans="10:14">
      <c r="J333" s="11"/>
      <c r="K333" s="11"/>
      <c r="L333" s="11"/>
      <c r="M333" s="11"/>
      <c r="N333" s="11"/>
    </row>
    <row r="334" spans="10:14">
      <c r="J334" s="11"/>
      <c r="K334" s="11"/>
      <c r="L334" s="11"/>
      <c r="M334" s="11"/>
      <c r="N334" s="11"/>
    </row>
    <row r="335" spans="10:14">
      <c r="J335" s="11"/>
      <c r="K335" s="11"/>
      <c r="L335" s="11"/>
      <c r="M335" s="11"/>
      <c r="N335" s="11"/>
    </row>
    <row r="336" spans="10:14">
      <c r="J336" s="11"/>
      <c r="K336" s="11"/>
      <c r="L336" s="11"/>
      <c r="M336" s="11"/>
      <c r="N336" s="11"/>
    </row>
    <row r="337" spans="10:14">
      <c r="J337" s="11"/>
      <c r="K337" s="11"/>
      <c r="L337" s="11"/>
      <c r="M337" s="11"/>
      <c r="N337" s="11"/>
    </row>
    <row r="338" spans="10:14">
      <c r="J338" s="11"/>
      <c r="K338" s="11"/>
      <c r="L338" s="11"/>
      <c r="M338" s="11"/>
      <c r="N338" s="11"/>
    </row>
    <row r="339" spans="10:14">
      <c r="J339" s="11"/>
      <c r="K339" s="11"/>
      <c r="L339" s="11"/>
      <c r="M339" s="11"/>
      <c r="N339" s="11"/>
    </row>
    <row r="340" spans="10:14">
      <c r="J340" s="11"/>
      <c r="K340" s="11"/>
      <c r="L340" s="11"/>
      <c r="M340" s="11"/>
      <c r="N340" s="11"/>
    </row>
    <row r="341" spans="10:14">
      <c r="J341" s="11"/>
      <c r="K341" s="11"/>
      <c r="L341" s="11"/>
      <c r="M341" s="11"/>
      <c r="N341" s="11"/>
    </row>
    <row r="342" spans="10:14">
      <c r="J342" s="11"/>
      <c r="K342" s="11"/>
      <c r="L342" s="11"/>
      <c r="M342" s="11"/>
      <c r="N342" s="11"/>
    </row>
  </sheetData>
  <sheetProtection sheet="1" objects="1" scenarios="1"/>
  <mergeCells count="3">
    <mergeCell ref="N2:O2"/>
    <mergeCell ref="D4:I10"/>
    <mergeCell ref="D12:I31"/>
  </mergeCells>
  <conditionalFormatting sqref="K5:L48">
    <cfRule type="containsErrors" dxfId="4" priority="7">
      <formula>ISERROR(K5)</formula>
    </cfRule>
  </conditionalFormatting>
  <conditionalFormatting sqref="M5:M48">
    <cfRule type="cellIs" dxfId="3" priority="6" operator="equal">
      <formula>0</formula>
    </cfRule>
  </conditionalFormatting>
  <conditionalFormatting sqref="N5:N48">
    <cfRule type="containsErrors" dxfId="2" priority="5">
      <formula>ISERROR(N5)</formula>
    </cfRule>
  </conditionalFormatting>
  <pageMargins left="0.43307086614173229" right="0.43307086614173229" top="0.55118110236220474" bottom="0.74803149606299213" header="0" footer="0"/>
  <pageSetup paperSize="9" orientation="portrait" verticalDpi="0" r:id="rId1"/>
  <drawing r:id="rId2"/>
  <legacyDrawing r:id="rId3"/>
</worksheet>
</file>

<file path=xl/worksheets/sheet2.xml><?xml version="1.0" encoding="utf-8"?>
<worksheet xmlns="http://schemas.openxmlformats.org/spreadsheetml/2006/main" xmlns:r="http://schemas.openxmlformats.org/officeDocument/2006/relationships">
  <sheetPr codeName="Лист2"/>
  <dimension ref="A1:F608"/>
  <sheetViews>
    <sheetView workbookViewId="0">
      <pane ySplit="1" topLeftCell="A395" activePane="bottomLeft" state="frozen"/>
      <selection pane="bottomLeft" activeCell="C596" sqref="C596"/>
    </sheetView>
  </sheetViews>
  <sheetFormatPr defaultRowHeight="15.75"/>
  <cols>
    <col min="1" max="1" width="13.5703125" style="6" customWidth="1"/>
    <col min="2" max="2" width="11.5703125" style="4" customWidth="1"/>
    <col min="3" max="3" width="64.42578125" style="5" customWidth="1"/>
    <col min="4" max="4" width="9.140625" style="2"/>
    <col min="6" max="6" width="19.140625" customWidth="1"/>
  </cols>
  <sheetData>
    <row r="1" spans="1:6" ht="16.5" thickBot="1">
      <c r="A1" s="24" t="s">
        <v>0</v>
      </c>
      <c r="B1" s="25" t="s">
        <v>1</v>
      </c>
      <c r="C1" s="26" t="s">
        <v>2</v>
      </c>
      <c r="D1" s="27" t="s">
        <v>3</v>
      </c>
    </row>
    <row r="2" spans="1:6">
      <c r="A2" s="8">
        <v>62730230</v>
      </c>
      <c r="B2" s="7" t="s">
        <v>1030</v>
      </c>
      <c r="C2" s="20" t="s">
        <v>987</v>
      </c>
      <c r="D2" s="3" t="s">
        <v>989</v>
      </c>
    </row>
    <row r="3" spans="1:6">
      <c r="A3" s="6">
        <v>62732290</v>
      </c>
      <c r="B3" s="4" t="s">
        <v>990</v>
      </c>
      <c r="C3" s="5" t="s">
        <v>988</v>
      </c>
      <c r="D3" s="2" t="s">
        <v>989</v>
      </c>
    </row>
    <row r="4" spans="1:6">
      <c r="A4" s="6">
        <v>96053150</v>
      </c>
      <c r="B4" s="4" t="s">
        <v>1079</v>
      </c>
      <c r="C4" s="5" t="s">
        <v>1085</v>
      </c>
      <c r="D4" s="2" t="s">
        <v>989</v>
      </c>
    </row>
    <row r="5" spans="1:6">
      <c r="A5" s="6">
        <v>57670050</v>
      </c>
      <c r="B5" s="4" t="s">
        <v>925</v>
      </c>
      <c r="C5" s="5" t="s">
        <v>939</v>
      </c>
      <c r="D5" s="2" t="s">
        <v>915</v>
      </c>
    </row>
    <row r="6" spans="1:6">
      <c r="A6" s="6">
        <v>90804650</v>
      </c>
      <c r="B6" s="4" t="s">
        <v>918</v>
      </c>
      <c r="C6" s="5" t="s">
        <v>960</v>
      </c>
      <c r="D6" s="2" t="s">
        <v>915</v>
      </c>
    </row>
    <row r="7" spans="1:6">
      <c r="B7" s="4" t="s">
        <v>931</v>
      </c>
      <c r="C7" s="5" t="s">
        <v>957</v>
      </c>
      <c r="D7" s="2" t="s">
        <v>915</v>
      </c>
    </row>
    <row r="8" spans="1:6">
      <c r="B8" s="4" t="s">
        <v>930</v>
      </c>
      <c r="C8" s="5" t="s">
        <v>956</v>
      </c>
      <c r="D8" s="2" t="s">
        <v>915</v>
      </c>
      <c r="F8" s="1"/>
    </row>
    <row r="9" spans="1:6">
      <c r="B9" s="4" t="s">
        <v>916</v>
      </c>
      <c r="C9" s="5" t="s">
        <v>945</v>
      </c>
      <c r="D9" s="2" t="s">
        <v>915</v>
      </c>
    </row>
    <row r="10" spans="1:6">
      <c r="B10" s="4" t="s">
        <v>917</v>
      </c>
      <c r="C10" s="5" t="s">
        <v>946</v>
      </c>
      <c r="D10" s="2" t="s">
        <v>915</v>
      </c>
    </row>
    <row r="11" spans="1:6">
      <c r="B11" s="4" t="s">
        <v>919</v>
      </c>
      <c r="C11" s="5" t="s">
        <v>947</v>
      </c>
      <c r="D11" s="2" t="s">
        <v>915</v>
      </c>
    </row>
    <row r="12" spans="1:6">
      <c r="B12" s="4" t="s">
        <v>920</v>
      </c>
      <c r="C12" s="5" t="s">
        <v>948</v>
      </c>
      <c r="D12" s="2" t="s">
        <v>915</v>
      </c>
    </row>
    <row r="13" spans="1:6">
      <c r="B13" s="4" t="s">
        <v>921</v>
      </c>
      <c r="C13" s="5" t="s">
        <v>1089</v>
      </c>
      <c r="D13" s="2" t="s">
        <v>915</v>
      </c>
    </row>
    <row r="14" spans="1:6">
      <c r="B14" s="4" t="s">
        <v>922</v>
      </c>
      <c r="C14" s="5" t="s">
        <v>949</v>
      </c>
      <c r="D14" s="2" t="s">
        <v>915</v>
      </c>
    </row>
    <row r="15" spans="1:6">
      <c r="B15" s="4" t="s">
        <v>923</v>
      </c>
      <c r="C15" s="5" t="s">
        <v>950</v>
      </c>
      <c r="D15" s="2" t="s">
        <v>915</v>
      </c>
    </row>
    <row r="16" spans="1:6">
      <c r="B16" s="4" t="s">
        <v>924</v>
      </c>
      <c r="C16" s="5" t="s">
        <v>951</v>
      </c>
      <c r="D16" s="2" t="s">
        <v>915</v>
      </c>
    </row>
    <row r="17" spans="1:4">
      <c r="B17" s="4" t="s">
        <v>926</v>
      </c>
      <c r="C17" s="5" t="s">
        <v>952</v>
      </c>
      <c r="D17" s="2" t="s">
        <v>915</v>
      </c>
    </row>
    <row r="18" spans="1:4">
      <c r="B18" s="4" t="s">
        <v>927</v>
      </c>
      <c r="C18" s="5" t="s">
        <v>953</v>
      </c>
      <c r="D18" s="2" t="s">
        <v>915</v>
      </c>
    </row>
    <row r="19" spans="1:4">
      <c r="B19" s="4" t="s">
        <v>928</v>
      </c>
      <c r="C19" s="5" t="s">
        <v>954</v>
      </c>
      <c r="D19" s="2" t="s">
        <v>915</v>
      </c>
    </row>
    <row r="20" spans="1:4">
      <c r="B20" s="4" t="s">
        <v>929</v>
      </c>
      <c r="C20" s="5" t="s">
        <v>955</v>
      </c>
      <c r="D20" s="2" t="s">
        <v>915</v>
      </c>
    </row>
    <row r="21" spans="1:4">
      <c r="B21" s="4" t="s">
        <v>1109</v>
      </c>
      <c r="C21" s="5" t="s">
        <v>1110</v>
      </c>
      <c r="D21" s="2" t="s">
        <v>915</v>
      </c>
    </row>
    <row r="22" spans="1:4">
      <c r="A22" s="6">
        <v>90013410</v>
      </c>
      <c r="B22" s="4" t="s">
        <v>914</v>
      </c>
      <c r="C22" s="5" t="s">
        <v>938</v>
      </c>
      <c r="D22" s="2" t="s">
        <v>913</v>
      </c>
    </row>
    <row r="23" spans="1:4">
      <c r="A23" s="6">
        <v>44272160</v>
      </c>
      <c r="B23" s="4" t="s">
        <v>1059</v>
      </c>
      <c r="C23" s="5" t="s">
        <v>1018</v>
      </c>
      <c r="D23" s="2" t="s">
        <v>1048</v>
      </c>
    </row>
    <row r="24" spans="1:4">
      <c r="A24" s="6">
        <v>45153250</v>
      </c>
      <c r="B24" s="4" t="s">
        <v>825</v>
      </c>
      <c r="C24" s="5" t="s">
        <v>1088</v>
      </c>
      <c r="D24" s="2" t="s">
        <v>1048</v>
      </c>
    </row>
    <row r="25" spans="1:4">
      <c r="A25" s="6">
        <v>55153973</v>
      </c>
      <c r="B25" s="4" t="s">
        <v>1094</v>
      </c>
      <c r="C25" s="5" t="s">
        <v>1099</v>
      </c>
      <c r="D25" s="2" t="s">
        <v>1048</v>
      </c>
    </row>
    <row r="26" spans="1:4">
      <c r="A26" s="6">
        <v>90024380</v>
      </c>
      <c r="B26" s="4" t="s">
        <v>1115</v>
      </c>
      <c r="C26" s="5" t="s">
        <v>1121</v>
      </c>
      <c r="D26" s="2" t="s">
        <v>1048</v>
      </c>
    </row>
    <row r="27" spans="1:4">
      <c r="A27" s="6">
        <v>57316520</v>
      </c>
      <c r="B27" s="4" t="s">
        <v>897</v>
      </c>
      <c r="C27" s="5" t="s">
        <v>933</v>
      </c>
      <c r="D27" s="2" t="s">
        <v>895</v>
      </c>
    </row>
    <row r="28" spans="1:4">
      <c r="A28" s="6">
        <v>90019180</v>
      </c>
      <c r="B28" s="4" t="s">
        <v>896</v>
      </c>
      <c r="C28" s="5" t="s">
        <v>932</v>
      </c>
      <c r="D28" s="2" t="s">
        <v>895</v>
      </c>
    </row>
    <row r="29" spans="1:4">
      <c r="A29" s="6">
        <v>54273070</v>
      </c>
      <c r="B29" s="4" t="s">
        <v>899</v>
      </c>
      <c r="C29" s="5" t="s">
        <v>934</v>
      </c>
      <c r="D29" s="2" t="s">
        <v>898</v>
      </c>
    </row>
    <row r="30" spans="1:4">
      <c r="A30" s="6">
        <v>54436440</v>
      </c>
      <c r="B30" s="4" t="s">
        <v>902</v>
      </c>
      <c r="C30" s="5" t="s">
        <v>935</v>
      </c>
      <c r="D30" s="2" t="s">
        <v>898</v>
      </c>
    </row>
    <row r="31" spans="1:4">
      <c r="A31" s="6">
        <v>90018870</v>
      </c>
      <c r="B31" s="4" t="s">
        <v>1097</v>
      </c>
      <c r="C31" s="5" t="s">
        <v>1102</v>
      </c>
      <c r="D31" s="2" t="s">
        <v>898</v>
      </c>
    </row>
    <row r="32" spans="1:4">
      <c r="A32" s="6">
        <v>90018880</v>
      </c>
      <c r="B32" s="4" t="s">
        <v>903</v>
      </c>
      <c r="C32" s="5" t="s">
        <v>961</v>
      </c>
      <c r="D32" s="2" t="s">
        <v>898</v>
      </c>
    </row>
    <row r="33" spans="1:4">
      <c r="A33" s="6">
        <v>90021450</v>
      </c>
      <c r="B33" s="4" t="s">
        <v>900</v>
      </c>
      <c r="C33" s="5" t="s">
        <v>958</v>
      </c>
      <c r="D33" s="2" t="s">
        <v>898</v>
      </c>
    </row>
    <row r="34" spans="1:4">
      <c r="A34" s="6">
        <v>97552960</v>
      </c>
      <c r="B34" s="4" t="s">
        <v>905</v>
      </c>
      <c r="C34" s="5" t="s">
        <v>936</v>
      </c>
      <c r="D34" s="2" t="s">
        <v>898</v>
      </c>
    </row>
    <row r="35" spans="1:4">
      <c r="A35" s="6">
        <v>66303570</v>
      </c>
      <c r="B35" s="4" t="s">
        <v>908</v>
      </c>
      <c r="C35" s="5" t="s">
        <v>937</v>
      </c>
      <c r="D35" s="2" t="s">
        <v>907</v>
      </c>
    </row>
    <row r="36" spans="1:4">
      <c r="A36" s="6">
        <v>66319460</v>
      </c>
      <c r="B36" s="4" t="s">
        <v>911</v>
      </c>
      <c r="C36" s="5" t="s">
        <v>962</v>
      </c>
      <c r="D36" s="2" t="s">
        <v>907</v>
      </c>
    </row>
    <row r="37" spans="1:4">
      <c r="B37" s="4" t="s">
        <v>909</v>
      </c>
      <c r="C37" s="5" t="s">
        <v>943</v>
      </c>
      <c r="D37" s="2" t="s">
        <v>907</v>
      </c>
    </row>
    <row r="38" spans="1:4">
      <c r="B38" s="4" t="s">
        <v>910</v>
      </c>
      <c r="C38" s="5" t="s">
        <v>944</v>
      </c>
      <c r="D38" s="2" t="s">
        <v>907</v>
      </c>
    </row>
    <row r="39" spans="1:4">
      <c r="B39" s="4" t="s">
        <v>1083</v>
      </c>
      <c r="C39" s="5" t="s">
        <v>1084</v>
      </c>
      <c r="D39" s="2" t="s">
        <v>907</v>
      </c>
    </row>
    <row r="40" spans="1:4">
      <c r="A40" s="6">
        <v>90018000</v>
      </c>
      <c r="B40" s="4" t="s">
        <v>804</v>
      </c>
      <c r="C40" s="5" t="s">
        <v>871</v>
      </c>
      <c r="D40" s="2" t="s">
        <v>802</v>
      </c>
    </row>
    <row r="41" spans="1:4">
      <c r="A41" s="6">
        <v>90020100</v>
      </c>
      <c r="B41" s="4" t="s">
        <v>805</v>
      </c>
      <c r="C41" s="5" t="s">
        <v>872</v>
      </c>
      <c r="D41" s="2" t="s">
        <v>802</v>
      </c>
    </row>
    <row r="42" spans="1:4">
      <c r="A42" s="6">
        <v>90020110</v>
      </c>
      <c r="B42" s="4" t="s">
        <v>803</v>
      </c>
      <c r="C42" s="5" t="s">
        <v>870</v>
      </c>
      <c r="D42" s="2" t="s">
        <v>802</v>
      </c>
    </row>
    <row r="43" spans="1:4">
      <c r="A43" s="6">
        <v>90024420</v>
      </c>
      <c r="B43" s="4" t="s">
        <v>361</v>
      </c>
      <c r="C43" s="5" t="s">
        <v>1124</v>
      </c>
      <c r="D43" s="2" t="s">
        <v>802</v>
      </c>
    </row>
    <row r="44" spans="1:4">
      <c r="A44" s="6">
        <v>90024560</v>
      </c>
      <c r="B44" s="4" t="s">
        <v>806</v>
      </c>
      <c r="C44" s="5" t="s">
        <v>873</v>
      </c>
      <c r="D44" s="2" t="s">
        <v>802</v>
      </c>
    </row>
    <row r="45" spans="1:4">
      <c r="A45" s="6">
        <v>90025320</v>
      </c>
      <c r="B45" s="4" t="s">
        <v>807</v>
      </c>
      <c r="C45" s="5" t="s">
        <v>874</v>
      </c>
      <c r="D45" s="2" t="s">
        <v>802</v>
      </c>
    </row>
    <row r="46" spans="1:4">
      <c r="A46" s="6">
        <v>28850510</v>
      </c>
      <c r="B46" s="4" t="s">
        <v>809</v>
      </c>
      <c r="C46" s="5" t="s">
        <v>875</v>
      </c>
      <c r="D46" s="2" t="s">
        <v>808</v>
      </c>
    </row>
    <row r="47" spans="1:4">
      <c r="A47" s="6">
        <v>44812960</v>
      </c>
      <c r="B47" s="4" t="s">
        <v>815</v>
      </c>
      <c r="C47" s="5" t="s">
        <v>879</v>
      </c>
      <c r="D47" s="2" t="s">
        <v>808</v>
      </c>
    </row>
    <row r="48" spans="1:4">
      <c r="A48" s="6">
        <v>46860310</v>
      </c>
      <c r="B48" s="4" t="s">
        <v>1033</v>
      </c>
      <c r="C48" s="5" t="s">
        <v>1034</v>
      </c>
      <c r="D48" s="2" t="s">
        <v>808</v>
      </c>
    </row>
    <row r="49" spans="1:4">
      <c r="A49" s="6">
        <v>50622770</v>
      </c>
      <c r="B49" s="4" t="s">
        <v>814</v>
      </c>
      <c r="C49" s="5" t="s">
        <v>941</v>
      </c>
      <c r="D49" s="2" t="s">
        <v>808</v>
      </c>
    </row>
    <row r="50" spans="1:4">
      <c r="A50" s="6">
        <v>53325040</v>
      </c>
      <c r="B50" s="4" t="s">
        <v>810</v>
      </c>
      <c r="C50" s="5" t="s">
        <v>876</v>
      </c>
      <c r="D50" s="2" t="s">
        <v>808</v>
      </c>
    </row>
    <row r="51" spans="1:4">
      <c r="A51" s="6">
        <v>53636130</v>
      </c>
      <c r="B51" s="4" t="s">
        <v>1142</v>
      </c>
      <c r="C51" s="5" t="s">
        <v>436</v>
      </c>
      <c r="D51" s="2" t="s">
        <v>808</v>
      </c>
    </row>
    <row r="52" spans="1:4">
      <c r="A52" s="6">
        <v>54233470</v>
      </c>
      <c r="B52" s="4" t="s">
        <v>811</v>
      </c>
      <c r="C52" s="5" t="s">
        <v>877</v>
      </c>
      <c r="D52" s="2" t="s">
        <v>808</v>
      </c>
    </row>
    <row r="53" spans="1:4">
      <c r="A53" s="6">
        <v>56000870</v>
      </c>
      <c r="B53" s="4" t="s">
        <v>812</v>
      </c>
      <c r="C53" s="5" t="s">
        <v>742</v>
      </c>
      <c r="D53" s="2" t="s">
        <v>808</v>
      </c>
    </row>
    <row r="54" spans="1:4">
      <c r="A54" s="6">
        <v>57310590</v>
      </c>
      <c r="B54" s="4" t="s">
        <v>1069</v>
      </c>
      <c r="C54" s="5" t="s">
        <v>1071</v>
      </c>
      <c r="D54" s="2" t="s">
        <v>808</v>
      </c>
    </row>
    <row r="55" spans="1:4">
      <c r="A55" s="6">
        <v>63660090</v>
      </c>
      <c r="B55" s="4" t="s">
        <v>813</v>
      </c>
      <c r="C55" s="5" t="s">
        <v>878</v>
      </c>
      <c r="D55" s="2" t="s">
        <v>808</v>
      </c>
    </row>
    <row r="56" spans="1:4">
      <c r="A56" s="6">
        <v>63660390</v>
      </c>
      <c r="B56" s="4" t="s">
        <v>581</v>
      </c>
      <c r="C56" s="5" t="s">
        <v>878</v>
      </c>
      <c r="D56" s="2" t="s">
        <v>808</v>
      </c>
    </row>
    <row r="57" spans="1:4">
      <c r="A57" s="6">
        <v>63898110</v>
      </c>
      <c r="B57" s="4" t="s">
        <v>816</v>
      </c>
      <c r="C57" s="5" t="s">
        <v>880</v>
      </c>
      <c r="D57" s="2" t="s">
        <v>808</v>
      </c>
    </row>
    <row r="58" spans="1:4">
      <c r="A58" s="6">
        <v>63916290</v>
      </c>
      <c r="B58" s="4" t="s">
        <v>817</v>
      </c>
      <c r="C58" s="5" t="s">
        <v>881</v>
      </c>
      <c r="D58" s="2" t="s">
        <v>808</v>
      </c>
    </row>
    <row r="59" spans="1:4">
      <c r="A59" s="6">
        <v>66309950</v>
      </c>
      <c r="B59" s="4" t="s">
        <v>818</v>
      </c>
      <c r="C59" s="5" t="s">
        <v>882</v>
      </c>
      <c r="D59" s="2" t="s">
        <v>808</v>
      </c>
    </row>
    <row r="60" spans="1:4">
      <c r="A60" s="6">
        <v>90805040</v>
      </c>
      <c r="B60" s="4" t="s">
        <v>1143</v>
      </c>
      <c r="C60" s="5" t="s">
        <v>1144</v>
      </c>
      <c r="D60" s="2" t="s">
        <v>808</v>
      </c>
    </row>
    <row r="61" spans="1:4">
      <c r="A61" s="6">
        <v>97530060</v>
      </c>
      <c r="B61" s="4" t="s">
        <v>819</v>
      </c>
      <c r="C61" s="5" t="s">
        <v>883</v>
      </c>
      <c r="D61" s="2" t="s">
        <v>808</v>
      </c>
    </row>
    <row r="62" spans="1:4">
      <c r="A62" s="6">
        <v>97630430</v>
      </c>
      <c r="B62" s="4" t="s">
        <v>820</v>
      </c>
      <c r="C62" s="5" t="s">
        <v>884</v>
      </c>
      <c r="D62" s="2" t="s">
        <v>808</v>
      </c>
    </row>
    <row r="63" spans="1:4">
      <c r="A63" s="6">
        <v>97637390</v>
      </c>
      <c r="B63" s="4" t="s">
        <v>822</v>
      </c>
      <c r="C63" s="5" t="s">
        <v>886</v>
      </c>
      <c r="D63" s="2" t="s">
        <v>808</v>
      </c>
    </row>
    <row r="64" spans="1:4">
      <c r="A64" s="6">
        <v>97639070</v>
      </c>
      <c r="B64" s="4" t="s">
        <v>821</v>
      </c>
      <c r="C64" s="5" t="s">
        <v>885</v>
      </c>
      <c r="D64" s="2" t="s">
        <v>808</v>
      </c>
    </row>
    <row r="65" spans="1:4">
      <c r="A65" s="6">
        <v>97639080</v>
      </c>
      <c r="B65" s="4" t="s">
        <v>615</v>
      </c>
      <c r="C65" s="5" t="s">
        <v>887</v>
      </c>
      <c r="D65" s="2" t="s">
        <v>808</v>
      </c>
    </row>
    <row r="66" spans="1:4">
      <c r="A66" s="6">
        <v>40354240</v>
      </c>
      <c r="B66" s="4" t="s">
        <v>824</v>
      </c>
      <c r="C66" s="5" t="s">
        <v>888</v>
      </c>
      <c r="D66" s="2" t="s">
        <v>823</v>
      </c>
    </row>
    <row r="67" spans="1:4">
      <c r="A67" s="6">
        <v>47442060</v>
      </c>
      <c r="B67" s="4" t="s">
        <v>826</v>
      </c>
      <c r="C67" s="5" t="s">
        <v>889</v>
      </c>
      <c r="D67" s="2" t="s">
        <v>823</v>
      </c>
    </row>
    <row r="68" spans="1:4">
      <c r="A68" s="6">
        <v>50353930</v>
      </c>
      <c r="B68" s="4" t="s">
        <v>827</v>
      </c>
      <c r="C68" s="5" t="s">
        <v>890</v>
      </c>
      <c r="D68" s="2" t="s">
        <v>823</v>
      </c>
    </row>
    <row r="69" spans="1:4">
      <c r="A69" s="6">
        <v>50640060</v>
      </c>
      <c r="B69" s="4" t="s">
        <v>828</v>
      </c>
      <c r="C69" s="5" t="s">
        <v>891</v>
      </c>
      <c r="D69" s="2" t="s">
        <v>823</v>
      </c>
    </row>
    <row r="70" spans="1:4">
      <c r="A70" s="6">
        <v>63635810</v>
      </c>
      <c r="B70" s="4" t="s">
        <v>829</v>
      </c>
      <c r="C70" s="5" t="s">
        <v>892</v>
      </c>
      <c r="D70" s="2" t="s">
        <v>823</v>
      </c>
    </row>
    <row r="71" spans="1:4">
      <c r="A71" s="6">
        <v>63636320</v>
      </c>
      <c r="B71" s="4" t="s">
        <v>830</v>
      </c>
      <c r="C71" s="5" t="s">
        <v>76</v>
      </c>
      <c r="D71" s="2" t="s">
        <v>823</v>
      </c>
    </row>
    <row r="72" spans="1:4">
      <c r="A72" s="6">
        <v>90804530</v>
      </c>
      <c r="B72" s="4" t="s">
        <v>831</v>
      </c>
      <c r="C72" s="5" t="s">
        <v>893</v>
      </c>
      <c r="D72" s="2" t="s">
        <v>823</v>
      </c>
    </row>
    <row r="73" spans="1:4">
      <c r="A73" s="6">
        <v>90841390</v>
      </c>
      <c r="B73" s="4" t="s">
        <v>832</v>
      </c>
      <c r="C73" s="5" t="s">
        <v>894</v>
      </c>
      <c r="D73" s="2" t="s">
        <v>823</v>
      </c>
    </row>
    <row r="74" spans="1:4">
      <c r="A74" s="6">
        <v>44011980</v>
      </c>
      <c r="B74" s="4" t="s">
        <v>717</v>
      </c>
      <c r="C74" s="5" t="s">
        <v>1090</v>
      </c>
      <c r="D74" s="2" t="s">
        <v>702</v>
      </c>
    </row>
    <row r="75" spans="1:4">
      <c r="A75" s="6">
        <v>64012250</v>
      </c>
      <c r="B75" s="4" t="s">
        <v>705</v>
      </c>
      <c r="C75" s="5" t="s">
        <v>733</v>
      </c>
      <c r="D75" s="2" t="s">
        <v>702</v>
      </c>
    </row>
    <row r="76" spans="1:4">
      <c r="A76" s="6">
        <v>64012530</v>
      </c>
      <c r="B76" s="4" t="s">
        <v>706</v>
      </c>
      <c r="C76" s="5" t="s">
        <v>734</v>
      </c>
      <c r="D76" s="2" t="s">
        <v>702</v>
      </c>
    </row>
    <row r="77" spans="1:4">
      <c r="A77" s="6">
        <v>64012563</v>
      </c>
      <c r="B77" s="4" t="s">
        <v>710</v>
      </c>
      <c r="C77" s="5" t="s">
        <v>736</v>
      </c>
      <c r="D77" s="2" t="s">
        <v>702</v>
      </c>
    </row>
    <row r="78" spans="1:4">
      <c r="A78" s="6">
        <v>64013070</v>
      </c>
      <c r="B78" s="4" t="s">
        <v>708</v>
      </c>
      <c r="C78" s="5" t="s">
        <v>735</v>
      </c>
      <c r="D78" s="2" t="s">
        <v>702</v>
      </c>
    </row>
    <row r="79" spans="1:4">
      <c r="A79" s="6">
        <v>64013490</v>
      </c>
      <c r="B79" s="4" t="s">
        <v>709</v>
      </c>
      <c r="C79" s="5" t="s">
        <v>735</v>
      </c>
      <c r="D79" s="2" t="s">
        <v>702</v>
      </c>
    </row>
    <row r="80" spans="1:4">
      <c r="A80" s="6">
        <v>64014050</v>
      </c>
      <c r="B80" s="4" t="s">
        <v>715</v>
      </c>
      <c r="C80" s="5" t="s">
        <v>740</v>
      </c>
      <c r="D80" s="2" t="s">
        <v>702</v>
      </c>
    </row>
    <row r="81" spans="1:4">
      <c r="A81" s="6">
        <v>64014270</v>
      </c>
      <c r="B81" s="4" t="s">
        <v>712</v>
      </c>
      <c r="C81" s="5" t="s">
        <v>738</v>
      </c>
      <c r="D81" s="2" t="s">
        <v>702</v>
      </c>
    </row>
    <row r="82" spans="1:4">
      <c r="A82" s="6">
        <v>64014373</v>
      </c>
      <c r="B82" s="4" t="s">
        <v>716</v>
      </c>
      <c r="C82" s="5" t="s">
        <v>741</v>
      </c>
      <c r="D82" s="2" t="s">
        <v>702</v>
      </c>
    </row>
    <row r="83" spans="1:4">
      <c r="A83" s="6">
        <v>74010100</v>
      </c>
      <c r="B83" s="4" t="s">
        <v>703</v>
      </c>
      <c r="C83" s="5" t="s">
        <v>731</v>
      </c>
      <c r="D83" s="2" t="s">
        <v>702</v>
      </c>
    </row>
    <row r="84" spans="1:4">
      <c r="A84" s="6">
        <v>74011550</v>
      </c>
      <c r="B84" s="4" t="s">
        <v>713</v>
      </c>
      <c r="C84" s="5" t="s">
        <v>737</v>
      </c>
      <c r="D84" s="2" t="s">
        <v>702</v>
      </c>
    </row>
    <row r="85" spans="1:4">
      <c r="A85" s="6">
        <v>90012890</v>
      </c>
      <c r="B85" s="4" t="s">
        <v>1045</v>
      </c>
      <c r="C85" s="5" t="s">
        <v>735</v>
      </c>
      <c r="D85" s="2" t="s">
        <v>702</v>
      </c>
    </row>
    <row r="86" spans="1:4">
      <c r="A86" s="6">
        <v>90016710</v>
      </c>
      <c r="B86" s="4" t="s">
        <v>1111</v>
      </c>
      <c r="C86" s="5" t="s">
        <v>1117</v>
      </c>
      <c r="D86" s="2" t="s">
        <v>702</v>
      </c>
    </row>
    <row r="87" spans="1:4">
      <c r="A87" s="6">
        <v>90018800</v>
      </c>
      <c r="B87" s="4" t="s">
        <v>1080</v>
      </c>
      <c r="C87" s="5" t="s">
        <v>1086</v>
      </c>
      <c r="D87" s="2" t="s">
        <v>702</v>
      </c>
    </row>
    <row r="88" spans="1:4">
      <c r="A88" s="6">
        <v>90025410</v>
      </c>
      <c r="B88" s="4" t="s">
        <v>711</v>
      </c>
      <c r="C88" s="5" t="s">
        <v>739</v>
      </c>
      <c r="D88" s="2" t="s">
        <v>702</v>
      </c>
    </row>
    <row r="89" spans="1:4">
      <c r="B89" s="4" t="s">
        <v>704</v>
      </c>
      <c r="C89" s="5" t="s">
        <v>732</v>
      </c>
      <c r="D89" s="2" t="s">
        <v>702</v>
      </c>
    </row>
    <row r="90" spans="1:4">
      <c r="A90" s="6">
        <v>56000380</v>
      </c>
      <c r="B90" s="4" t="s">
        <v>720</v>
      </c>
      <c r="C90" s="5" t="s">
        <v>742</v>
      </c>
      <c r="D90" s="2" t="s">
        <v>722</v>
      </c>
    </row>
    <row r="91" spans="1:4">
      <c r="A91" s="6">
        <v>56000603</v>
      </c>
      <c r="B91" s="4" t="s">
        <v>721</v>
      </c>
      <c r="C91" s="5" t="s">
        <v>742</v>
      </c>
      <c r="D91" s="2" t="s">
        <v>722</v>
      </c>
    </row>
    <row r="92" spans="1:4">
      <c r="A92" s="6">
        <v>90020500</v>
      </c>
      <c r="B92" s="4" t="s">
        <v>1043</v>
      </c>
      <c r="C92" s="5" t="s">
        <v>1044</v>
      </c>
      <c r="D92" s="2" t="s">
        <v>722</v>
      </c>
    </row>
    <row r="93" spans="1:4">
      <c r="A93" s="6">
        <v>26389740</v>
      </c>
      <c r="B93" s="4" t="s">
        <v>728</v>
      </c>
      <c r="C93" s="5" t="s">
        <v>746</v>
      </c>
      <c r="D93" s="2" t="s">
        <v>723</v>
      </c>
    </row>
    <row r="94" spans="1:4">
      <c r="A94" s="6">
        <v>45807600</v>
      </c>
      <c r="B94" s="4" t="s">
        <v>724</v>
      </c>
      <c r="C94" s="5" t="s">
        <v>743</v>
      </c>
      <c r="D94" s="2" t="s">
        <v>723</v>
      </c>
    </row>
    <row r="95" spans="1:4">
      <c r="A95" s="6">
        <v>46320020</v>
      </c>
      <c r="B95" s="4" t="s">
        <v>350</v>
      </c>
      <c r="C95" s="5" t="s">
        <v>974</v>
      </c>
      <c r="D95" s="2" t="s">
        <v>723</v>
      </c>
    </row>
    <row r="96" spans="1:4">
      <c r="A96" s="6">
        <v>47441680</v>
      </c>
      <c r="B96" s="4" t="s">
        <v>1032</v>
      </c>
      <c r="C96" s="5" t="s">
        <v>364</v>
      </c>
      <c r="D96" s="2" t="s">
        <v>723</v>
      </c>
    </row>
    <row r="97" spans="1:4">
      <c r="A97" s="6">
        <v>47442010</v>
      </c>
      <c r="B97" s="4" t="s">
        <v>725</v>
      </c>
      <c r="C97" s="5" t="s">
        <v>364</v>
      </c>
      <c r="D97" s="2" t="s">
        <v>723</v>
      </c>
    </row>
    <row r="98" spans="1:4">
      <c r="A98" s="6">
        <v>47442240</v>
      </c>
      <c r="B98" s="4" t="s">
        <v>1162</v>
      </c>
      <c r="C98" s="5" t="s">
        <v>364</v>
      </c>
      <c r="D98" s="2" t="s">
        <v>723</v>
      </c>
    </row>
    <row r="99" spans="1:4">
      <c r="A99" s="6">
        <v>47442420</v>
      </c>
      <c r="B99" s="4" t="s">
        <v>726</v>
      </c>
      <c r="C99" s="5" t="s">
        <v>744</v>
      </c>
      <c r="D99" s="2" t="s">
        <v>723</v>
      </c>
    </row>
    <row r="100" spans="1:4">
      <c r="A100" s="6">
        <v>53652840</v>
      </c>
      <c r="B100" s="4" t="s">
        <v>729</v>
      </c>
      <c r="C100" s="5" t="s">
        <v>747</v>
      </c>
      <c r="D100" s="2" t="s">
        <v>723</v>
      </c>
    </row>
    <row r="101" spans="1:4">
      <c r="A101" s="6">
        <v>63670510</v>
      </c>
      <c r="B101" s="4" t="s">
        <v>727</v>
      </c>
      <c r="C101" s="5" t="s">
        <v>745</v>
      </c>
      <c r="D101" s="2" t="s">
        <v>723</v>
      </c>
    </row>
    <row r="102" spans="1:4">
      <c r="A102" s="6">
        <v>66323560</v>
      </c>
      <c r="B102" s="4" t="s">
        <v>967</v>
      </c>
      <c r="C102" s="5" t="s">
        <v>975</v>
      </c>
      <c r="D102" s="2" t="s">
        <v>723</v>
      </c>
    </row>
    <row r="103" spans="1:4">
      <c r="A103" s="6">
        <v>90025250</v>
      </c>
      <c r="B103" s="4" t="s">
        <v>448</v>
      </c>
      <c r="C103" s="5" t="s">
        <v>730</v>
      </c>
      <c r="D103" s="2" t="s">
        <v>723</v>
      </c>
    </row>
    <row r="104" spans="1:4">
      <c r="A104" s="6">
        <v>40638420</v>
      </c>
      <c r="B104" s="4" t="s">
        <v>1026</v>
      </c>
      <c r="C104" s="5" t="s">
        <v>1025</v>
      </c>
      <c r="D104" s="2" t="s">
        <v>1007</v>
      </c>
    </row>
    <row r="105" spans="1:4">
      <c r="A105" s="6">
        <v>40640470</v>
      </c>
      <c r="B105" s="4" t="s">
        <v>1015</v>
      </c>
      <c r="C105" s="5" t="s">
        <v>1024</v>
      </c>
      <c r="D105" s="2" t="s">
        <v>1007</v>
      </c>
    </row>
    <row r="106" spans="1:4">
      <c r="A106" s="6">
        <v>41007750</v>
      </c>
      <c r="B106" s="4" t="s">
        <v>1114</v>
      </c>
      <c r="C106" s="5" t="s">
        <v>1122</v>
      </c>
      <c r="D106" s="2" t="s">
        <v>1007</v>
      </c>
    </row>
    <row r="107" spans="1:4">
      <c r="A107" s="6">
        <v>44272153</v>
      </c>
      <c r="B107" s="4" t="s">
        <v>1009</v>
      </c>
      <c r="C107" s="5" t="s">
        <v>1018</v>
      </c>
      <c r="D107" s="2" t="s">
        <v>1007</v>
      </c>
    </row>
    <row r="108" spans="1:4">
      <c r="A108" s="6">
        <v>44273190</v>
      </c>
      <c r="B108" s="4" t="s">
        <v>1014</v>
      </c>
      <c r="C108" s="5" t="s">
        <v>1023</v>
      </c>
      <c r="D108" s="2" t="s">
        <v>1007</v>
      </c>
    </row>
    <row r="109" spans="1:4">
      <c r="A109" s="6">
        <v>54272980</v>
      </c>
      <c r="B109" s="4" t="s">
        <v>1008</v>
      </c>
      <c r="C109" s="5" t="s">
        <v>1017</v>
      </c>
      <c r="D109" s="2" t="s">
        <v>1007</v>
      </c>
    </row>
    <row r="110" spans="1:4">
      <c r="A110" s="6">
        <v>90013750</v>
      </c>
      <c r="B110" s="4" t="s">
        <v>1011</v>
      </c>
      <c r="C110" s="5" t="s">
        <v>1020</v>
      </c>
      <c r="D110" s="2" t="s">
        <v>1007</v>
      </c>
    </row>
    <row r="111" spans="1:4">
      <c r="A111" s="6">
        <v>90017490</v>
      </c>
      <c r="B111" s="4" t="s">
        <v>1010</v>
      </c>
      <c r="C111" s="5" t="s">
        <v>1019</v>
      </c>
      <c r="D111" s="2" t="s">
        <v>1007</v>
      </c>
    </row>
    <row r="112" spans="1:4">
      <c r="A112" s="6">
        <v>90024120</v>
      </c>
      <c r="B112" s="4" t="s">
        <v>1006</v>
      </c>
      <c r="C112" s="5" t="s">
        <v>1016</v>
      </c>
      <c r="D112" s="2" t="s">
        <v>1007</v>
      </c>
    </row>
    <row r="113" spans="1:4">
      <c r="A113" s="6">
        <v>90024320</v>
      </c>
      <c r="B113" s="4" t="s">
        <v>1113</v>
      </c>
      <c r="C113" s="5" t="s">
        <v>1119</v>
      </c>
      <c r="D113" s="2" t="s">
        <v>1007</v>
      </c>
    </row>
    <row r="114" spans="1:4">
      <c r="A114" s="6">
        <v>90025220</v>
      </c>
      <c r="B114" s="4" t="s">
        <v>1012</v>
      </c>
      <c r="C114" s="5" t="s">
        <v>1021</v>
      </c>
      <c r="D114" s="2" t="s">
        <v>1007</v>
      </c>
    </row>
    <row r="115" spans="1:4">
      <c r="A115" s="6">
        <v>90025240</v>
      </c>
      <c r="B115" s="4" t="s">
        <v>1013</v>
      </c>
      <c r="C115" s="5" t="s">
        <v>1022</v>
      </c>
      <c r="D115" s="2" t="s">
        <v>1007</v>
      </c>
    </row>
    <row r="116" spans="1:4">
      <c r="A116" s="6">
        <v>90134350</v>
      </c>
      <c r="B116" s="4" t="s">
        <v>1112</v>
      </c>
      <c r="C116" s="5" t="s">
        <v>1118</v>
      </c>
      <c r="D116" s="2" t="s">
        <v>1007</v>
      </c>
    </row>
    <row r="117" spans="1:4">
      <c r="A117" s="6">
        <v>50623490</v>
      </c>
      <c r="B117" s="4" t="s">
        <v>1058</v>
      </c>
      <c r="C117" s="5" t="s">
        <v>1063</v>
      </c>
      <c r="D117" s="2" t="s">
        <v>748</v>
      </c>
    </row>
    <row r="118" spans="1:4">
      <c r="A118" s="6">
        <v>50626550</v>
      </c>
      <c r="B118" s="4" t="s">
        <v>749</v>
      </c>
      <c r="C118" s="5" t="s">
        <v>833</v>
      </c>
      <c r="D118" s="2" t="s">
        <v>748</v>
      </c>
    </row>
    <row r="119" spans="1:4">
      <c r="A119" s="6">
        <v>54274690</v>
      </c>
      <c r="B119" s="4" t="s">
        <v>753</v>
      </c>
      <c r="C119" s="5" t="s">
        <v>837</v>
      </c>
      <c r="D119" s="2" t="s">
        <v>748</v>
      </c>
    </row>
    <row r="120" spans="1:4">
      <c r="A120" s="6">
        <v>90012710</v>
      </c>
      <c r="B120" s="4" t="s">
        <v>755</v>
      </c>
      <c r="C120" s="5" t="s">
        <v>839</v>
      </c>
      <c r="D120" s="2" t="s">
        <v>748</v>
      </c>
    </row>
    <row r="121" spans="1:4">
      <c r="A121" s="6">
        <v>90013610</v>
      </c>
      <c r="B121" s="4" t="s">
        <v>752</v>
      </c>
      <c r="C121" s="5" t="s">
        <v>836</v>
      </c>
      <c r="D121" s="2" t="s">
        <v>748</v>
      </c>
    </row>
    <row r="122" spans="1:4">
      <c r="A122" s="6">
        <v>90016770</v>
      </c>
      <c r="B122" s="4" t="s">
        <v>750</v>
      </c>
      <c r="C122" s="5" t="s">
        <v>834</v>
      </c>
      <c r="D122" s="2" t="s">
        <v>748</v>
      </c>
    </row>
    <row r="123" spans="1:4">
      <c r="A123" s="6">
        <v>90020290</v>
      </c>
      <c r="B123" s="4" t="s">
        <v>754</v>
      </c>
      <c r="C123" s="5" t="s">
        <v>838</v>
      </c>
      <c r="D123" s="2" t="s">
        <v>748</v>
      </c>
    </row>
    <row r="124" spans="1:4">
      <c r="A124" s="6">
        <v>90021450</v>
      </c>
      <c r="B124" s="4" t="s">
        <v>756</v>
      </c>
      <c r="C124" s="5" t="s">
        <v>901</v>
      </c>
      <c r="D124" s="2" t="s">
        <v>748</v>
      </c>
    </row>
    <row r="125" spans="1:4">
      <c r="A125" s="6">
        <v>90421510</v>
      </c>
      <c r="B125" s="4" t="s">
        <v>751</v>
      </c>
      <c r="C125" s="5" t="s">
        <v>835</v>
      </c>
      <c r="D125" s="2" t="s">
        <v>748</v>
      </c>
    </row>
    <row r="126" spans="1:4">
      <c r="A126" s="6">
        <v>54433750</v>
      </c>
      <c r="B126" s="4" t="s">
        <v>1075</v>
      </c>
      <c r="C126" s="5" t="s">
        <v>1078</v>
      </c>
      <c r="D126" s="2" t="s">
        <v>757</v>
      </c>
    </row>
    <row r="127" spans="1:4">
      <c r="A127" s="6">
        <v>90011050</v>
      </c>
      <c r="B127" s="4" t="s">
        <v>758</v>
      </c>
      <c r="C127" s="5" t="s">
        <v>840</v>
      </c>
      <c r="D127" s="2" t="s">
        <v>757</v>
      </c>
    </row>
    <row r="128" spans="1:4">
      <c r="A128" s="6">
        <v>90012150</v>
      </c>
      <c r="B128" s="4" t="s">
        <v>759</v>
      </c>
      <c r="C128" s="5" t="s">
        <v>841</v>
      </c>
      <c r="D128" s="2" t="s">
        <v>757</v>
      </c>
    </row>
    <row r="129" spans="1:4">
      <c r="A129" s="6">
        <v>90016920</v>
      </c>
      <c r="B129" s="4" t="s">
        <v>760</v>
      </c>
      <c r="C129" s="5" t="s">
        <v>842</v>
      </c>
      <c r="D129" s="2" t="s">
        <v>757</v>
      </c>
    </row>
    <row r="130" spans="1:4">
      <c r="A130" s="6">
        <v>90016930</v>
      </c>
      <c r="B130" s="4" t="s">
        <v>761</v>
      </c>
      <c r="C130" s="5" t="s">
        <v>843</v>
      </c>
      <c r="D130" s="2" t="s">
        <v>757</v>
      </c>
    </row>
    <row r="131" spans="1:4">
      <c r="A131" s="6">
        <v>90017450</v>
      </c>
      <c r="B131" s="4" t="s">
        <v>762</v>
      </c>
      <c r="C131" s="5" t="s">
        <v>844</v>
      </c>
      <c r="D131" s="2" t="s">
        <v>757</v>
      </c>
    </row>
    <row r="132" spans="1:4">
      <c r="A132" s="6">
        <v>90021650</v>
      </c>
      <c r="B132" s="4" t="s">
        <v>764</v>
      </c>
      <c r="C132" s="5" t="s">
        <v>845</v>
      </c>
      <c r="D132" s="2" t="s">
        <v>757</v>
      </c>
    </row>
    <row r="133" spans="1:4">
      <c r="A133" s="6">
        <v>90021880</v>
      </c>
      <c r="B133" s="4" t="s">
        <v>765</v>
      </c>
      <c r="C133" s="5" t="s">
        <v>846</v>
      </c>
      <c r="D133" s="2" t="s">
        <v>757</v>
      </c>
    </row>
    <row r="134" spans="1:4">
      <c r="A134" s="6">
        <v>90025520</v>
      </c>
      <c r="B134" s="4" t="s">
        <v>763</v>
      </c>
      <c r="C134" s="5" t="s">
        <v>834</v>
      </c>
      <c r="D134" s="2" t="s">
        <v>757</v>
      </c>
    </row>
    <row r="135" spans="1:4">
      <c r="A135" s="6">
        <v>54436430</v>
      </c>
      <c r="B135" s="4" t="s">
        <v>767</v>
      </c>
      <c r="C135" s="5" t="s">
        <v>847</v>
      </c>
      <c r="D135" s="2" t="s">
        <v>766</v>
      </c>
    </row>
    <row r="136" spans="1:4">
      <c r="A136" s="6">
        <v>63951633</v>
      </c>
      <c r="B136" s="4" t="s">
        <v>994</v>
      </c>
      <c r="C136" s="5" t="s">
        <v>1000</v>
      </c>
      <c r="D136" s="2" t="s">
        <v>766</v>
      </c>
    </row>
    <row r="137" spans="1:4">
      <c r="A137" s="6">
        <v>66611290</v>
      </c>
      <c r="B137" s="4" t="s">
        <v>773</v>
      </c>
      <c r="C137" s="5" t="s">
        <v>851</v>
      </c>
      <c r="D137" s="2" t="s">
        <v>766</v>
      </c>
    </row>
    <row r="138" spans="1:4">
      <c r="A138" s="6">
        <v>66611320</v>
      </c>
      <c r="B138" s="4" t="s">
        <v>780</v>
      </c>
      <c r="C138" s="5" t="s">
        <v>857</v>
      </c>
      <c r="D138" s="2" t="s">
        <v>766</v>
      </c>
    </row>
    <row r="139" spans="1:4">
      <c r="A139" s="6">
        <v>66611580</v>
      </c>
      <c r="B139" s="4" t="s">
        <v>781</v>
      </c>
      <c r="C139" s="5" t="s">
        <v>858</v>
      </c>
      <c r="D139" s="2" t="s">
        <v>766</v>
      </c>
    </row>
    <row r="140" spans="1:4">
      <c r="A140" s="6">
        <v>66612340</v>
      </c>
      <c r="B140" s="4" t="s">
        <v>779</v>
      </c>
      <c r="C140" s="5" t="s">
        <v>856</v>
      </c>
      <c r="D140" s="2" t="s">
        <v>766</v>
      </c>
    </row>
    <row r="141" spans="1:4">
      <c r="A141" s="6">
        <v>66613010</v>
      </c>
      <c r="B141" s="4" t="s">
        <v>778</v>
      </c>
      <c r="C141" s="5" t="s">
        <v>855</v>
      </c>
      <c r="D141" s="2" t="s">
        <v>766</v>
      </c>
    </row>
    <row r="142" spans="1:4">
      <c r="A142" s="6">
        <v>90012780</v>
      </c>
      <c r="C142" s="5" t="s">
        <v>844</v>
      </c>
      <c r="D142" s="2" t="s">
        <v>766</v>
      </c>
    </row>
    <row r="143" spans="1:4">
      <c r="A143" s="6">
        <v>90017460</v>
      </c>
      <c r="B143" s="4" t="s">
        <v>769</v>
      </c>
      <c r="C143" s="5" t="s">
        <v>848</v>
      </c>
      <c r="D143" s="2" t="s">
        <v>766</v>
      </c>
    </row>
    <row r="144" spans="1:4">
      <c r="A144" s="6">
        <v>90017820</v>
      </c>
      <c r="B144" s="4" t="s">
        <v>770</v>
      </c>
      <c r="C144" s="5" t="s">
        <v>849</v>
      </c>
      <c r="D144" s="2" t="s">
        <v>766</v>
      </c>
    </row>
    <row r="145" spans="1:4">
      <c r="A145" s="6">
        <v>90018880</v>
      </c>
      <c r="B145" s="4" t="s">
        <v>771</v>
      </c>
      <c r="C145" s="5" t="s">
        <v>904</v>
      </c>
      <c r="D145" s="2" t="s">
        <v>766</v>
      </c>
    </row>
    <row r="146" spans="1:4">
      <c r="A146" s="6">
        <v>90019800</v>
      </c>
      <c r="B146" s="4" t="s">
        <v>772</v>
      </c>
      <c r="C146" s="5" t="s">
        <v>850</v>
      </c>
      <c r="D146" s="2" t="s">
        <v>766</v>
      </c>
    </row>
    <row r="147" spans="1:4">
      <c r="A147" s="6">
        <v>90026140</v>
      </c>
      <c r="B147" s="4" t="s">
        <v>774</v>
      </c>
      <c r="C147" s="5" t="s">
        <v>852</v>
      </c>
      <c r="D147" s="2" t="s">
        <v>766</v>
      </c>
    </row>
    <row r="148" spans="1:4">
      <c r="A148" s="6">
        <v>90133460</v>
      </c>
      <c r="B148" s="4" t="s">
        <v>294</v>
      </c>
      <c r="C148" s="5" t="s">
        <v>940</v>
      </c>
      <c r="D148" s="2" t="s">
        <v>766</v>
      </c>
    </row>
    <row r="149" spans="1:4">
      <c r="A149" s="6">
        <v>90850130</v>
      </c>
      <c r="B149" s="4" t="s">
        <v>775</v>
      </c>
      <c r="C149" s="5" t="s">
        <v>853</v>
      </c>
      <c r="D149" s="2" t="s">
        <v>766</v>
      </c>
    </row>
    <row r="150" spans="1:4">
      <c r="A150" s="6">
        <v>90850950</v>
      </c>
      <c r="B150" s="4" t="s">
        <v>777</v>
      </c>
      <c r="C150" s="5" t="s">
        <v>854</v>
      </c>
      <c r="D150" s="2" t="s">
        <v>766</v>
      </c>
    </row>
    <row r="151" spans="1:4">
      <c r="B151" s="4" t="s">
        <v>714</v>
      </c>
      <c r="C151" s="5" t="s">
        <v>1037</v>
      </c>
      <c r="D151" s="2" t="s">
        <v>766</v>
      </c>
    </row>
    <row r="152" spans="1:4">
      <c r="B152" s="4" t="s">
        <v>1038</v>
      </c>
      <c r="C152" s="5" t="s">
        <v>1039</v>
      </c>
      <c r="D152" s="2" t="s">
        <v>766</v>
      </c>
    </row>
    <row r="153" spans="1:4">
      <c r="A153" s="6">
        <v>28839880</v>
      </c>
      <c r="B153" s="4" t="s">
        <v>783</v>
      </c>
      <c r="C153" s="5" t="s">
        <v>859</v>
      </c>
      <c r="D153" s="2" t="s">
        <v>782</v>
      </c>
    </row>
    <row r="154" spans="1:4">
      <c r="A154" s="6">
        <v>28845010</v>
      </c>
      <c r="B154" s="4" t="s">
        <v>784</v>
      </c>
      <c r="C154" s="5" t="s">
        <v>859</v>
      </c>
      <c r="D154" s="2" t="s">
        <v>782</v>
      </c>
    </row>
    <row r="155" spans="1:4">
      <c r="A155" s="6">
        <v>28853250</v>
      </c>
      <c r="B155" s="4" t="s">
        <v>785</v>
      </c>
      <c r="C155" s="5" t="s">
        <v>860</v>
      </c>
      <c r="D155" s="2" t="s">
        <v>782</v>
      </c>
    </row>
    <row r="156" spans="1:4">
      <c r="A156" s="6">
        <v>28853850</v>
      </c>
      <c r="B156" s="4" t="s">
        <v>996</v>
      </c>
      <c r="C156" s="5" t="s">
        <v>1002</v>
      </c>
      <c r="D156" s="2" t="s">
        <v>782</v>
      </c>
    </row>
    <row r="157" spans="1:4">
      <c r="A157" s="6">
        <v>45531730</v>
      </c>
      <c r="B157" s="4" t="s">
        <v>791</v>
      </c>
      <c r="C157" s="5" t="s">
        <v>415</v>
      </c>
      <c r="D157" s="2" t="s">
        <v>782</v>
      </c>
    </row>
    <row r="158" spans="1:4">
      <c r="A158" s="6">
        <v>45532130</v>
      </c>
      <c r="B158" s="4" t="s">
        <v>790</v>
      </c>
      <c r="C158" s="5" t="s">
        <v>862</v>
      </c>
      <c r="D158" s="2" t="s">
        <v>782</v>
      </c>
    </row>
    <row r="159" spans="1:4">
      <c r="A159" s="6">
        <v>45532303</v>
      </c>
      <c r="B159" s="4" t="s">
        <v>786</v>
      </c>
      <c r="C159" s="5" t="s">
        <v>415</v>
      </c>
      <c r="D159" s="2" t="s">
        <v>782</v>
      </c>
    </row>
    <row r="160" spans="1:4">
      <c r="A160" s="6">
        <v>45532310</v>
      </c>
      <c r="B160" s="4" t="s">
        <v>787</v>
      </c>
      <c r="C160" s="5" t="s">
        <v>415</v>
      </c>
      <c r="D160" s="2" t="s">
        <v>782</v>
      </c>
    </row>
    <row r="161" spans="1:4">
      <c r="A161" s="6">
        <v>45532420</v>
      </c>
      <c r="B161" s="4" t="s">
        <v>788</v>
      </c>
      <c r="C161" s="5" t="s">
        <v>415</v>
      </c>
      <c r="D161" s="2" t="s">
        <v>782</v>
      </c>
    </row>
    <row r="162" spans="1:4">
      <c r="A162" s="6">
        <v>45532680</v>
      </c>
      <c r="B162" s="4" t="s">
        <v>789</v>
      </c>
      <c r="C162" s="5" t="s">
        <v>861</v>
      </c>
      <c r="D162" s="2" t="s">
        <v>782</v>
      </c>
    </row>
    <row r="163" spans="1:4">
      <c r="A163" s="6">
        <v>45533060</v>
      </c>
      <c r="B163" s="4" t="s">
        <v>1128</v>
      </c>
      <c r="C163" s="5" t="s">
        <v>1132</v>
      </c>
      <c r="D163" s="2" t="s">
        <v>782</v>
      </c>
    </row>
    <row r="164" spans="1:4">
      <c r="A164" s="6">
        <v>45533193</v>
      </c>
      <c r="B164" s="4" t="s">
        <v>792</v>
      </c>
      <c r="C164" s="5" t="s">
        <v>862</v>
      </c>
      <c r="D164" s="2" t="s">
        <v>782</v>
      </c>
    </row>
    <row r="165" spans="1:4">
      <c r="A165" s="6">
        <v>45801043</v>
      </c>
      <c r="B165" s="4" t="s">
        <v>801</v>
      </c>
      <c r="C165" s="5" t="s">
        <v>942</v>
      </c>
      <c r="D165" s="2" t="s">
        <v>782</v>
      </c>
    </row>
    <row r="166" spans="1:4">
      <c r="A166" s="6">
        <v>45803253</v>
      </c>
      <c r="B166" s="4" t="s">
        <v>794</v>
      </c>
      <c r="C166" s="5" t="s">
        <v>379</v>
      </c>
      <c r="D166" s="2" t="s">
        <v>782</v>
      </c>
    </row>
    <row r="167" spans="1:4">
      <c r="A167" s="6">
        <v>45805813</v>
      </c>
      <c r="B167" s="4" t="s">
        <v>315</v>
      </c>
      <c r="C167" s="5" t="s">
        <v>869</v>
      </c>
      <c r="D167" s="2" t="s">
        <v>782</v>
      </c>
    </row>
    <row r="168" spans="1:4">
      <c r="A168" s="6">
        <v>45806630</v>
      </c>
      <c r="B168" s="4" t="s">
        <v>795</v>
      </c>
      <c r="C168" s="5" t="s">
        <v>379</v>
      </c>
      <c r="D168" s="2" t="s">
        <v>782</v>
      </c>
    </row>
    <row r="169" spans="1:4">
      <c r="A169" s="6">
        <v>45806640</v>
      </c>
      <c r="B169" s="4" t="s">
        <v>800</v>
      </c>
      <c r="C169" s="5" t="s">
        <v>868</v>
      </c>
      <c r="D169" s="2" t="s">
        <v>782</v>
      </c>
    </row>
    <row r="170" spans="1:4">
      <c r="A170" s="6">
        <v>45806710</v>
      </c>
      <c r="B170" s="4" t="s">
        <v>797</v>
      </c>
      <c r="C170" s="5" t="s">
        <v>865</v>
      </c>
      <c r="D170" s="2" t="s">
        <v>782</v>
      </c>
    </row>
    <row r="171" spans="1:4">
      <c r="A171" s="6">
        <v>45806750</v>
      </c>
      <c r="B171" s="4" t="s">
        <v>796</v>
      </c>
      <c r="C171" s="5" t="s">
        <v>864</v>
      </c>
      <c r="D171" s="2" t="s">
        <v>782</v>
      </c>
    </row>
    <row r="172" spans="1:4">
      <c r="A172" s="6">
        <v>45807923</v>
      </c>
      <c r="B172" s="4" t="s">
        <v>259</v>
      </c>
      <c r="C172" s="5" t="s">
        <v>379</v>
      </c>
      <c r="D172" s="2" t="s">
        <v>782</v>
      </c>
    </row>
    <row r="173" spans="1:4">
      <c r="A173" s="6">
        <v>51102200</v>
      </c>
      <c r="B173" s="4" t="s">
        <v>798</v>
      </c>
      <c r="C173" s="5" t="s">
        <v>866</v>
      </c>
      <c r="D173" s="2" t="s">
        <v>782</v>
      </c>
    </row>
    <row r="174" spans="1:4">
      <c r="A174" s="6">
        <v>54710960</v>
      </c>
      <c r="B174" s="4" t="s">
        <v>799</v>
      </c>
      <c r="C174" s="5" t="s">
        <v>867</v>
      </c>
      <c r="D174" s="2" t="s">
        <v>782</v>
      </c>
    </row>
    <row r="175" spans="1:4">
      <c r="A175" s="6">
        <v>90019270</v>
      </c>
      <c r="B175" s="4" t="s">
        <v>1046</v>
      </c>
      <c r="C175" s="5" t="s">
        <v>1047</v>
      </c>
      <c r="D175" s="2" t="s">
        <v>782</v>
      </c>
    </row>
    <row r="176" spans="1:4">
      <c r="A176" s="6">
        <v>97510300</v>
      </c>
      <c r="B176" s="4" t="s">
        <v>793</v>
      </c>
      <c r="C176" s="5" t="s">
        <v>863</v>
      </c>
      <c r="D176" s="2" t="s">
        <v>782</v>
      </c>
    </row>
    <row r="177" spans="1:4">
      <c r="A177" s="6">
        <v>28848690</v>
      </c>
      <c r="B177" s="4" t="s">
        <v>295</v>
      </c>
      <c r="C177" s="5" t="s">
        <v>405</v>
      </c>
      <c r="D177" s="2" t="s">
        <v>293</v>
      </c>
    </row>
    <row r="178" spans="1:4">
      <c r="A178" s="6">
        <v>28851860</v>
      </c>
      <c r="B178" s="4" t="s">
        <v>296</v>
      </c>
      <c r="C178" s="5" t="s">
        <v>406</v>
      </c>
      <c r="D178" s="2" t="s">
        <v>293</v>
      </c>
    </row>
    <row r="179" spans="1:4">
      <c r="A179" s="6">
        <v>40300450</v>
      </c>
      <c r="B179" s="4" t="s">
        <v>297</v>
      </c>
      <c r="C179" s="5" t="s">
        <v>407</v>
      </c>
      <c r="D179" s="2" t="s">
        <v>293</v>
      </c>
    </row>
    <row r="180" spans="1:4">
      <c r="A180" s="6">
        <v>40370130</v>
      </c>
      <c r="B180" s="4" t="s">
        <v>320</v>
      </c>
      <c r="C180" s="5" t="s">
        <v>425</v>
      </c>
      <c r="D180" s="2" t="s">
        <v>293</v>
      </c>
    </row>
    <row r="181" spans="1:4">
      <c r="A181" s="6">
        <v>41320070</v>
      </c>
      <c r="B181" s="4" t="s">
        <v>298</v>
      </c>
      <c r="C181" s="5" t="s">
        <v>408</v>
      </c>
      <c r="D181" s="2" t="s">
        <v>293</v>
      </c>
    </row>
    <row r="182" spans="1:4">
      <c r="A182" s="6">
        <v>41320100</v>
      </c>
      <c r="B182" s="4" t="s">
        <v>299</v>
      </c>
      <c r="C182" s="5" t="s">
        <v>409</v>
      </c>
      <c r="D182" s="2" t="s">
        <v>293</v>
      </c>
    </row>
    <row r="183" spans="1:4">
      <c r="A183" s="6">
        <v>41320110</v>
      </c>
      <c r="B183" s="4" t="s">
        <v>300</v>
      </c>
      <c r="C183" s="5" t="s">
        <v>409</v>
      </c>
      <c r="D183" s="2" t="s">
        <v>293</v>
      </c>
    </row>
    <row r="184" spans="1:4">
      <c r="A184" s="6">
        <v>43240150</v>
      </c>
      <c r="B184" s="4" t="s">
        <v>303</v>
      </c>
      <c r="C184" s="5" t="s">
        <v>412</v>
      </c>
      <c r="D184" s="2" t="s">
        <v>293</v>
      </c>
    </row>
    <row r="185" spans="1:4">
      <c r="A185" s="6">
        <v>43636910</v>
      </c>
      <c r="B185" s="4" t="s">
        <v>304</v>
      </c>
      <c r="C185" s="5" t="s">
        <v>413</v>
      </c>
      <c r="D185" s="2" t="s">
        <v>293</v>
      </c>
    </row>
    <row r="186" spans="1:4">
      <c r="A186" s="6">
        <v>43636920</v>
      </c>
      <c r="B186" s="4" t="s">
        <v>301</v>
      </c>
      <c r="C186" s="5" t="s">
        <v>410</v>
      </c>
      <c r="D186" s="2" t="s">
        <v>293</v>
      </c>
    </row>
    <row r="187" spans="1:4">
      <c r="A187" s="6">
        <v>44812260</v>
      </c>
      <c r="B187" s="4" t="s">
        <v>302</v>
      </c>
      <c r="C187" s="5" t="s">
        <v>411</v>
      </c>
      <c r="D187" s="2" t="s">
        <v>293</v>
      </c>
    </row>
    <row r="188" spans="1:4">
      <c r="A188" s="6">
        <v>45531970</v>
      </c>
      <c r="B188" s="4" t="s">
        <v>1141</v>
      </c>
      <c r="C188" s="5" t="s">
        <v>415</v>
      </c>
      <c r="D188" s="2" t="s">
        <v>293</v>
      </c>
    </row>
    <row r="189" spans="1:4">
      <c r="A189" s="6">
        <v>45531980</v>
      </c>
      <c r="B189" s="4" t="s">
        <v>1035</v>
      </c>
      <c r="C189" s="5" t="s">
        <v>415</v>
      </c>
      <c r="D189" s="2" t="s">
        <v>293</v>
      </c>
    </row>
    <row r="190" spans="1:4">
      <c r="A190" s="6">
        <v>45532870</v>
      </c>
      <c r="B190" s="4" t="s">
        <v>305</v>
      </c>
      <c r="C190" s="5" t="s">
        <v>414</v>
      </c>
      <c r="D190" s="2" t="s">
        <v>293</v>
      </c>
    </row>
    <row r="191" spans="1:4">
      <c r="A191" s="6">
        <v>45802620</v>
      </c>
      <c r="B191" s="4" t="s">
        <v>306</v>
      </c>
      <c r="C191" s="5" t="s">
        <v>416</v>
      </c>
      <c r="D191" s="2" t="s">
        <v>293</v>
      </c>
    </row>
    <row r="192" spans="1:4">
      <c r="A192" s="6">
        <v>45802740</v>
      </c>
      <c r="B192" s="4" t="s">
        <v>307</v>
      </c>
      <c r="C192" s="5" t="s">
        <v>417</v>
      </c>
      <c r="D192" s="2" t="s">
        <v>293</v>
      </c>
    </row>
    <row r="193" spans="1:4">
      <c r="A193" s="6">
        <v>45803230</v>
      </c>
      <c r="B193" s="4" t="s">
        <v>308</v>
      </c>
      <c r="C193" s="5" t="s">
        <v>416</v>
      </c>
      <c r="D193" s="2" t="s">
        <v>293</v>
      </c>
    </row>
    <row r="194" spans="1:4">
      <c r="A194" s="6">
        <v>45803550</v>
      </c>
      <c r="B194" s="4" t="s">
        <v>309</v>
      </c>
      <c r="C194" s="5" t="s">
        <v>418</v>
      </c>
      <c r="D194" s="2" t="s">
        <v>293</v>
      </c>
    </row>
    <row r="195" spans="1:4">
      <c r="A195" s="6">
        <v>45805940</v>
      </c>
      <c r="B195" s="4" t="s">
        <v>310</v>
      </c>
      <c r="C195" s="5" t="s">
        <v>416</v>
      </c>
      <c r="D195" s="2" t="s">
        <v>293</v>
      </c>
    </row>
    <row r="196" spans="1:4">
      <c r="A196" s="6">
        <v>45806110</v>
      </c>
      <c r="B196" s="4" t="s">
        <v>443</v>
      </c>
      <c r="C196" s="5" t="s">
        <v>416</v>
      </c>
      <c r="D196" s="2" t="s">
        <v>293</v>
      </c>
    </row>
    <row r="197" spans="1:4">
      <c r="A197" s="6">
        <v>45807020</v>
      </c>
      <c r="B197" s="4" t="s">
        <v>311</v>
      </c>
      <c r="C197" s="5" t="s">
        <v>419</v>
      </c>
      <c r="D197" s="2" t="s">
        <v>293</v>
      </c>
    </row>
    <row r="198" spans="1:4">
      <c r="A198" s="6">
        <v>45840220</v>
      </c>
      <c r="B198" s="4" t="s">
        <v>312</v>
      </c>
      <c r="C198" s="5" t="s">
        <v>420</v>
      </c>
      <c r="D198" s="2" t="s">
        <v>293</v>
      </c>
    </row>
    <row r="199" spans="1:4">
      <c r="A199" s="6">
        <v>45910380</v>
      </c>
      <c r="B199" s="4" t="s">
        <v>313</v>
      </c>
      <c r="C199" s="5" t="s">
        <v>417</v>
      </c>
      <c r="D199" s="2" t="s">
        <v>293</v>
      </c>
    </row>
    <row r="200" spans="1:4">
      <c r="A200" s="6">
        <v>47690340</v>
      </c>
      <c r="B200" s="4" t="s">
        <v>314</v>
      </c>
      <c r="C200" s="5" t="s">
        <v>421</v>
      </c>
      <c r="D200" s="2" t="s">
        <v>293</v>
      </c>
    </row>
    <row r="201" spans="1:4">
      <c r="A201" s="6">
        <v>50030620</v>
      </c>
      <c r="B201" s="4" t="s">
        <v>316</v>
      </c>
      <c r="C201" s="5" t="s">
        <v>422</v>
      </c>
      <c r="D201" s="2" t="s">
        <v>293</v>
      </c>
    </row>
    <row r="202" spans="1:4">
      <c r="A202" s="6">
        <v>50344940</v>
      </c>
      <c r="B202" s="4" t="s">
        <v>321</v>
      </c>
      <c r="C202" s="5" t="s">
        <v>426</v>
      </c>
      <c r="D202" s="2" t="s">
        <v>293</v>
      </c>
    </row>
    <row r="203" spans="1:4">
      <c r="A203" s="6">
        <v>50345050</v>
      </c>
      <c r="B203" s="4" t="s">
        <v>317</v>
      </c>
      <c r="C203" s="5" t="s">
        <v>423</v>
      </c>
      <c r="D203" s="2" t="s">
        <v>293</v>
      </c>
    </row>
    <row r="204" spans="1:4">
      <c r="A204" s="6">
        <v>50371010</v>
      </c>
      <c r="B204" s="4" t="s">
        <v>322</v>
      </c>
      <c r="C204" s="5" t="s">
        <v>425</v>
      </c>
      <c r="D204" s="2" t="s">
        <v>293</v>
      </c>
    </row>
    <row r="205" spans="1:4">
      <c r="A205" s="6">
        <v>50371400</v>
      </c>
      <c r="B205" s="4" t="s">
        <v>323</v>
      </c>
      <c r="C205" s="5" t="s">
        <v>427</v>
      </c>
      <c r="D205" s="2" t="s">
        <v>293</v>
      </c>
    </row>
    <row r="206" spans="1:4">
      <c r="A206" s="6">
        <v>50444200</v>
      </c>
      <c r="B206" s="4" t="s">
        <v>319</v>
      </c>
      <c r="C206" s="5" t="s">
        <v>380</v>
      </c>
      <c r="D206" s="2" t="s">
        <v>293</v>
      </c>
    </row>
    <row r="207" spans="1:4">
      <c r="A207" s="6">
        <v>50637550</v>
      </c>
      <c r="B207" s="4" t="s">
        <v>325</v>
      </c>
      <c r="C207" s="5" t="s">
        <v>546</v>
      </c>
      <c r="D207" s="2" t="s">
        <v>293</v>
      </c>
    </row>
    <row r="208" spans="1:4">
      <c r="A208" s="6">
        <v>51072590</v>
      </c>
      <c r="B208" s="4" t="s">
        <v>324</v>
      </c>
      <c r="C208" s="5" t="s">
        <v>428</v>
      </c>
      <c r="D208" s="2" t="s">
        <v>293</v>
      </c>
    </row>
    <row r="209" spans="1:4">
      <c r="A209" s="6">
        <v>51145110</v>
      </c>
      <c r="B209" s="4" t="s">
        <v>318</v>
      </c>
      <c r="C209" s="5" t="s">
        <v>424</v>
      </c>
      <c r="D209" s="2" t="s">
        <v>293</v>
      </c>
    </row>
    <row r="210" spans="1:4">
      <c r="A210" s="6">
        <v>51152550</v>
      </c>
      <c r="B210" s="4" t="s">
        <v>326</v>
      </c>
      <c r="C210" s="5" t="s">
        <v>117</v>
      </c>
      <c r="D210" s="2" t="s">
        <v>293</v>
      </c>
    </row>
    <row r="211" spans="1:4">
      <c r="A211" s="6">
        <v>51154310</v>
      </c>
      <c r="B211" s="4" t="s">
        <v>327</v>
      </c>
      <c r="C211" s="5" t="s">
        <v>117</v>
      </c>
      <c r="D211" s="2" t="s">
        <v>293</v>
      </c>
    </row>
    <row r="212" spans="1:4">
      <c r="A212" s="6">
        <v>51154320</v>
      </c>
      <c r="B212" s="4" t="s">
        <v>328</v>
      </c>
      <c r="C212" s="5" t="s">
        <v>117</v>
      </c>
      <c r="D212" s="2" t="s">
        <v>293</v>
      </c>
    </row>
    <row r="213" spans="1:4">
      <c r="A213" s="6">
        <v>51154650</v>
      </c>
      <c r="B213" s="4" t="s">
        <v>329</v>
      </c>
      <c r="C213" s="5" t="s">
        <v>117</v>
      </c>
      <c r="D213" s="2" t="s">
        <v>293</v>
      </c>
    </row>
    <row r="214" spans="1:4">
      <c r="A214" s="6">
        <v>51155210</v>
      </c>
      <c r="B214" s="4" t="s">
        <v>1152</v>
      </c>
      <c r="C214" s="5" t="s">
        <v>117</v>
      </c>
      <c r="D214" s="2" t="s">
        <v>293</v>
      </c>
    </row>
    <row r="215" spans="1:4">
      <c r="A215" s="6">
        <v>51155370</v>
      </c>
      <c r="B215" s="4" t="s">
        <v>330</v>
      </c>
      <c r="C215" s="5" t="s">
        <v>117</v>
      </c>
      <c r="D215" s="2" t="s">
        <v>293</v>
      </c>
    </row>
    <row r="216" spans="1:4">
      <c r="A216" s="6">
        <v>51155380</v>
      </c>
      <c r="B216" s="4" t="s">
        <v>331</v>
      </c>
      <c r="C216" s="5" t="s">
        <v>117</v>
      </c>
      <c r="D216" s="2" t="s">
        <v>293</v>
      </c>
    </row>
    <row r="217" spans="1:4">
      <c r="A217" s="6">
        <v>51156100</v>
      </c>
      <c r="B217" s="4" t="s">
        <v>332</v>
      </c>
      <c r="C217" s="5" t="s">
        <v>429</v>
      </c>
      <c r="D217" s="2" t="s">
        <v>293</v>
      </c>
    </row>
    <row r="218" spans="1:4">
      <c r="A218" s="6">
        <v>51156740</v>
      </c>
      <c r="B218" s="4" t="s">
        <v>333</v>
      </c>
      <c r="C218" s="5" t="s">
        <v>117</v>
      </c>
      <c r="D218" s="2" t="s">
        <v>293</v>
      </c>
    </row>
    <row r="219" spans="1:4">
      <c r="A219" s="6">
        <v>51156870</v>
      </c>
      <c r="B219" s="4" t="s">
        <v>334</v>
      </c>
      <c r="C219" s="5" t="s">
        <v>117</v>
      </c>
      <c r="D219" s="2" t="s">
        <v>293</v>
      </c>
    </row>
    <row r="220" spans="1:4">
      <c r="A220" s="6">
        <v>51157210</v>
      </c>
      <c r="B220" s="4" t="s">
        <v>335</v>
      </c>
      <c r="C220" s="5" t="s">
        <v>117</v>
      </c>
      <c r="D220" s="2" t="s">
        <v>293</v>
      </c>
    </row>
    <row r="221" spans="1:4">
      <c r="A221" s="6">
        <v>51157440</v>
      </c>
      <c r="B221" s="4" t="s">
        <v>336</v>
      </c>
      <c r="C221" s="5" t="s">
        <v>117</v>
      </c>
      <c r="D221" s="2" t="s">
        <v>293</v>
      </c>
    </row>
    <row r="222" spans="1:4">
      <c r="A222" s="6">
        <v>51159340</v>
      </c>
      <c r="B222" s="4" t="s">
        <v>337</v>
      </c>
      <c r="C222" s="5" t="s">
        <v>117</v>
      </c>
      <c r="D222" s="2" t="s">
        <v>293</v>
      </c>
    </row>
    <row r="223" spans="1:4">
      <c r="A223" s="6">
        <v>51160930</v>
      </c>
      <c r="B223" s="4" t="s">
        <v>338</v>
      </c>
      <c r="C223" s="5" t="s">
        <v>117</v>
      </c>
      <c r="D223" s="2" t="s">
        <v>293</v>
      </c>
    </row>
    <row r="224" spans="1:4">
      <c r="A224" s="6">
        <v>51161440</v>
      </c>
      <c r="B224" s="4" t="s">
        <v>344</v>
      </c>
      <c r="C224" s="5" t="s">
        <v>117</v>
      </c>
      <c r="D224" s="2" t="s">
        <v>293</v>
      </c>
    </row>
    <row r="225" spans="1:4">
      <c r="A225" s="6">
        <v>51161750</v>
      </c>
      <c r="B225" s="4" t="s">
        <v>339</v>
      </c>
      <c r="C225" s="5" t="s">
        <v>117</v>
      </c>
      <c r="D225" s="2" t="s">
        <v>293</v>
      </c>
    </row>
    <row r="226" spans="1:4">
      <c r="A226" s="6">
        <v>51163800</v>
      </c>
      <c r="B226" s="4" t="s">
        <v>342</v>
      </c>
      <c r="C226" s="5" t="s">
        <v>432</v>
      </c>
      <c r="D226" s="2" t="s">
        <v>293</v>
      </c>
    </row>
    <row r="227" spans="1:4">
      <c r="A227" s="6">
        <v>51163810</v>
      </c>
      <c r="B227" s="4" t="s">
        <v>340</v>
      </c>
      <c r="C227" s="5" t="s">
        <v>430</v>
      </c>
      <c r="D227" s="2" t="s">
        <v>293</v>
      </c>
    </row>
    <row r="228" spans="1:4">
      <c r="A228" s="6">
        <v>51164580</v>
      </c>
      <c r="B228" s="4" t="s">
        <v>341</v>
      </c>
      <c r="C228" s="5" t="s">
        <v>431</v>
      </c>
      <c r="D228" s="2" t="s">
        <v>293</v>
      </c>
    </row>
    <row r="229" spans="1:4">
      <c r="A229" s="6">
        <v>53051620</v>
      </c>
      <c r="B229" s="4" t="s">
        <v>343</v>
      </c>
      <c r="C229" s="5" t="s">
        <v>433</v>
      </c>
      <c r="D229" s="2" t="s">
        <v>293</v>
      </c>
    </row>
    <row r="230" spans="1:4">
      <c r="A230" s="6">
        <v>53141500</v>
      </c>
      <c r="B230" s="4" t="s">
        <v>345</v>
      </c>
      <c r="C230" s="5" t="s">
        <v>434</v>
      </c>
      <c r="D230" s="2" t="s">
        <v>293</v>
      </c>
    </row>
    <row r="231" spans="1:4">
      <c r="A231" s="6">
        <v>53218840</v>
      </c>
      <c r="B231" s="4" t="s">
        <v>346</v>
      </c>
      <c r="C231" s="5" t="s">
        <v>435</v>
      </c>
      <c r="D231" s="2" t="s">
        <v>293</v>
      </c>
    </row>
    <row r="232" spans="1:4">
      <c r="A232" s="6">
        <v>53322580</v>
      </c>
      <c r="B232" s="4" t="s">
        <v>347</v>
      </c>
      <c r="C232" s="5" t="s">
        <v>119</v>
      </c>
      <c r="D232" s="2" t="s">
        <v>293</v>
      </c>
    </row>
    <row r="233" spans="1:4">
      <c r="A233" s="6">
        <v>53322680</v>
      </c>
      <c r="B233" s="4" t="s">
        <v>348</v>
      </c>
      <c r="C233" s="5" t="s">
        <v>119</v>
      </c>
      <c r="D233" s="2" t="s">
        <v>293</v>
      </c>
    </row>
    <row r="234" spans="1:4">
      <c r="A234" s="6">
        <v>53324440</v>
      </c>
      <c r="B234" s="4" t="s">
        <v>1153</v>
      </c>
      <c r="C234" s="5" t="s">
        <v>119</v>
      </c>
      <c r="D234" s="2" t="s">
        <v>293</v>
      </c>
    </row>
    <row r="235" spans="1:4">
      <c r="A235" s="6">
        <v>53329990</v>
      </c>
      <c r="B235" s="4" t="s">
        <v>351</v>
      </c>
      <c r="C235" s="5" t="s">
        <v>119</v>
      </c>
      <c r="D235" s="2" t="s">
        <v>293</v>
      </c>
    </row>
    <row r="236" spans="1:4">
      <c r="A236" s="6">
        <v>53633360</v>
      </c>
      <c r="B236" s="4" t="s">
        <v>356</v>
      </c>
      <c r="C236" s="5" t="s">
        <v>436</v>
      </c>
      <c r="D236" s="2" t="s">
        <v>293</v>
      </c>
    </row>
    <row r="237" spans="1:4">
      <c r="A237" s="6">
        <v>53633600</v>
      </c>
      <c r="B237" s="4" t="s">
        <v>352</v>
      </c>
      <c r="C237" s="5" t="s">
        <v>436</v>
      </c>
      <c r="D237" s="2" t="s">
        <v>293</v>
      </c>
    </row>
    <row r="238" spans="1:4">
      <c r="A238" s="6">
        <v>53634660</v>
      </c>
      <c r="B238" s="4" t="s">
        <v>353</v>
      </c>
      <c r="C238" s="5" t="s">
        <v>76</v>
      </c>
      <c r="D238" s="2" t="s">
        <v>293</v>
      </c>
    </row>
    <row r="239" spans="1:4">
      <c r="A239" s="6">
        <v>53635450</v>
      </c>
      <c r="B239" s="4" t="s">
        <v>349</v>
      </c>
      <c r="C239" s="5" t="s">
        <v>436</v>
      </c>
      <c r="D239" s="2" t="s">
        <v>293</v>
      </c>
    </row>
    <row r="240" spans="1:4">
      <c r="A240" s="6">
        <v>53636290</v>
      </c>
      <c r="B240" s="4" t="s">
        <v>355</v>
      </c>
      <c r="C240" s="5" t="s">
        <v>436</v>
      </c>
      <c r="D240" s="2" t="s">
        <v>293</v>
      </c>
    </row>
    <row r="241" spans="1:4">
      <c r="A241" s="6">
        <v>53651820</v>
      </c>
      <c r="B241" s="4" t="s">
        <v>354</v>
      </c>
      <c r="C241" s="5" t="s">
        <v>79</v>
      </c>
      <c r="D241" s="2" t="s">
        <v>293</v>
      </c>
    </row>
    <row r="242" spans="1:4">
      <c r="A242" s="6">
        <v>54027270</v>
      </c>
      <c r="B242" s="4" t="s">
        <v>357</v>
      </c>
      <c r="C242" s="5" t="s">
        <v>437</v>
      </c>
      <c r="D242" s="2" t="s">
        <v>293</v>
      </c>
    </row>
    <row r="243" spans="1:4">
      <c r="A243" s="6">
        <v>54111660</v>
      </c>
      <c r="B243" s="4" t="s">
        <v>358</v>
      </c>
      <c r="C243" s="5" t="s">
        <v>438</v>
      </c>
      <c r="D243" s="2" t="s">
        <v>293</v>
      </c>
    </row>
    <row r="244" spans="1:4">
      <c r="A244" s="6">
        <v>54710970</v>
      </c>
      <c r="B244" s="4" t="s">
        <v>359</v>
      </c>
      <c r="C244" s="5" t="s">
        <v>439</v>
      </c>
      <c r="D244" s="2" t="s">
        <v>293</v>
      </c>
    </row>
    <row r="245" spans="1:4">
      <c r="A245" s="6">
        <v>55811070</v>
      </c>
      <c r="B245" s="4" t="s">
        <v>360</v>
      </c>
      <c r="C245" s="5" t="s">
        <v>440</v>
      </c>
      <c r="D245" s="2" t="s">
        <v>293</v>
      </c>
    </row>
    <row r="246" spans="1:4">
      <c r="A246" s="6">
        <v>55812180</v>
      </c>
      <c r="B246" s="4" t="s">
        <v>362</v>
      </c>
      <c r="C246" s="5" t="s">
        <v>441</v>
      </c>
      <c r="D246" s="2" t="s">
        <v>293</v>
      </c>
    </row>
    <row r="247" spans="1:4">
      <c r="A247" s="6">
        <v>55812700</v>
      </c>
      <c r="B247" s="4" t="s">
        <v>363</v>
      </c>
      <c r="C247" s="5" t="s">
        <v>441</v>
      </c>
      <c r="D247" s="2" t="s">
        <v>293</v>
      </c>
    </row>
    <row r="248" spans="1:4">
      <c r="A248" s="6">
        <v>55820580</v>
      </c>
      <c r="B248" s="4" t="s">
        <v>442</v>
      </c>
      <c r="C248" s="5" t="s">
        <v>494</v>
      </c>
      <c r="D248" s="2" t="s">
        <v>293</v>
      </c>
    </row>
    <row r="249" spans="1:4">
      <c r="A249" s="6">
        <v>55841140</v>
      </c>
      <c r="B249" s="4" t="s">
        <v>444</v>
      </c>
      <c r="C249" s="5" t="s">
        <v>495</v>
      </c>
      <c r="D249" s="2" t="s">
        <v>293</v>
      </c>
    </row>
    <row r="250" spans="1:4">
      <c r="A250" s="6">
        <v>63040480</v>
      </c>
      <c r="B250" s="4" t="s">
        <v>445</v>
      </c>
      <c r="C250" s="5" t="s">
        <v>496</v>
      </c>
      <c r="D250" s="2" t="s">
        <v>293</v>
      </c>
    </row>
    <row r="251" spans="1:4">
      <c r="A251" s="6">
        <v>63040990</v>
      </c>
      <c r="B251" s="4" t="s">
        <v>446</v>
      </c>
      <c r="C251" s="5" t="s">
        <v>497</v>
      </c>
      <c r="D251" s="2" t="s">
        <v>293</v>
      </c>
    </row>
    <row r="252" spans="1:4">
      <c r="A252" s="6">
        <v>63100530</v>
      </c>
      <c r="B252" s="4" t="s">
        <v>447</v>
      </c>
      <c r="C252" s="5" t="s">
        <v>498</v>
      </c>
      <c r="D252" s="2" t="s">
        <v>293</v>
      </c>
    </row>
    <row r="253" spans="1:4">
      <c r="A253" s="6">
        <v>63431700</v>
      </c>
      <c r="B253" s="4" t="s">
        <v>450</v>
      </c>
      <c r="C253" s="5" t="s">
        <v>500</v>
      </c>
      <c r="D253" s="2" t="s">
        <v>293</v>
      </c>
    </row>
    <row r="254" spans="1:4">
      <c r="A254" s="6">
        <v>63432180</v>
      </c>
      <c r="B254" s="4" t="s">
        <v>449</v>
      </c>
      <c r="C254" s="5" t="s">
        <v>499</v>
      </c>
      <c r="D254" s="2" t="s">
        <v>293</v>
      </c>
    </row>
    <row r="255" spans="1:4">
      <c r="A255" s="6">
        <v>63620920</v>
      </c>
      <c r="B255" s="4" t="s">
        <v>451</v>
      </c>
      <c r="C255" s="5" t="s">
        <v>501</v>
      </c>
      <c r="D255" s="2" t="s">
        <v>293</v>
      </c>
    </row>
    <row r="256" spans="1:4">
      <c r="A256" s="6">
        <v>63621130</v>
      </c>
      <c r="B256" s="4" t="s">
        <v>452</v>
      </c>
      <c r="C256" s="5" t="s">
        <v>502</v>
      </c>
      <c r="D256" s="2" t="s">
        <v>293</v>
      </c>
    </row>
    <row r="257" spans="1:4">
      <c r="A257" s="6">
        <v>63621510</v>
      </c>
      <c r="B257" s="4" t="s">
        <v>453</v>
      </c>
      <c r="C257" s="5" t="s">
        <v>503</v>
      </c>
      <c r="D257" s="2" t="s">
        <v>293</v>
      </c>
    </row>
    <row r="258" spans="1:4">
      <c r="A258" s="6">
        <v>63621740</v>
      </c>
      <c r="B258" s="4" t="s">
        <v>456</v>
      </c>
      <c r="C258" s="5" t="s">
        <v>506</v>
      </c>
      <c r="D258" s="2" t="s">
        <v>293</v>
      </c>
    </row>
    <row r="259" spans="1:4">
      <c r="A259" s="6">
        <v>63621750</v>
      </c>
      <c r="B259" s="4" t="s">
        <v>454</v>
      </c>
      <c r="C259" s="5" t="s">
        <v>504</v>
      </c>
      <c r="D259" s="2" t="s">
        <v>293</v>
      </c>
    </row>
    <row r="260" spans="1:4">
      <c r="A260" s="6">
        <v>63621860</v>
      </c>
      <c r="B260" s="4" t="s">
        <v>457</v>
      </c>
      <c r="C260" s="5" t="s">
        <v>507</v>
      </c>
      <c r="D260" s="2" t="s">
        <v>293</v>
      </c>
    </row>
    <row r="261" spans="1:4">
      <c r="A261" s="6">
        <v>63622440</v>
      </c>
      <c r="B261" s="4" t="s">
        <v>455</v>
      </c>
      <c r="C261" s="5" t="s">
        <v>505</v>
      </c>
      <c r="D261" s="2" t="s">
        <v>293</v>
      </c>
    </row>
    <row r="262" spans="1:4">
      <c r="A262" s="6">
        <v>63623650</v>
      </c>
      <c r="B262" s="4" t="s">
        <v>458</v>
      </c>
      <c r="C262" s="5" t="s">
        <v>508</v>
      </c>
      <c r="D262" s="2" t="s">
        <v>293</v>
      </c>
    </row>
    <row r="263" spans="1:4">
      <c r="A263" s="6">
        <v>63623760</v>
      </c>
      <c r="B263" s="4" t="s">
        <v>459</v>
      </c>
      <c r="C263" s="5" t="s">
        <v>509</v>
      </c>
      <c r="D263" s="2" t="s">
        <v>293</v>
      </c>
    </row>
    <row r="264" spans="1:4">
      <c r="A264" s="6">
        <v>63623810</v>
      </c>
      <c r="B264" s="4" t="s">
        <v>460</v>
      </c>
      <c r="C264" s="5" t="s">
        <v>510</v>
      </c>
      <c r="D264" s="2" t="s">
        <v>293</v>
      </c>
    </row>
    <row r="265" spans="1:4">
      <c r="A265" s="6">
        <v>63623840</v>
      </c>
      <c r="B265" s="4" t="s">
        <v>1163</v>
      </c>
      <c r="C265" s="5" t="s">
        <v>512</v>
      </c>
      <c r="D265" s="2" t="s">
        <v>293</v>
      </c>
    </row>
    <row r="266" spans="1:4">
      <c r="A266" s="6">
        <v>63623860</v>
      </c>
      <c r="B266" s="4" t="s">
        <v>462</v>
      </c>
      <c r="C266" s="5" t="s">
        <v>513</v>
      </c>
      <c r="D266" s="2" t="s">
        <v>293</v>
      </c>
    </row>
    <row r="267" spans="1:4">
      <c r="A267" s="6">
        <v>63623880</v>
      </c>
      <c r="B267" s="4" t="s">
        <v>467</v>
      </c>
      <c r="C267" s="5" t="s">
        <v>519</v>
      </c>
      <c r="D267" s="2" t="s">
        <v>293</v>
      </c>
    </row>
    <row r="268" spans="1:4">
      <c r="A268" s="6">
        <v>63623980</v>
      </c>
      <c r="B268" s="4" t="s">
        <v>463</v>
      </c>
      <c r="C268" s="5" t="s">
        <v>514</v>
      </c>
      <c r="D268" s="2" t="s">
        <v>293</v>
      </c>
    </row>
    <row r="269" spans="1:4">
      <c r="A269" s="6">
        <v>63624020</v>
      </c>
      <c r="B269" s="4" t="s">
        <v>464</v>
      </c>
      <c r="C269" s="5" t="s">
        <v>515</v>
      </c>
      <c r="D269" s="2" t="s">
        <v>293</v>
      </c>
    </row>
    <row r="270" spans="1:4">
      <c r="A270" s="6">
        <v>63624060</v>
      </c>
      <c r="B270" s="4" t="s">
        <v>461</v>
      </c>
      <c r="C270" s="5" t="s">
        <v>511</v>
      </c>
      <c r="D270" s="2" t="s">
        <v>293</v>
      </c>
    </row>
    <row r="271" spans="1:4">
      <c r="A271" s="6">
        <v>63624680</v>
      </c>
      <c r="B271" s="4" t="s">
        <v>465</v>
      </c>
      <c r="C271" s="5" t="s">
        <v>517</v>
      </c>
      <c r="D271" s="2" t="s">
        <v>293</v>
      </c>
    </row>
    <row r="272" spans="1:4">
      <c r="A272" s="6">
        <v>63624690</v>
      </c>
      <c r="B272" s="4" t="s">
        <v>466</v>
      </c>
      <c r="C272" s="5" t="s">
        <v>518</v>
      </c>
      <c r="D272" s="2" t="s">
        <v>293</v>
      </c>
    </row>
    <row r="273" spans="1:4">
      <c r="A273" s="6">
        <v>63624710</v>
      </c>
      <c r="B273" s="4" t="s">
        <v>470</v>
      </c>
      <c r="C273" s="5" t="s">
        <v>522</v>
      </c>
      <c r="D273" s="2" t="s">
        <v>293</v>
      </c>
    </row>
    <row r="274" spans="1:4">
      <c r="A274" s="6">
        <v>63624810</v>
      </c>
      <c r="B274" s="4" t="s">
        <v>468</v>
      </c>
      <c r="C274" s="5" t="s">
        <v>520</v>
      </c>
      <c r="D274" s="2" t="s">
        <v>293</v>
      </c>
    </row>
    <row r="275" spans="1:4">
      <c r="A275" s="6">
        <v>63624820</v>
      </c>
      <c r="B275" s="4" t="s">
        <v>469</v>
      </c>
      <c r="C275" s="5" t="s">
        <v>521</v>
      </c>
      <c r="D275" s="2" t="s">
        <v>293</v>
      </c>
    </row>
    <row r="276" spans="1:4">
      <c r="A276" s="6">
        <v>63625240</v>
      </c>
      <c r="B276" s="4" t="s">
        <v>473</v>
      </c>
      <c r="C276" s="5" t="s">
        <v>526</v>
      </c>
      <c r="D276" s="2" t="s">
        <v>293</v>
      </c>
    </row>
    <row r="277" spans="1:4">
      <c r="A277" s="6">
        <v>63625260</v>
      </c>
      <c r="B277" s="4" t="s">
        <v>471</v>
      </c>
      <c r="C277" s="5" t="s">
        <v>523</v>
      </c>
      <c r="D277" s="2" t="s">
        <v>293</v>
      </c>
    </row>
    <row r="278" spans="1:4">
      <c r="A278" s="6">
        <v>63625330</v>
      </c>
      <c r="B278" s="4" t="s">
        <v>1164</v>
      </c>
      <c r="C278" s="5" t="s">
        <v>525</v>
      </c>
      <c r="D278" s="2" t="s">
        <v>293</v>
      </c>
    </row>
    <row r="279" spans="1:4">
      <c r="A279" s="6">
        <v>63625470</v>
      </c>
      <c r="B279" s="4" t="s">
        <v>472</v>
      </c>
      <c r="C279" s="5" t="s">
        <v>524</v>
      </c>
      <c r="D279" s="2" t="s">
        <v>293</v>
      </c>
    </row>
    <row r="280" spans="1:4">
      <c r="A280" s="6">
        <v>63625620</v>
      </c>
      <c r="B280" s="4" t="s">
        <v>479</v>
      </c>
      <c r="C280" s="5" t="s">
        <v>518</v>
      </c>
      <c r="D280" s="2" t="s">
        <v>293</v>
      </c>
    </row>
    <row r="281" spans="1:4">
      <c r="A281" s="6">
        <v>63625790</v>
      </c>
      <c r="B281" s="4" t="s">
        <v>474</v>
      </c>
      <c r="C281" s="5" t="s">
        <v>527</v>
      </c>
      <c r="D281" s="2" t="s">
        <v>293</v>
      </c>
    </row>
    <row r="282" spans="1:4">
      <c r="A282" s="6">
        <v>63625870</v>
      </c>
      <c r="B282" s="4" t="s">
        <v>478</v>
      </c>
      <c r="C282" s="5" t="s">
        <v>531</v>
      </c>
      <c r="D282" s="2" t="s">
        <v>293</v>
      </c>
    </row>
    <row r="283" spans="1:4">
      <c r="A283" s="6">
        <v>63626580</v>
      </c>
      <c r="B283" s="4" t="s">
        <v>481</v>
      </c>
      <c r="C283" s="5" t="s">
        <v>533</v>
      </c>
      <c r="D283" s="2" t="s">
        <v>293</v>
      </c>
    </row>
    <row r="284" spans="1:4">
      <c r="A284" s="6">
        <v>63626860</v>
      </c>
      <c r="B284" s="4" t="s">
        <v>475</v>
      </c>
      <c r="C284" s="5" t="s">
        <v>528</v>
      </c>
      <c r="D284" s="2" t="s">
        <v>293</v>
      </c>
    </row>
    <row r="285" spans="1:4">
      <c r="A285" s="6">
        <v>63627030</v>
      </c>
      <c r="B285" s="4" t="s">
        <v>480</v>
      </c>
      <c r="C285" s="5" t="s">
        <v>532</v>
      </c>
      <c r="D285" s="2" t="s">
        <v>293</v>
      </c>
    </row>
    <row r="286" spans="1:4">
      <c r="A286" s="6">
        <v>63628520</v>
      </c>
      <c r="B286" s="4" t="s">
        <v>476</v>
      </c>
      <c r="C286" s="5" t="s">
        <v>529</v>
      </c>
      <c r="D286" s="2" t="s">
        <v>293</v>
      </c>
    </row>
    <row r="287" spans="1:4">
      <c r="A287" s="6">
        <v>63628750</v>
      </c>
      <c r="B287" s="4" t="s">
        <v>482</v>
      </c>
      <c r="C287" s="5" t="s">
        <v>534</v>
      </c>
      <c r="D287" s="2" t="s">
        <v>293</v>
      </c>
    </row>
    <row r="288" spans="1:4">
      <c r="A288" s="6">
        <v>63628870</v>
      </c>
      <c r="B288" s="4" t="s">
        <v>547</v>
      </c>
      <c r="C288" s="5" t="s">
        <v>535</v>
      </c>
      <c r="D288" s="2" t="s">
        <v>293</v>
      </c>
    </row>
    <row r="289" spans="1:4">
      <c r="A289" s="6">
        <v>63629170</v>
      </c>
      <c r="B289" s="4" t="s">
        <v>1091</v>
      </c>
      <c r="C289" s="5" t="s">
        <v>1093</v>
      </c>
      <c r="D289" s="2" t="s">
        <v>293</v>
      </c>
    </row>
    <row r="290" spans="1:4">
      <c r="A290" s="6">
        <v>63629220</v>
      </c>
      <c r="B290" s="4" t="s">
        <v>483</v>
      </c>
      <c r="C290" s="5" t="s">
        <v>536</v>
      </c>
      <c r="D290" s="2" t="s">
        <v>293</v>
      </c>
    </row>
    <row r="291" spans="1:4">
      <c r="A291" s="6">
        <v>63629530</v>
      </c>
      <c r="B291" s="4" t="s">
        <v>486</v>
      </c>
      <c r="C291" s="5" t="s">
        <v>538</v>
      </c>
      <c r="D291" s="2" t="s">
        <v>293</v>
      </c>
    </row>
    <row r="292" spans="1:4">
      <c r="A292" s="6">
        <v>63629580</v>
      </c>
      <c r="B292" s="4" t="s">
        <v>484</v>
      </c>
      <c r="C292" s="5" t="s">
        <v>537</v>
      </c>
      <c r="D292" s="2" t="s">
        <v>293</v>
      </c>
    </row>
    <row r="293" spans="1:4">
      <c r="A293" s="6">
        <v>63629770</v>
      </c>
      <c r="B293" s="4" t="s">
        <v>485</v>
      </c>
      <c r="C293" s="5" t="s">
        <v>516</v>
      </c>
      <c r="D293" s="2" t="s">
        <v>293</v>
      </c>
    </row>
    <row r="294" spans="1:4">
      <c r="A294" s="6">
        <v>63630100</v>
      </c>
      <c r="B294" s="4" t="s">
        <v>487</v>
      </c>
      <c r="C294" s="5" t="s">
        <v>539</v>
      </c>
      <c r="D294" s="2" t="s">
        <v>293</v>
      </c>
    </row>
    <row r="295" spans="1:4">
      <c r="A295" s="6">
        <v>63630370</v>
      </c>
      <c r="B295" s="4" t="s">
        <v>488</v>
      </c>
      <c r="C295" s="5" t="s">
        <v>540</v>
      </c>
      <c r="D295" s="2" t="s">
        <v>293</v>
      </c>
    </row>
    <row r="296" spans="1:4">
      <c r="A296" s="6">
        <v>63631150</v>
      </c>
      <c r="B296" s="4" t="s">
        <v>490</v>
      </c>
      <c r="C296" s="5" t="s">
        <v>517</v>
      </c>
      <c r="D296" s="2" t="s">
        <v>293</v>
      </c>
    </row>
    <row r="297" spans="1:4">
      <c r="A297" s="6">
        <v>63631740</v>
      </c>
      <c r="B297" s="4" t="s">
        <v>719</v>
      </c>
      <c r="C297" s="5" t="s">
        <v>542</v>
      </c>
      <c r="D297" s="2" t="s">
        <v>293</v>
      </c>
    </row>
    <row r="298" spans="1:4">
      <c r="A298" s="6">
        <v>63632440</v>
      </c>
      <c r="B298" s="4" t="s">
        <v>492</v>
      </c>
      <c r="C298" s="5" t="s">
        <v>543</v>
      </c>
      <c r="D298" s="2" t="s">
        <v>293</v>
      </c>
    </row>
    <row r="299" spans="1:4">
      <c r="A299" s="6">
        <v>63633390</v>
      </c>
      <c r="B299" s="4" t="s">
        <v>493</v>
      </c>
      <c r="C299" s="5" t="s">
        <v>544</v>
      </c>
      <c r="D299" s="2" t="s">
        <v>293</v>
      </c>
    </row>
    <row r="300" spans="1:4">
      <c r="A300" s="6">
        <v>63634100</v>
      </c>
      <c r="B300" s="4" t="s">
        <v>548</v>
      </c>
      <c r="C300" s="5" t="s">
        <v>700</v>
      </c>
      <c r="D300" s="2" t="s">
        <v>293</v>
      </c>
    </row>
    <row r="301" spans="1:4">
      <c r="A301" s="6">
        <v>63634350</v>
      </c>
      <c r="B301" s="4" t="s">
        <v>549</v>
      </c>
      <c r="C301" s="5" t="s">
        <v>699</v>
      </c>
      <c r="D301" s="2" t="s">
        <v>293</v>
      </c>
    </row>
    <row r="302" spans="1:4">
      <c r="A302" s="6">
        <v>63634490</v>
      </c>
      <c r="B302" s="4" t="s">
        <v>554</v>
      </c>
      <c r="C302" s="5" t="s">
        <v>635</v>
      </c>
      <c r="D302" s="2" t="s">
        <v>293</v>
      </c>
    </row>
    <row r="303" spans="1:4">
      <c r="A303" s="6">
        <v>63634680</v>
      </c>
      <c r="B303" s="4" t="s">
        <v>550</v>
      </c>
      <c r="C303" s="5" t="s">
        <v>698</v>
      </c>
      <c r="D303" s="2" t="s">
        <v>293</v>
      </c>
    </row>
    <row r="304" spans="1:4">
      <c r="A304" s="6">
        <v>63635360</v>
      </c>
      <c r="B304" s="4" t="s">
        <v>558</v>
      </c>
      <c r="C304" s="5" t="s">
        <v>640</v>
      </c>
      <c r="D304" s="2" t="s">
        <v>293</v>
      </c>
    </row>
    <row r="305" spans="1:4">
      <c r="A305" s="6">
        <v>63635920</v>
      </c>
      <c r="B305" s="4" t="s">
        <v>551</v>
      </c>
      <c r="C305" s="5" t="s">
        <v>697</v>
      </c>
      <c r="D305" s="2" t="s">
        <v>293</v>
      </c>
    </row>
    <row r="306" spans="1:4">
      <c r="A306" s="6">
        <v>63635970</v>
      </c>
      <c r="B306" s="4" t="s">
        <v>560</v>
      </c>
      <c r="C306" s="5" t="s">
        <v>642</v>
      </c>
      <c r="D306" s="2" t="s">
        <v>293</v>
      </c>
    </row>
    <row r="307" spans="1:4">
      <c r="A307" s="6">
        <v>63636100</v>
      </c>
      <c r="B307" s="4" t="s">
        <v>489</v>
      </c>
      <c r="C307" s="5" t="s">
        <v>541</v>
      </c>
      <c r="D307" s="2" t="s">
        <v>293</v>
      </c>
    </row>
    <row r="308" spans="1:4">
      <c r="A308" s="6">
        <v>63636130</v>
      </c>
      <c r="B308" s="4" t="s">
        <v>477</v>
      </c>
      <c r="C308" s="5" t="s">
        <v>530</v>
      </c>
      <c r="D308" s="2" t="s">
        <v>293</v>
      </c>
    </row>
    <row r="309" spans="1:4">
      <c r="A309" s="6">
        <v>63636160</v>
      </c>
      <c r="B309" s="4" t="s">
        <v>553</v>
      </c>
      <c r="C309" s="5" t="s">
        <v>634</v>
      </c>
      <c r="D309" s="2" t="s">
        <v>293</v>
      </c>
    </row>
    <row r="310" spans="1:4">
      <c r="A310" s="6">
        <v>63636330</v>
      </c>
      <c r="B310" s="4" t="s">
        <v>552</v>
      </c>
      <c r="C310" s="5" t="s">
        <v>701</v>
      </c>
      <c r="D310" s="2" t="s">
        <v>293</v>
      </c>
    </row>
    <row r="311" spans="1:4">
      <c r="A311" s="6">
        <v>63650010</v>
      </c>
      <c r="B311" s="4" t="s">
        <v>555</v>
      </c>
      <c r="C311" s="5" t="s">
        <v>636</v>
      </c>
      <c r="D311" s="2" t="s">
        <v>293</v>
      </c>
    </row>
    <row r="312" spans="1:4">
      <c r="A312" s="6">
        <v>63650520</v>
      </c>
      <c r="B312" s="4" t="s">
        <v>559</v>
      </c>
      <c r="C312" s="5" t="s">
        <v>641</v>
      </c>
      <c r="D312" s="2" t="s">
        <v>293</v>
      </c>
    </row>
    <row r="313" spans="1:4">
      <c r="A313" s="6">
        <v>63650530</v>
      </c>
      <c r="B313" s="4" t="s">
        <v>556</v>
      </c>
      <c r="C313" s="5" t="s">
        <v>637</v>
      </c>
      <c r="D313" s="2" t="s">
        <v>293</v>
      </c>
    </row>
    <row r="314" spans="1:4">
      <c r="A314" s="6">
        <v>63650550</v>
      </c>
      <c r="B314" s="4" t="s">
        <v>1036</v>
      </c>
      <c r="C314" s="5" t="s">
        <v>638</v>
      </c>
      <c r="D314" s="2" t="s">
        <v>293</v>
      </c>
    </row>
    <row r="315" spans="1:4">
      <c r="A315" s="6">
        <v>63650560</v>
      </c>
      <c r="B315" s="4" t="s">
        <v>557</v>
      </c>
      <c r="C315" s="5" t="s">
        <v>639</v>
      </c>
      <c r="D315" s="2" t="s">
        <v>293</v>
      </c>
    </row>
    <row r="316" spans="1:4">
      <c r="A316" s="6">
        <v>63650590</v>
      </c>
      <c r="B316" s="4" t="s">
        <v>995</v>
      </c>
      <c r="C316" s="5" t="s">
        <v>1001</v>
      </c>
      <c r="D316" s="2" t="s">
        <v>293</v>
      </c>
    </row>
    <row r="317" spans="1:4">
      <c r="A317" s="6">
        <v>63653220</v>
      </c>
      <c r="B317" s="4" t="s">
        <v>561</v>
      </c>
      <c r="C317" s="5" t="s">
        <v>643</v>
      </c>
      <c r="D317" s="2" t="s">
        <v>293</v>
      </c>
    </row>
    <row r="318" spans="1:4">
      <c r="A318" s="6">
        <v>63653300</v>
      </c>
      <c r="B318" s="4" t="s">
        <v>562</v>
      </c>
      <c r="C318" s="5" t="s">
        <v>644</v>
      </c>
      <c r="D318" s="2" t="s">
        <v>293</v>
      </c>
    </row>
    <row r="319" spans="1:4">
      <c r="A319" s="6">
        <v>63653320</v>
      </c>
      <c r="B319" s="4" t="s">
        <v>563</v>
      </c>
      <c r="C319" s="5" t="s">
        <v>645</v>
      </c>
      <c r="D319" s="2" t="s">
        <v>293</v>
      </c>
    </row>
    <row r="320" spans="1:4">
      <c r="A320" s="6">
        <v>63653330</v>
      </c>
      <c r="B320" s="4" t="s">
        <v>564</v>
      </c>
      <c r="C320" s="5" t="s">
        <v>646</v>
      </c>
      <c r="D320" s="2" t="s">
        <v>293</v>
      </c>
    </row>
    <row r="321" spans="1:4">
      <c r="A321" s="6">
        <v>63653340</v>
      </c>
      <c r="B321" s="4" t="s">
        <v>565</v>
      </c>
      <c r="C321" s="5" t="s">
        <v>647</v>
      </c>
      <c r="D321" s="2" t="s">
        <v>293</v>
      </c>
    </row>
    <row r="322" spans="1:4">
      <c r="A322" s="6">
        <v>63653400</v>
      </c>
      <c r="B322" s="4" t="s">
        <v>566</v>
      </c>
      <c r="C322" s="5" t="s">
        <v>648</v>
      </c>
      <c r="D322" s="2" t="s">
        <v>293</v>
      </c>
    </row>
    <row r="323" spans="1:4">
      <c r="A323" s="6">
        <v>63653410</v>
      </c>
      <c r="B323" s="4" t="s">
        <v>567</v>
      </c>
      <c r="C323" s="5" t="s">
        <v>644</v>
      </c>
      <c r="D323" s="2" t="s">
        <v>293</v>
      </c>
    </row>
    <row r="324" spans="1:4">
      <c r="A324" s="6">
        <v>63653510</v>
      </c>
      <c r="B324" s="4" t="s">
        <v>568</v>
      </c>
      <c r="C324" s="5" t="s">
        <v>649</v>
      </c>
      <c r="D324" s="2" t="s">
        <v>293</v>
      </c>
    </row>
    <row r="325" spans="1:4">
      <c r="A325" s="6">
        <v>63653780</v>
      </c>
      <c r="B325" s="4" t="s">
        <v>570</v>
      </c>
      <c r="C325" s="5" t="s">
        <v>424</v>
      </c>
      <c r="D325" s="2" t="s">
        <v>293</v>
      </c>
    </row>
    <row r="326" spans="1:4">
      <c r="A326" s="6">
        <v>63653790</v>
      </c>
      <c r="B326" s="4" t="s">
        <v>571</v>
      </c>
      <c r="C326" s="5" t="s">
        <v>424</v>
      </c>
      <c r="D326" s="2" t="s">
        <v>293</v>
      </c>
    </row>
    <row r="327" spans="1:4">
      <c r="A327" s="6">
        <v>63653930</v>
      </c>
      <c r="B327" s="4" t="s">
        <v>572</v>
      </c>
      <c r="C327" s="5" t="s">
        <v>651</v>
      </c>
      <c r="D327" s="2" t="s">
        <v>293</v>
      </c>
    </row>
    <row r="328" spans="1:4">
      <c r="A328" s="6">
        <v>63653940</v>
      </c>
      <c r="B328" s="4" t="s">
        <v>573</v>
      </c>
      <c r="C328" s="5" t="s">
        <v>644</v>
      </c>
      <c r="D328" s="2" t="s">
        <v>293</v>
      </c>
    </row>
    <row r="329" spans="1:4">
      <c r="A329" s="6">
        <v>63654080</v>
      </c>
      <c r="B329" s="4" t="s">
        <v>574</v>
      </c>
      <c r="C329" s="5" t="s">
        <v>652</v>
      </c>
      <c r="D329" s="2" t="s">
        <v>293</v>
      </c>
    </row>
    <row r="330" spans="1:4">
      <c r="A330" s="6">
        <v>63654140</v>
      </c>
      <c r="B330" s="4" t="s">
        <v>575</v>
      </c>
      <c r="C330" s="5" t="s">
        <v>653</v>
      </c>
      <c r="D330" s="2" t="s">
        <v>293</v>
      </c>
    </row>
    <row r="331" spans="1:4">
      <c r="A331" s="6">
        <v>63654320</v>
      </c>
      <c r="B331" s="4" t="s">
        <v>576</v>
      </c>
      <c r="C331" s="5" t="s">
        <v>654</v>
      </c>
      <c r="D331" s="2" t="s">
        <v>293</v>
      </c>
    </row>
    <row r="332" spans="1:4">
      <c r="A332" s="6">
        <v>63654380</v>
      </c>
      <c r="B332" s="4" t="s">
        <v>577</v>
      </c>
      <c r="C332" s="5" t="s">
        <v>655</v>
      </c>
      <c r="D332" s="2" t="s">
        <v>293</v>
      </c>
    </row>
    <row r="333" spans="1:4">
      <c r="A333" s="6">
        <v>63654470</v>
      </c>
      <c r="B333" s="4" t="s">
        <v>578</v>
      </c>
      <c r="C333" s="5" t="s">
        <v>656</v>
      </c>
      <c r="D333" s="2" t="s">
        <v>293</v>
      </c>
    </row>
    <row r="334" spans="1:4">
      <c r="A334" s="6">
        <v>63654480</v>
      </c>
      <c r="B334" s="4" t="s">
        <v>579</v>
      </c>
      <c r="C334" s="5" t="s">
        <v>644</v>
      </c>
      <c r="D334" s="2" t="s">
        <v>293</v>
      </c>
    </row>
    <row r="335" spans="1:4">
      <c r="A335" s="6">
        <v>63654770</v>
      </c>
      <c r="B335" s="4" t="s">
        <v>580</v>
      </c>
      <c r="C335" s="5" t="s">
        <v>644</v>
      </c>
      <c r="D335" s="2" t="s">
        <v>293</v>
      </c>
    </row>
    <row r="336" spans="1:4">
      <c r="A336" s="6">
        <v>63655130</v>
      </c>
      <c r="B336" s="4" t="s">
        <v>1070</v>
      </c>
      <c r="C336" s="5" t="s">
        <v>1073</v>
      </c>
      <c r="D336" s="2" t="s">
        <v>293</v>
      </c>
    </row>
    <row r="337" spans="1:4">
      <c r="A337" s="6">
        <v>63655260</v>
      </c>
      <c r="B337" s="4" t="s">
        <v>582</v>
      </c>
      <c r="C337" s="5" t="s">
        <v>657</v>
      </c>
      <c r="D337" s="2" t="s">
        <v>293</v>
      </c>
    </row>
    <row r="338" spans="1:4">
      <c r="A338" s="6">
        <v>63655610</v>
      </c>
      <c r="B338" s="4" t="s">
        <v>583</v>
      </c>
      <c r="C338" s="5" t="s">
        <v>658</v>
      </c>
      <c r="D338" s="2" t="s">
        <v>293</v>
      </c>
    </row>
    <row r="339" spans="1:4">
      <c r="A339" s="6">
        <v>63655630</v>
      </c>
      <c r="B339" s="4" t="s">
        <v>584</v>
      </c>
      <c r="C339" s="5" t="s">
        <v>644</v>
      </c>
      <c r="D339" s="2" t="s">
        <v>293</v>
      </c>
    </row>
    <row r="340" spans="1:4">
      <c r="A340" s="6">
        <v>63892620</v>
      </c>
      <c r="B340" s="4" t="s">
        <v>585</v>
      </c>
      <c r="C340" s="5" t="s">
        <v>659</v>
      </c>
      <c r="D340" s="2" t="s">
        <v>293</v>
      </c>
    </row>
    <row r="341" spans="1:4">
      <c r="A341" s="6">
        <v>63892630</v>
      </c>
      <c r="B341" s="4" t="s">
        <v>586</v>
      </c>
      <c r="C341" s="5" t="s">
        <v>660</v>
      </c>
      <c r="D341" s="2" t="s">
        <v>293</v>
      </c>
    </row>
    <row r="342" spans="1:4">
      <c r="A342" s="6">
        <v>63898820</v>
      </c>
      <c r="B342" s="4" t="s">
        <v>1056</v>
      </c>
      <c r="C342" s="5" t="s">
        <v>1061</v>
      </c>
      <c r="D342" s="2" t="s">
        <v>293</v>
      </c>
    </row>
    <row r="343" spans="1:4">
      <c r="A343" s="6">
        <v>63899930</v>
      </c>
      <c r="B343" s="4" t="s">
        <v>587</v>
      </c>
      <c r="C343" s="5" t="s">
        <v>661</v>
      </c>
      <c r="D343" s="2" t="s">
        <v>293</v>
      </c>
    </row>
    <row r="344" spans="1:4">
      <c r="A344" s="6">
        <v>64145660</v>
      </c>
      <c r="B344" s="4" t="s">
        <v>1068</v>
      </c>
      <c r="C344" s="5" t="s">
        <v>1072</v>
      </c>
      <c r="D344" s="2" t="s">
        <v>293</v>
      </c>
    </row>
    <row r="345" spans="1:4">
      <c r="A345" s="6">
        <v>64155300</v>
      </c>
      <c r="B345" s="4" t="s">
        <v>590</v>
      </c>
      <c r="C345" s="5" t="s">
        <v>664</v>
      </c>
      <c r="D345" s="2" t="s">
        <v>293</v>
      </c>
    </row>
    <row r="346" spans="1:4">
      <c r="A346" s="6">
        <v>64156600</v>
      </c>
      <c r="B346" s="4" t="s">
        <v>591</v>
      </c>
      <c r="C346" s="5" t="s">
        <v>665</v>
      </c>
      <c r="D346" s="2" t="s">
        <v>293</v>
      </c>
    </row>
    <row r="347" spans="1:4">
      <c r="A347" s="6">
        <v>64156820</v>
      </c>
      <c r="B347" s="4" t="s">
        <v>589</v>
      </c>
      <c r="C347" s="5" t="s">
        <v>663</v>
      </c>
      <c r="D347" s="2" t="s">
        <v>293</v>
      </c>
    </row>
    <row r="348" spans="1:4">
      <c r="A348" s="6">
        <v>66102040</v>
      </c>
      <c r="B348" s="4" t="s">
        <v>588</v>
      </c>
      <c r="C348" s="5" t="s">
        <v>662</v>
      </c>
      <c r="D348" s="2" t="s">
        <v>293</v>
      </c>
    </row>
    <row r="349" spans="1:4">
      <c r="A349" s="6">
        <v>66304370</v>
      </c>
      <c r="B349" s="4" t="s">
        <v>592</v>
      </c>
      <c r="C349" s="5" t="s">
        <v>666</v>
      </c>
      <c r="D349" s="2" t="s">
        <v>293</v>
      </c>
    </row>
    <row r="350" spans="1:4">
      <c r="A350" s="6">
        <v>66319460</v>
      </c>
      <c r="B350" s="4" t="s">
        <v>593</v>
      </c>
      <c r="C350" s="5" t="s">
        <v>912</v>
      </c>
      <c r="D350" s="2" t="s">
        <v>293</v>
      </c>
    </row>
    <row r="351" spans="1:4">
      <c r="A351" s="6">
        <v>66413430</v>
      </c>
      <c r="B351" s="4" t="s">
        <v>594</v>
      </c>
      <c r="C351" s="5" t="s">
        <v>667</v>
      </c>
      <c r="D351" s="2" t="s">
        <v>293</v>
      </c>
    </row>
    <row r="352" spans="1:4">
      <c r="A352" s="6">
        <v>69594820</v>
      </c>
      <c r="B352" s="4" t="s">
        <v>595</v>
      </c>
      <c r="C352" s="5" t="s">
        <v>76</v>
      </c>
      <c r="D352" s="2" t="s">
        <v>293</v>
      </c>
    </row>
    <row r="353" spans="1:4">
      <c r="A353" s="6">
        <v>69610793</v>
      </c>
      <c r="B353" s="4" t="s">
        <v>596</v>
      </c>
      <c r="C353" s="5" t="s">
        <v>668</v>
      </c>
      <c r="D353" s="2" t="s">
        <v>293</v>
      </c>
    </row>
    <row r="354" spans="1:4">
      <c r="A354" s="6">
        <v>69640260</v>
      </c>
      <c r="B354" s="4" t="s">
        <v>597</v>
      </c>
      <c r="C354" s="5" t="s">
        <v>644</v>
      </c>
      <c r="D354" s="2" t="s">
        <v>293</v>
      </c>
    </row>
    <row r="355" spans="1:4">
      <c r="A355" s="6">
        <v>69921100</v>
      </c>
      <c r="B355" s="4" t="s">
        <v>598</v>
      </c>
      <c r="C355" s="5" t="s">
        <v>669</v>
      </c>
      <c r="D355" s="2" t="s">
        <v>293</v>
      </c>
    </row>
    <row r="356" spans="1:4">
      <c r="A356" s="6">
        <v>73030840</v>
      </c>
      <c r="B356" s="4" t="s">
        <v>599</v>
      </c>
      <c r="C356" s="5" t="s">
        <v>670</v>
      </c>
      <c r="D356" s="2" t="s">
        <v>293</v>
      </c>
    </row>
    <row r="357" spans="1:4">
      <c r="A357" s="6">
        <v>73061180</v>
      </c>
      <c r="B357" s="4" t="s">
        <v>718</v>
      </c>
      <c r="C357" s="5" t="s">
        <v>1077</v>
      </c>
      <c r="D357" s="2" t="s">
        <v>293</v>
      </c>
    </row>
    <row r="358" spans="1:4">
      <c r="A358" s="6">
        <v>73100410</v>
      </c>
      <c r="B358" s="4" t="s">
        <v>600</v>
      </c>
      <c r="C358" s="5" t="s">
        <v>671</v>
      </c>
      <c r="D358" s="2" t="s">
        <v>293</v>
      </c>
    </row>
    <row r="359" spans="1:4">
      <c r="A359" s="6">
        <v>73110060</v>
      </c>
      <c r="B359" s="4" t="s">
        <v>601</v>
      </c>
      <c r="C359" s="5" t="s">
        <v>672</v>
      </c>
      <c r="D359" s="2" t="s">
        <v>293</v>
      </c>
    </row>
    <row r="360" spans="1:4">
      <c r="A360" s="6">
        <v>73114230</v>
      </c>
      <c r="B360" s="4" t="s">
        <v>602</v>
      </c>
      <c r="C360" s="5" t="s">
        <v>673</v>
      </c>
      <c r="D360" s="2" t="s">
        <v>293</v>
      </c>
    </row>
    <row r="361" spans="1:4">
      <c r="A361" s="6">
        <v>73180300</v>
      </c>
      <c r="B361" s="4" t="s">
        <v>603</v>
      </c>
      <c r="C361" s="5" t="s">
        <v>674</v>
      </c>
      <c r="D361" s="2" t="s">
        <v>293</v>
      </c>
    </row>
    <row r="362" spans="1:4">
      <c r="A362" s="6">
        <v>73180320</v>
      </c>
      <c r="B362" s="4" t="s">
        <v>1055</v>
      </c>
      <c r="C362" s="5" t="s">
        <v>1062</v>
      </c>
      <c r="D362" s="2" t="s">
        <v>293</v>
      </c>
    </row>
    <row r="363" spans="1:4">
      <c r="A363" s="6">
        <v>73430080</v>
      </c>
      <c r="B363" s="4" t="s">
        <v>605</v>
      </c>
      <c r="C363" s="5" t="s">
        <v>678</v>
      </c>
      <c r="D363" s="2" t="s">
        <v>293</v>
      </c>
    </row>
    <row r="364" spans="1:4">
      <c r="A364" s="6">
        <v>73670010</v>
      </c>
      <c r="B364" s="4" t="s">
        <v>1029</v>
      </c>
      <c r="C364" s="5" t="s">
        <v>675</v>
      </c>
      <c r="D364" s="2" t="s">
        <v>293</v>
      </c>
    </row>
    <row r="365" spans="1:4">
      <c r="A365" s="6">
        <v>73670180</v>
      </c>
      <c r="B365" s="4" t="s">
        <v>604</v>
      </c>
      <c r="C365" s="5" t="s">
        <v>677</v>
      </c>
      <c r="D365" s="2" t="s">
        <v>293</v>
      </c>
    </row>
    <row r="366" spans="1:4">
      <c r="A366" s="6">
        <v>74019010</v>
      </c>
      <c r="B366" s="4" t="s">
        <v>606</v>
      </c>
      <c r="C366" s="5" t="s">
        <v>679</v>
      </c>
      <c r="D366" s="2" t="s">
        <v>293</v>
      </c>
    </row>
    <row r="367" spans="1:4">
      <c r="A367" s="6">
        <v>74019020</v>
      </c>
      <c r="B367" s="4" t="s">
        <v>607</v>
      </c>
      <c r="C367" s="5" t="s">
        <v>680</v>
      </c>
      <c r="D367" s="2" t="s">
        <v>293</v>
      </c>
    </row>
    <row r="368" spans="1:4">
      <c r="A368" s="6">
        <v>74019080</v>
      </c>
      <c r="B368" s="4" t="s">
        <v>608</v>
      </c>
      <c r="C368" s="5" t="s">
        <v>681</v>
      </c>
      <c r="D368" s="2" t="s">
        <v>293</v>
      </c>
    </row>
    <row r="369" spans="1:4">
      <c r="A369" s="6">
        <v>74019100</v>
      </c>
      <c r="B369" s="4" t="s">
        <v>609</v>
      </c>
      <c r="C369" s="5" t="s">
        <v>682</v>
      </c>
      <c r="D369" s="2" t="s">
        <v>293</v>
      </c>
    </row>
    <row r="370" spans="1:4">
      <c r="A370" s="6">
        <v>90011100</v>
      </c>
      <c r="B370" s="4" t="s">
        <v>611</v>
      </c>
      <c r="C370" s="5" t="s">
        <v>683</v>
      </c>
      <c r="D370" s="2" t="s">
        <v>293</v>
      </c>
    </row>
    <row r="371" spans="1:4">
      <c r="A371" s="6">
        <v>90012750</v>
      </c>
      <c r="B371" s="4" t="s">
        <v>613</v>
      </c>
      <c r="C371" s="5" t="s">
        <v>685</v>
      </c>
      <c r="D371" s="2" t="s">
        <v>293</v>
      </c>
    </row>
    <row r="372" spans="1:4">
      <c r="A372" s="6">
        <v>90012770</v>
      </c>
      <c r="B372" s="4" t="s">
        <v>614</v>
      </c>
      <c r="C372" s="5" t="s">
        <v>686</v>
      </c>
      <c r="D372" s="2" t="s">
        <v>293</v>
      </c>
    </row>
    <row r="373" spans="1:4">
      <c r="A373" s="6">
        <v>90017410</v>
      </c>
      <c r="B373" s="4" t="s">
        <v>612</v>
      </c>
      <c r="C373" s="5" t="s">
        <v>684</v>
      </c>
      <c r="D373" s="2" t="s">
        <v>293</v>
      </c>
    </row>
    <row r="374" spans="1:4">
      <c r="A374" s="6">
        <v>90021640</v>
      </c>
      <c r="B374" s="4" t="s">
        <v>633</v>
      </c>
      <c r="C374" s="5" t="s">
        <v>696</v>
      </c>
      <c r="D374" s="2" t="s">
        <v>293</v>
      </c>
    </row>
    <row r="375" spans="1:4">
      <c r="A375" s="6">
        <v>90024640</v>
      </c>
      <c r="B375" s="4" t="s">
        <v>906</v>
      </c>
      <c r="C375" s="5" t="s">
        <v>1120</v>
      </c>
      <c r="D375" s="2" t="s">
        <v>293</v>
      </c>
    </row>
    <row r="376" spans="1:4">
      <c r="A376" s="6">
        <v>90370590</v>
      </c>
      <c r="B376" s="4" t="s">
        <v>616</v>
      </c>
      <c r="C376" s="5" t="s">
        <v>424</v>
      </c>
      <c r="D376" s="2" t="s">
        <v>293</v>
      </c>
    </row>
    <row r="377" spans="1:4">
      <c r="A377" s="6">
        <v>90371420</v>
      </c>
      <c r="B377" s="4" t="s">
        <v>617</v>
      </c>
      <c r="C377" s="5" t="s">
        <v>687</v>
      </c>
      <c r="D377" s="2" t="s">
        <v>293</v>
      </c>
    </row>
    <row r="378" spans="1:4">
      <c r="A378" s="6">
        <v>90384280</v>
      </c>
      <c r="B378" s="4" t="s">
        <v>1096</v>
      </c>
      <c r="C378" s="5" t="s">
        <v>1101</v>
      </c>
      <c r="D378" s="2" t="s">
        <v>293</v>
      </c>
    </row>
    <row r="379" spans="1:4">
      <c r="A379" s="6">
        <v>90391480</v>
      </c>
      <c r="B379" s="4" t="s">
        <v>618</v>
      </c>
      <c r="C379" s="5" t="s">
        <v>427</v>
      </c>
      <c r="D379" s="2" t="s">
        <v>293</v>
      </c>
    </row>
    <row r="380" spans="1:4">
      <c r="A380" s="6">
        <v>90395660</v>
      </c>
      <c r="B380" s="4" t="s">
        <v>1106</v>
      </c>
      <c r="C380" s="5" t="s">
        <v>1107</v>
      </c>
      <c r="D380" s="2" t="s">
        <v>293</v>
      </c>
    </row>
    <row r="381" spans="1:4">
      <c r="A381" s="6">
        <v>90480710</v>
      </c>
      <c r="B381" s="4" t="s">
        <v>619</v>
      </c>
      <c r="C381" s="5" t="s">
        <v>436</v>
      </c>
      <c r="D381" s="2" t="s">
        <v>293</v>
      </c>
    </row>
    <row r="382" spans="1:4">
      <c r="A382" s="6">
        <v>90780070</v>
      </c>
      <c r="B382" s="4" t="s">
        <v>624</v>
      </c>
      <c r="C382" s="5" t="s">
        <v>676</v>
      </c>
      <c r="D382" s="2" t="s">
        <v>293</v>
      </c>
    </row>
    <row r="383" spans="1:4">
      <c r="A383" s="6">
        <v>90780150</v>
      </c>
      <c r="B383" s="4" t="s">
        <v>620</v>
      </c>
      <c r="C383" s="5" t="s">
        <v>644</v>
      </c>
      <c r="D383" s="2" t="s">
        <v>293</v>
      </c>
    </row>
    <row r="384" spans="1:4">
      <c r="A384" s="6">
        <v>90780210</v>
      </c>
      <c r="B384" s="4" t="s">
        <v>1140</v>
      </c>
      <c r="C384" s="5" t="s">
        <v>690</v>
      </c>
      <c r="D384" s="2" t="s">
        <v>293</v>
      </c>
    </row>
    <row r="385" spans="1:4">
      <c r="A385" s="6">
        <v>90804250</v>
      </c>
      <c r="B385" s="4" t="s">
        <v>1095</v>
      </c>
      <c r="C385" s="5" t="s">
        <v>1100</v>
      </c>
      <c r="D385" s="2" t="s">
        <v>293</v>
      </c>
    </row>
    <row r="386" spans="1:4">
      <c r="A386" s="6">
        <v>90804260</v>
      </c>
      <c r="B386" s="4" t="s">
        <v>623</v>
      </c>
      <c r="C386" s="5" t="s">
        <v>689</v>
      </c>
      <c r="D386" s="2" t="s">
        <v>293</v>
      </c>
    </row>
    <row r="387" spans="1:4">
      <c r="A387" s="6">
        <v>90804550</v>
      </c>
      <c r="B387" s="4" t="s">
        <v>621</v>
      </c>
      <c r="C387" s="5" t="s">
        <v>688</v>
      </c>
      <c r="D387" s="2" t="s">
        <v>293</v>
      </c>
    </row>
    <row r="388" spans="1:4">
      <c r="A388" s="6">
        <v>90804650</v>
      </c>
      <c r="B388" s="4" t="s">
        <v>622</v>
      </c>
      <c r="C388" s="5" t="s">
        <v>959</v>
      </c>
      <c r="D388" s="2" t="s">
        <v>293</v>
      </c>
    </row>
    <row r="389" spans="1:4">
      <c r="A389" s="6">
        <v>90804940</v>
      </c>
      <c r="B389" s="4" t="s">
        <v>1081</v>
      </c>
      <c r="C389" s="5" t="s">
        <v>1087</v>
      </c>
      <c r="D389" s="2" t="s">
        <v>293</v>
      </c>
    </row>
    <row r="390" spans="1:4">
      <c r="A390" s="6">
        <v>90814020</v>
      </c>
      <c r="B390" s="4" t="s">
        <v>625</v>
      </c>
      <c r="C390" s="5" t="s">
        <v>691</v>
      </c>
      <c r="D390" s="2" t="s">
        <v>293</v>
      </c>
    </row>
    <row r="391" spans="1:4">
      <c r="A391" s="6">
        <v>90814210</v>
      </c>
      <c r="B391" s="4" t="s">
        <v>626</v>
      </c>
      <c r="C391" s="5" t="s">
        <v>692</v>
      </c>
      <c r="D391" s="2" t="s">
        <v>293</v>
      </c>
    </row>
    <row r="392" spans="1:4">
      <c r="A392" s="6">
        <v>90814220</v>
      </c>
      <c r="B392" s="4" t="s">
        <v>628</v>
      </c>
      <c r="C392" s="5" t="s">
        <v>693</v>
      </c>
      <c r="D392" s="2" t="s">
        <v>293</v>
      </c>
    </row>
    <row r="393" spans="1:4">
      <c r="A393" s="6">
        <v>90814240</v>
      </c>
      <c r="B393" s="4" t="s">
        <v>627</v>
      </c>
      <c r="C393" s="5" t="s">
        <v>693</v>
      </c>
      <c r="D393" s="2" t="s">
        <v>293</v>
      </c>
    </row>
    <row r="394" spans="1:4">
      <c r="A394" s="6">
        <v>90850340</v>
      </c>
      <c r="B394" s="4" t="s">
        <v>629</v>
      </c>
      <c r="C394" s="5" t="s">
        <v>694</v>
      </c>
      <c r="D394" s="2" t="s">
        <v>293</v>
      </c>
    </row>
    <row r="395" spans="1:4">
      <c r="A395" s="6">
        <v>97510040</v>
      </c>
      <c r="B395" s="4" t="s">
        <v>632</v>
      </c>
      <c r="C395" s="5" t="s">
        <v>416</v>
      </c>
      <c r="D395" s="2" t="s">
        <v>293</v>
      </c>
    </row>
    <row r="396" spans="1:4">
      <c r="A396" s="6">
        <v>97510270</v>
      </c>
      <c r="B396" s="4" t="s">
        <v>631</v>
      </c>
      <c r="C396" s="5" t="s">
        <v>415</v>
      </c>
      <c r="D396" s="2" t="s">
        <v>293</v>
      </c>
    </row>
    <row r="397" spans="1:4">
      <c r="A397" s="6">
        <v>97601070</v>
      </c>
      <c r="B397" s="4" t="s">
        <v>1154</v>
      </c>
      <c r="C397" s="5" t="s">
        <v>1158</v>
      </c>
      <c r="D397" s="2" t="s">
        <v>293</v>
      </c>
    </row>
    <row r="398" spans="1:4">
      <c r="A398" s="6">
        <v>97610640</v>
      </c>
      <c r="B398" s="4" t="s">
        <v>970</v>
      </c>
      <c r="C398" s="5" t="s">
        <v>977</v>
      </c>
      <c r="D398" s="2" t="s">
        <v>293</v>
      </c>
    </row>
    <row r="399" spans="1:4">
      <c r="A399" s="6">
        <v>97611040</v>
      </c>
      <c r="B399" s="4" t="s">
        <v>969</v>
      </c>
      <c r="C399" s="5" t="s">
        <v>976</v>
      </c>
      <c r="D399" s="2" t="s">
        <v>293</v>
      </c>
    </row>
    <row r="400" spans="1:4">
      <c r="A400" s="6">
        <v>97611070</v>
      </c>
      <c r="B400" s="4" t="s">
        <v>630</v>
      </c>
      <c r="C400" s="5" t="s">
        <v>695</v>
      </c>
      <c r="D400" s="2" t="s">
        <v>293</v>
      </c>
    </row>
    <row r="401" spans="1:4">
      <c r="A401" s="6">
        <v>97611270</v>
      </c>
      <c r="B401" s="4" t="s">
        <v>1155</v>
      </c>
      <c r="C401" s="5" t="s">
        <v>1159</v>
      </c>
      <c r="D401" s="2" t="s">
        <v>293</v>
      </c>
    </row>
    <row r="402" spans="1:4">
      <c r="B402" s="4" t="s">
        <v>1049</v>
      </c>
      <c r="C402" s="5" t="s">
        <v>1050</v>
      </c>
      <c r="D402" s="2" t="s">
        <v>293</v>
      </c>
    </row>
    <row r="403" spans="1:4">
      <c r="B403" s="4" t="s">
        <v>1051</v>
      </c>
      <c r="C403" s="5" t="s">
        <v>1052</v>
      </c>
      <c r="D403" s="2" t="s">
        <v>293</v>
      </c>
    </row>
    <row r="404" spans="1:4">
      <c r="B404" s="4" t="s">
        <v>1053</v>
      </c>
      <c r="C404" s="5" t="s">
        <v>1054</v>
      </c>
      <c r="D404" s="2" t="s">
        <v>293</v>
      </c>
    </row>
    <row r="405" spans="1:4">
      <c r="A405" s="6">
        <v>26442300</v>
      </c>
      <c r="B405" s="4" t="s">
        <v>964</v>
      </c>
      <c r="C405" s="5" t="s">
        <v>971</v>
      </c>
      <c r="D405" s="2" t="s">
        <v>250</v>
      </c>
    </row>
    <row r="406" spans="1:4">
      <c r="A406" s="6">
        <v>90017990</v>
      </c>
      <c r="B406" s="4" t="s">
        <v>269</v>
      </c>
      <c r="C406" s="5" t="s">
        <v>389</v>
      </c>
      <c r="D406" s="2" t="s">
        <v>250</v>
      </c>
    </row>
    <row r="407" spans="1:4">
      <c r="A407" s="6">
        <v>90018140</v>
      </c>
      <c r="B407" s="4" t="s">
        <v>251</v>
      </c>
      <c r="C407" s="5" t="s">
        <v>372</v>
      </c>
      <c r="D407" s="2" t="s">
        <v>250</v>
      </c>
    </row>
    <row r="408" spans="1:4">
      <c r="A408" s="6">
        <v>90018780</v>
      </c>
      <c r="B408" s="4" t="s">
        <v>1098</v>
      </c>
      <c r="C408" s="5" t="s">
        <v>1103</v>
      </c>
      <c r="D408" s="2" t="s">
        <v>250</v>
      </c>
    </row>
    <row r="409" spans="1:4">
      <c r="A409" s="6">
        <v>28850060</v>
      </c>
      <c r="B409" s="4" t="s">
        <v>255</v>
      </c>
      <c r="C409" s="5" t="s">
        <v>375</v>
      </c>
      <c r="D409" s="2" t="s">
        <v>253</v>
      </c>
    </row>
    <row r="410" spans="1:4">
      <c r="A410" s="6">
        <v>28851900</v>
      </c>
      <c r="B410" s="4" t="s">
        <v>256</v>
      </c>
      <c r="C410" s="5" t="s">
        <v>376</v>
      </c>
      <c r="D410" s="2" t="s">
        <v>253</v>
      </c>
    </row>
    <row r="411" spans="1:4">
      <c r="A411" s="6">
        <v>40355830</v>
      </c>
      <c r="B411" s="4" t="s">
        <v>257</v>
      </c>
      <c r="C411" s="5" t="s">
        <v>377</v>
      </c>
      <c r="D411" s="2" t="s">
        <v>253</v>
      </c>
    </row>
    <row r="412" spans="1:4">
      <c r="A412" s="6">
        <v>45801393</v>
      </c>
      <c r="B412" s="4" t="s">
        <v>258</v>
      </c>
      <c r="C412" s="5" t="s">
        <v>378</v>
      </c>
      <c r="D412" s="2" t="s">
        <v>253</v>
      </c>
    </row>
    <row r="413" spans="1:4">
      <c r="A413" s="6">
        <v>50442160</v>
      </c>
      <c r="B413" s="4" t="s">
        <v>260</v>
      </c>
      <c r="C413" s="5" t="s">
        <v>380</v>
      </c>
      <c r="D413" s="2" t="s">
        <v>253</v>
      </c>
    </row>
    <row r="414" spans="1:4">
      <c r="A414" s="6">
        <v>50570620</v>
      </c>
      <c r="B414" s="4" t="s">
        <v>261</v>
      </c>
      <c r="C414" s="5" t="s">
        <v>381</v>
      </c>
      <c r="D414" s="2" t="s">
        <v>253</v>
      </c>
    </row>
    <row r="415" spans="1:4">
      <c r="A415" s="6">
        <v>50644570</v>
      </c>
      <c r="B415" s="4" t="s">
        <v>262</v>
      </c>
      <c r="C415" s="5" t="s">
        <v>382</v>
      </c>
      <c r="D415" s="2" t="s">
        <v>253</v>
      </c>
    </row>
    <row r="416" spans="1:4">
      <c r="A416" s="6">
        <v>51163390</v>
      </c>
      <c r="B416" s="4" t="s">
        <v>263</v>
      </c>
      <c r="C416" s="5" t="s">
        <v>383</v>
      </c>
      <c r="D416" s="2" t="s">
        <v>253</v>
      </c>
    </row>
    <row r="417" spans="1:4">
      <c r="A417" s="6">
        <v>64014750</v>
      </c>
      <c r="B417" s="4" t="s">
        <v>264</v>
      </c>
      <c r="C417" s="5" t="s">
        <v>384</v>
      </c>
      <c r="D417" s="2" t="s">
        <v>253</v>
      </c>
    </row>
    <row r="418" spans="1:4">
      <c r="A418" s="6">
        <v>64145590</v>
      </c>
      <c r="B418" s="4" t="s">
        <v>265</v>
      </c>
      <c r="C418" s="5" t="s">
        <v>385</v>
      </c>
      <c r="D418" s="2" t="s">
        <v>253</v>
      </c>
    </row>
    <row r="419" spans="1:4">
      <c r="A419" s="6">
        <v>66308250</v>
      </c>
      <c r="B419" s="4" t="s">
        <v>266</v>
      </c>
      <c r="C419" s="5" t="s">
        <v>386</v>
      </c>
      <c r="D419" s="2" t="s">
        <v>253</v>
      </c>
    </row>
    <row r="420" spans="1:4">
      <c r="A420" s="6">
        <v>73044190</v>
      </c>
      <c r="B420" s="4" t="s">
        <v>267</v>
      </c>
      <c r="C420" s="5" t="s">
        <v>387</v>
      </c>
      <c r="D420" s="2" t="s">
        <v>253</v>
      </c>
    </row>
    <row r="421" spans="1:4">
      <c r="A421" s="6">
        <v>73062680</v>
      </c>
      <c r="B421" s="4" t="s">
        <v>268</v>
      </c>
      <c r="C421" s="5" t="s">
        <v>388</v>
      </c>
      <c r="D421" s="2" t="s">
        <v>253</v>
      </c>
    </row>
    <row r="422" spans="1:4">
      <c r="A422" s="6">
        <v>73064300</v>
      </c>
      <c r="B422" s="4" t="s">
        <v>1065</v>
      </c>
      <c r="C422" s="5" t="s">
        <v>1067</v>
      </c>
      <c r="D422" s="2" t="s">
        <v>253</v>
      </c>
    </row>
    <row r="423" spans="1:4">
      <c r="A423" s="6">
        <v>90376930</v>
      </c>
      <c r="B423" s="4" t="s">
        <v>270</v>
      </c>
      <c r="C423" s="5" t="s">
        <v>390</v>
      </c>
      <c r="D423" s="2" t="s">
        <v>253</v>
      </c>
    </row>
    <row r="424" spans="1:4">
      <c r="A424" s="6">
        <v>90862050</v>
      </c>
      <c r="B424" s="4" t="s">
        <v>1108</v>
      </c>
      <c r="C424" s="5" t="s">
        <v>1116</v>
      </c>
      <c r="D424" s="2" t="s">
        <v>253</v>
      </c>
    </row>
    <row r="425" spans="1:4">
      <c r="B425" s="4" t="s">
        <v>707</v>
      </c>
      <c r="C425" s="5" t="s">
        <v>1082</v>
      </c>
      <c r="D425" s="2" t="s">
        <v>253</v>
      </c>
    </row>
    <row r="426" spans="1:4">
      <c r="B426" s="4" t="s">
        <v>271</v>
      </c>
      <c r="C426" s="5" t="s">
        <v>963</v>
      </c>
      <c r="D426" s="2" t="s">
        <v>253</v>
      </c>
    </row>
    <row r="427" spans="1:4">
      <c r="B427" s="4" t="s">
        <v>272</v>
      </c>
      <c r="C427" s="5" t="s">
        <v>963</v>
      </c>
      <c r="D427" s="2" t="s">
        <v>253</v>
      </c>
    </row>
    <row r="428" spans="1:4">
      <c r="B428" s="4" t="s">
        <v>273</v>
      </c>
      <c r="C428" s="5" t="s">
        <v>963</v>
      </c>
      <c r="D428" s="2" t="s">
        <v>253</v>
      </c>
    </row>
    <row r="429" spans="1:4">
      <c r="A429" s="6">
        <v>28831580</v>
      </c>
      <c r="B429" s="4" t="s">
        <v>275</v>
      </c>
      <c r="C429" s="5" t="s">
        <v>392</v>
      </c>
      <c r="D429" s="2" t="s">
        <v>274</v>
      </c>
    </row>
    <row r="430" spans="1:4">
      <c r="A430" s="6">
        <v>28839020</v>
      </c>
      <c r="B430" s="4" t="s">
        <v>1127</v>
      </c>
      <c r="C430" s="5" t="s">
        <v>1131</v>
      </c>
      <c r="D430" s="2" t="s">
        <v>274</v>
      </c>
    </row>
    <row r="431" spans="1:4">
      <c r="A431" s="6">
        <v>28845510</v>
      </c>
      <c r="B431" s="4" t="s">
        <v>276</v>
      </c>
      <c r="C431" s="5" t="s">
        <v>392</v>
      </c>
      <c r="D431" s="2" t="s">
        <v>274</v>
      </c>
    </row>
    <row r="432" spans="1:4">
      <c r="A432" s="6">
        <v>28854080</v>
      </c>
      <c r="B432" s="4" t="s">
        <v>277</v>
      </c>
      <c r="C432" s="5" t="s">
        <v>393</v>
      </c>
      <c r="D432" s="2" t="s">
        <v>274</v>
      </c>
    </row>
    <row r="433" spans="1:4">
      <c r="A433" s="6">
        <v>41007670</v>
      </c>
      <c r="B433" s="4" t="s">
        <v>288</v>
      </c>
      <c r="C433" s="5" t="s">
        <v>401</v>
      </c>
      <c r="D433" s="2" t="s">
        <v>274</v>
      </c>
    </row>
    <row r="434" spans="1:4">
      <c r="A434" s="6">
        <v>41007690</v>
      </c>
      <c r="B434" s="4" t="s">
        <v>287</v>
      </c>
      <c r="C434" s="5" t="s">
        <v>401</v>
      </c>
      <c r="D434" s="2" t="s">
        <v>274</v>
      </c>
    </row>
    <row r="435" spans="1:4">
      <c r="A435" s="6">
        <v>41007700</v>
      </c>
      <c r="B435" s="4" t="s">
        <v>278</v>
      </c>
      <c r="C435" s="5" t="s">
        <v>545</v>
      </c>
      <c r="D435" s="2" t="s">
        <v>274</v>
      </c>
    </row>
    <row r="436" spans="1:4">
      <c r="A436" s="6">
        <v>41008240</v>
      </c>
      <c r="B436" s="4" t="s">
        <v>776</v>
      </c>
      <c r="C436" s="5" t="s">
        <v>1092</v>
      </c>
      <c r="D436" s="2" t="s">
        <v>274</v>
      </c>
    </row>
    <row r="437" spans="1:4">
      <c r="A437" s="6">
        <v>41008340</v>
      </c>
      <c r="B437" s="4" t="s">
        <v>292</v>
      </c>
      <c r="C437" s="5" t="s">
        <v>404</v>
      </c>
      <c r="D437" s="2" t="s">
        <v>274</v>
      </c>
    </row>
    <row r="438" spans="1:4">
      <c r="A438" s="6">
        <v>41008360</v>
      </c>
      <c r="B438" s="4" t="s">
        <v>1137</v>
      </c>
      <c r="C438" s="5" t="s">
        <v>401</v>
      </c>
      <c r="D438" s="2" t="s">
        <v>274</v>
      </c>
    </row>
    <row r="439" spans="1:4">
      <c r="A439" s="6">
        <v>45803080</v>
      </c>
      <c r="B439" s="4" t="s">
        <v>279</v>
      </c>
      <c r="C439" s="5" t="s">
        <v>394</v>
      </c>
      <c r="D439" s="2" t="s">
        <v>274</v>
      </c>
    </row>
    <row r="440" spans="1:4">
      <c r="A440" s="6">
        <v>47690350</v>
      </c>
      <c r="B440" s="4" t="s">
        <v>280</v>
      </c>
      <c r="C440" s="5" t="s">
        <v>395</v>
      </c>
      <c r="D440" s="2" t="s">
        <v>274</v>
      </c>
    </row>
    <row r="441" spans="1:4">
      <c r="A441" s="6">
        <v>53323910</v>
      </c>
      <c r="B441" s="4" t="s">
        <v>281</v>
      </c>
      <c r="C441" s="5" t="s">
        <v>396</v>
      </c>
      <c r="D441" s="2" t="s">
        <v>274</v>
      </c>
    </row>
    <row r="442" spans="1:4">
      <c r="A442" s="6">
        <v>63625750</v>
      </c>
      <c r="B442" s="4" t="s">
        <v>282</v>
      </c>
      <c r="C442" s="5" t="s">
        <v>397</v>
      </c>
      <c r="D442" s="2" t="s">
        <v>274</v>
      </c>
    </row>
    <row r="443" spans="1:4">
      <c r="A443" s="6">
        <v>63635930</v>
      </c>
      <c r="B443" s="4" t="s">
        <v>283</v>
      </c>
      <c r="C443" s="5" t="s">
        <v>398</v>
      </c>
      <c r="D443" s="2" t="s">
        <v>274</v>
      </c>
    </row>
    <row r="444" spans="1:4">
      <c r="A444" s="6">
        <v>63636470</v>
      </c>
      <c r="B444" s="4" t="s">
        <v>284</v>
      </c>
      <c r="C444" s="5" t="s">
        <v>399</v>
      </c>
      <c r="D444" s="2" t="s">
        <v>274</v>
      </c>
    </row>
    <row r="445" spans="1:4">
      <c r="A445" s="6">
        <v>63653770</v>
      </c>
      <c r="B445" s="4" t="s">
        <v>569</v>
      </c>
      <c r="C445" s="5" t="s">
        <v>650</v>
      </c>
      <c r="D445" s="2" t="s">
        <v>274</v>
      </c>
    </row>
    <row r="446" spans="1:4">
      <c r="A446" s="6">
        <v>63653803</v>
      </c>
      <c r="B446" s="4" t="s">
        <v>289</v>
      </c>
      <c r="C446" s="5" t="s">
        <v>402</v>
      </c>
      <c r="D446" s="2" t="s">
        <v>274</v>
      </c>
    </row>
    <row r="447" spans="1:4">
      <c r="A447" s="6">
        <v>63654930</v>
      </c>
      <c r="B447" s="4" t="s">
        <v>290</v>
      </c>
      <c r="C447" s="5" t="s">
        <v>403</v>
      </c>
      <c r="D447" s="2" t="s">
        <v>274</v>
      </c>
    </row>
    <row r="448" spans="1:4">
      <c r="A448" s="6">
        <v>63654950</v>
      </c>
      <c r="B448" s="4" t="s">
        <v>291</v>
      </c>
      <c r="C448" s="5" t="s">
        <v>403</v>
      </c>
      <c r="D448" s="2" t="s">
        <v>274</v>
      </c>
    </row>
    <row r="449" spans="1:4">
      <c r="A449" s="6">
        <v>66451130</v>
      </c>
      <c r="B449" s="4" t="s">
        <v>285</v>
      </c>
      <c r="C449" s="5" t="s">
        <v>366</v>
      </c>
      <c r="D449" s="2" t="s">
        <v>274</v>
      </c>
    </row>
    <row r="450" spans="1:4">
      <c r="A450" s="6">
        <v>90470230</v>
      </c>
      <c r="B450" s="4" t="s">
        <v>286</v>
      </c>
      <c r="C450" s="5" t="s">
        <v>400</v>
      </c>
      <c r="D450" s="2" t="s">
        <v>274</v>
      </c>
    </row>
    <row r="451" spans="1:4">
      <c r="B451" s="4" t="s">
        <v>1145</v>
      </c>
      <c r="C451" s="5" t="s">
        <v>1146</v>
      </c>
      <c r="D451" s="2" t="s">
        <v>1147</v>
      </c>
    </row>
    <row r="452" spans="1:4">
      <c r="B452" s="4" t="s">
        <v>1148</v>
      </c>
      <c r="C452" s="5" t="s">
        <v>1149</v>
      </c>
      <c r="D452" s="2" t="s">
        <v>1147</v>
      </c>
    </row>
    <row r="453" spans="1:4">
      <c r="B453" s="4" t="s">
        <v>1150</v>
      </c>
      <c r="C453" s="5" t="s">
        <v>1151</v>
      </c>
      <c r="D453" s="2" t="s">
        <v>1147</v>
      </c>
    </row>
    <row r="454" spans="1:4">
      <c r="A454" s="6">
        <v>22860020</v>
      </c>
      <c r="B454" s="4" t="s">
        <v>254</v>
      </c>
      <c r="C454" s="5" t="s">
        <v>374</v>
      </c>
      <c r="D454" s="2" t="s">
        <v>245</v>
      </c>
    </row>
    <row r="455" spans="1:4">
      <c r="A455" s="6">
        <v>22860030</v>
      </c>
      <c r="B455" s="4" t="s">
        <v>248</v>
      </c>
      <c r="C455" s="5" t="s">
        <v>371</v>
      </c>
      <c r="D455" s="2" t="s">
        <v>245</v>
      </c>
    </row>
    <row r="456" spans="1:4">
      <c r="A456" s="6">
        <v>28850540</v>
      </c>
      <c r="B456" s="4" t="s">
        <v>610</v>
      </c>
      <c r="C456" s="5" t="s">
        <v>973</v>
      </c>
      <c r="D456" s="2" t="s">
        <v>245</v>
      </c>
    </row>
    <row r="457" spans="1:4">
      <c r="A457" s="6">
        <v>28851310</v>
      </c>
      <c r="B457" s="4" t="s">
        <v>1057</v>
      </c>
      <c r="C457" s="5" t="s">
        <v>975</v>
      </c>
      <c r="D457" s="2" t="s">
        <v>245</v>
      </c>
    </row>
    <row r="458" spans="1:4">
      <c r="A458" s="6">
        <v>44230200</v>
      </c>
      <c r="B458" s="4" t="s">
        <v>247</v>
      </c>
      <c r="C458" s="5" t="s">
        <v>370</v>
      </c>
      <c r="D458" s="2" t="s">
        <v>245</v>
      </c>
    </row>
    <row r="459" spans="1:4">
      <c r="A459" s="6">
        <v>45507450</v>
      </c>
      <c r="B459" s="4" t="s">
        <v>252</v>
      </c>
      <c r="C459" s="5" t="s">
        <v>373</v>
      </c>
      <c r="D459" s="2" t="s">
        <v>245</v>
      </c>
    </row>
    <row r="460" spans="1:4">
      <c r="A460" s="6">
        <v>45509420</v>
      </c>
      <c r="B460" s="4" t="s">
        <v>768</v>
      </c>
      <c r="C460" s="5" t="s">
        <v>1123</v>
      </c>
      <c r="D460" s="2" t="s">
        <v>245</v>
      </c>
    </row>
    <row r="461" spans="1:4">
      <c r="A461" s="6">
        <v>46220380</v>
      </c>
      <c r="B461" s="4" t="s">
        <v>491</v>
      </c>
      <c r="C461" s="5" t="s">
        <v>978</v>
      </c>
      <c r="D461" s="2" t="s">
        <v>245</v>
      </c>
    </row>
    <row r="462" spans="1:4">
      <c r="A462" s="6">
        <v>46860290</v>
      </c>
      <c r="B462" s="4" t="s">
        <v>966</v>
      </c>
      <c r="C462" s="5" t="s">
        <v>980</v>
      </c>
      <c r="D462" s="2" t="s">
        <v>245</v>
      </c>
    </row>
    <row r="463" spans="1:4">
      <c r="A463" s="6">
        <v>50621490</v>
      </c>
      <c r="B463" s="4" t="s">
        <v>246</v>
      </c>
      <c r="C463" s="5" t="s">
        <v>369</v>
      </c>
      <c r="D463" s="2" t="s">
        <v>245</v>
      </c>
    </row>
    <row r="464" spans="1:4">
      <c r="A464" s="6">
        <v>56000840</v>
      </c>
      <c r="B464" s="4" t="s">
        <v>968</v>
      </c>
      <c r="C464" s="5" t="s">
        <v>979</v>
      </c>
      <c r="D464" s="2" t="s">
        <v>245</v>
      </c>
    </row>
    <row r="465" spans="1:4">
      <c r="A465" s="6">
        <v>64213493</v>
      </c>
      <c r="B465" s="4" t="s">
        <v>993</v>
      </c>
      <c r="C465" s="5" t="s">
        <v>999</v>
      </c>
      <c r="D465" s="2" t="s">
        <v>245</v>
      </c>
    </row>
    <row r="466" spans="1:4">
      <c r="A466" s="6">
        <v>66311900</v>
      </c>
      <c r="B466" s="4" t="s">
        <v>1027</v>
      </c>
      <c r="C466" s="5" t="s">
        <v>1028</v>
      </c>
      <c r="D466" s="2" t="s">
        <v>245</v>
      </c>
    </row>
    <row r="467" spans="1:4">
      <c r="B467" s="4" t="s">
        <v>249</v>
      </c>
      <c r="C467" s="5" t="s">
        <v>391</v>
      </c>
      <c r="D467" s="2" t="s">
        <v>245</v>
      </c>
    </row>
    <row r="468" spans="1:4">
      <c r="A468" s="6">
        <v>28845120</v>
      </c>
      <c r="B468" s="4" t="s">
        <v>241</v>
      </c>
      <c r="C468" s="5" t="s">
        <v>368</v>
      </c>
      <c r="D468" s="2" t="s">
        <v>236</v>
      </c>
    </row>
    <row r="469" spans="1:4">
      <c r="A469" s="6">
        <v>28848730</v>
      </c>
      <c r="B469" s="4" t="s">
        <v>242</v>
      </c>
      <c r="C469" s="5" t="s">
        <v>368</v>
      </c>
      <c r="D469" s="2" t="s">
        <v>236</v>
      </c>
    </row>
    <row r="470" spans="1:4">
      <c r="A470" s="6">
        <v>28848770</v>
      </c>
      <c r="B470" s="4" t="s">
        <v>244</v>
      </c>
      <c r="C470" s="5" t="s">
        <v>368</v>
      </c>
      <c r="D470" s="2" t="s">
        <v>236</v>
      </c>
    </row>
    <row r="471" spans="1:4">
      <c r="A471" s="6">
        <v>28849160</v>
      </c>
      <c r="B471" s="4" t="s">
        <v>243</v>
      </c>
      <c r="C471" s="5" t="s">
        <v>368</v>
      </c>
      <c r="D471" s="2" t="s">
        <v>236</v>
      </c>
    </row>
    <row r="472" spans="1:4">
      <c r="A472" s="6">
        <v>28850520</v>
      </c>
      <c r="B472" s="4" t="s">
        <v>965</v>
      </c>
      <c r="C472" s="5" t="s">
        <v>972</v>
      </c>
      <c r="D472" s="2" t="s">
        <v>236</v>
      </c>
    </row>
    <row r="473" spans="1:4">
      <c r="A473" s="6">
        <v>44730320</v>
      </c>
      <c r="B473" s="4" t="s">
        <v>1064</v>
      </c>
      <c r="C473" s="5" t="s">
        <v>1066</v>
      </c>
      <c r="D473" s="2" t="s">
        <v>236</v>
      </c>
    </row>
    <row r="474" spans="1:4">
      <c r="A474" s="6">
        <v>45506040</v>
      </c>
      <c r="B474" s="4" t="s">
        <v>238</v>
      </c>
      <c r="C474" s="5" t="s">
        <v>365</v>
      </c>
      <c r="D474" s="2" t="s">
        <v>236</v>
      </c>
    </row>
    <row r="475" spans="1:4">
      <c r="A475" s="6">
        <v>47440940</v>
      </c>
      <c r="B475" s="4" t="s">
        <v>237</v>
      </c>
      <c r="C475" s="5" t="s">
        <v>364</v>
      </c>
      <c r="D475" s="2" t="s">
        <v>236</v>
      </c>
    </row>
    <row r="476" spans="1:4">
      <c r="A476" s="6">
        <v>47442000</v>
      </c>
      <c r="B476" s="4" t="s">
        <v>1060</v>
      </c>
      <c r="C476" s="5" t="s">
        <v>364</v>
      </c>
      <c r="D476" s="2" t="s">
        <v>236</v>
      </c>
    </row>
    <row r="477" spans="1:4">
      <c r="A477" s="6">
        <v>47442650</v>
      </c>
      <c r="B477" s="4" t="s">
        <v>239</v>
      </c>
      <c r="C477" s="5" t="s">
        <v>366</v>
      </c>
      <c r="D477" s="2" t="s">
        <v>236</v>
      </c>
    </row>
    <row r="478" spans="1:4">
      <c r="A478" s="6">
        <v>47442660</v>
      </c>
      <c r="B478" s="4" t="s">
        <v>240</v>
      </c>
      <c r="C478" s="5" t="s">
        <v>367</v>
      </c>
      <c r="D478" s="2" t="s">
        <v>236</v>
      </c>
    </row>
    <row r="479" spans="1:4">
      <c r="A479" s="6">
        <v>97552630</v>
      </c>
      <c r="B479" s="4" t="s">
        <v>1003</v>
      </c>
      <c r="C479" s="5" t="s">
        <v>1004</v>
      </c>
      <c r="D479" s="2" t="s">
        <v>1005</v>
      </c>
    </row>
    <row r="480" spans="1:4">
      <c r="A480" s="6">
        <v>40351840</v>
      </c>
      <c r="B480" s="4" t="s">
        <v>199</v>
      </c>
      <c r="C480" s="5" t="s">
        <v>192</v>
      </c>
      <c r="D480" s="2" t="s">
        <v>206</v>
      </c>
    </row>
    <row r="481" spans="1:4">
      <c r="A481" s="6">
        <v>40370310</v>
      </c>
      <c r="B481" s="4" t="s">
        <v>200</v>
      </c>
      <c r="C481" s="5" t="s">
        <v>193</v>
      </c>
      <c r="D481" s="2" t="s">
        <v>206</v>
      </c>
    </row>
    <row r="482" spans="1:4">
      <c r="A482" s="6">
        <v>47620030</v>
      </c>
      <c r="B482" s="4" t="s">
        <v>992</v>
      </c>
      <c r="C482" s="5" t="s">
        <v>998</v>
      </c>
      <c r="D482" s="2" t="s">
        <v>206</v>
      </c>
    </row>
    <row r="483" spans="1:4">
      <c r="A483" s="6">
        <v>47623920</v>
      </c>
      <c r="B483" s="4" t="s">
        <v>204</v>
      </c>
      <c r="C483" s="5" t="s">
        <v>197</v>
      </c>
      <c r="D483" s="2" t="s">
        <v>206</v>
      </c>
    </row>
    <row r="484" spans="1:4">
      <c r="A484" s="6">
        <v>49050030</v>
      </c>
      <c r="B484" s="4" t="s">
        <v>201</v>
      </c>
      <c r="C484" s="5" t="s">
        <v>194</v>
      </c>
      <c r="D484" s="2" t="s">
        <v>206</v>
      </c>
    </row>
    <row r="485" spans="1:4">
      <c r="A485" s="6">
        <v>49050180</v>
      </c>
      <c r="B485" s="4" t="s">
        <v>225</v>
      </c>
      <c r="C485" s="5" t="s">
        <v>213</v>
      </c>
      <c r="D485" s="2" t="s">
        <v>206</v>
      </c>
    </row>
    <row r="486" spans="1:4">
      <c r="A486" s="6">
        <v>49050220</v>
      </c>
      <c r="B486" s="4" t="s">
        <v>1040</v>
      </c>
      <c r="C486" s="5" t="s">
        <v>981</v>
      </c>
      <c r="D486" s="2" t="s">
        <v>206</v>
      </c>
    </row>
    <row r="487" spans="1:4">
      <c r="A487" s="6">
        <v>49050260</v>
      </c>
      <c r="B487" s="4" t="s">
        <v>203</v>
      </c>
      <c r="C487" s="5" t="s">
        <v>196</v>
      </c>
      <c r="D487" s="2" t="s">
        <v>206</v>
      </c>
    </row>
    <row r="488" spans="1:4">
      <c r="A488" s="6">
        <v>57620080</v>
      </c>
      <c r="B488" s="4" t="s">
        <v>205</v>
      </c>
      <c r="C488" s="5" t="s">
        <v>198</v>
      </c>
      <c r="D488" s="2" t="s">
        <v>206</v>
      </c>
    </row>
    <row r="489" spans="1:4">
      <c r="A489" s="6">
        <v>57623480</v>
      </c>
      <c r="B489" s="4" t="s">
        <v>991</v>
      </c>
      <c r="C489" s="5" t="s">
        <v>997</v>
      </c>
      <c r="D489" s="2" t="s">
        <v>206</v>
      </c>
    </row>
    <row r="490" spans="1:4">
      <c r="A490" s="6">
        <v>69073770</v>
      </c>
      <c r="B490" s="4" t="s">
        <v>202</v>
      </c>
      <c r="C490" s="5" t="s">
        <v>195</v>
      </c>
      <c r="D490" s="2" t="s">
        <v>206</v>
      </c>
    </row>
    <row r="491" spans="1:4">
      <c r="A491" s="6">
        <v>40350060</v>
      </c>
      <c r="B491" s="4" t="s">
        <v>219</v>
      </c>
      <c r="C491" s="5" t="s">
        <v>207</v>
      </c>
      <c r="D491" s="2" t="s">
        <v>231</v>
      </c>
    </row>
    <row r="492" spans="1:4">
      <c r="A492" s="6">
        <v>40352810</v>
      </c>
      <c r="B492" s="4" t="s">
        <v>220</v>
      </c>
      <c r="C492" s="5" t="s">
        <v>208</v>
      </c>
      <c r="D492" s="2" t="s">
        <v>231</v>
      </c>
    </row>
    <row r="493" spans="1:4">
      <c r="A493" s="6">
        <v>40353160</v>
      </c>
      <c r="B493" s="4" t="s">
        <v>221</v>
      </c>
      <c r="C493" s="5" t="s">
        <v>209</v>
      </c>
      <c r="D493" s="2" t="s">
        <v>231</v>
      </c>
    </row>
    <row r="494" spans="1:4">
      <c r="A494" s="6">
        <v>40355480</v>
      </c>
      <c r="B494" s="4" t="s">
        <v>222</v>
      </c>
      <c r="C494" s="5" t="s">
        <v>210</v>
      </c>
      <c r="D494" s="2" t="s">
        <v>231</v>
      </c>
    </row>
    <row r="495" spans="1:4">
      <c r="A495" s="6">
        <v>40355710</v>
      </c>
      <c r="B495" s="4" t="s">
        <v>223</v>
      </c>
      <c r="C495" s="5" t="s">
        <v>211</v>
      </c>
      <c r="D495" s="2" t="s">
        <v>231</v>
      </c>
    </row>
    <row r="496" spans="1:4">
      <c r="A496" s="6">
        <v>40355800</v>
      </c>
      <c r="B496" s="4" t="s">
        <v>224</v>
      </c>
      <c r="C496" s="5" t="s">
        <v>212</v>
      </c>
      <c r="D496" s="2" t="s">
        <v>231</v>
      </c>
    </row>
    <row r="497" spans="1:4">
      <c r="A497" s="6">
        <v>64720040</v>
      </c>
      <c r="B497" s="4" t="s">
        <v>226</v>
      </c>
      <c r="C497" s="5" t="s">
        <v>214</v>
      </c>
      <c r="D497" s="2" t="s">
        <v>231</v>
      </c>
    </row>
    <row r="498" spans="1:4">
      <c r="A498" s="6">
        <v>64720073</v>
      </c>
      <c r="B498" s="4" t="s">
        <v>227</v>
      </c>
      <c r="C498" s="5" t="s">
        <v>215</v>
      </c>
      <c r="D498" s="2" t="s">
        <v>231</v>
      </c>
    </row>
    <row r="499" spans="1:4">
      <c r="A499" s="6">
        <v>64903120</v>
      </c>
      <c r="B499" s="4" t="s">
        <v>228</v>
      </c>
      <c r="C499" s="5" t="s">
        <v>216</v>
      </c>
      <c r="D499" s="2" t="s">
        <v>231</v>
      </c>
    </row>
    <row r="500" spans="1:4">
      <c r="A500" s="6">
        <v>66333890</v>
      </c>
      <c r="B500" s="4" t="s">
        <v>229</v>
      </c>
      <c r="C500" s="5" t="s">
        <v>217</v>
      </c>
      <c r="D500" s="2" t="s">
        <v>231</v>
      </c>
    </row>
    <row r="501" spans="1:4">
      <c r="A501" s="6">
        <v>97554930</v>
      </c>
      <c r="B501" s="4" t="s">
        <v>230</v>
      </c>
      <c r="C501" s="5" t="s">
        <v>218</v>
      </c>
      <c r="D501" s="2" t="s">
        <v>231</v>
      </c>
    </row>
    <row r="502" spans="1:4">
      <c r="A502" s="6">
        <v>50050050</v>
      </c>
      <c r="B502" s="4" t="s">
        <v>4</v>
      </c>
      <c r="C502" s="5" t="s">
        <v>15</v>
      </c>
      <c r="D502" s="2" t="s">
        <v>25</v>
      </c>
    </row>
    <row r="503" spans="1:4">
      <c r="A503" s="6">
        <v>50361030</v>
      </c>
      <c r="B503" s="4" t="s">
        <v>5</v>
      </c>
      <c r="C503" s="5" t="s">
        <v>16</v>
      </c>
      <c r="D503" s="2" t="s">
        <v>25</v>
      </c>
    </row>
    <row r="504" spans="1:4">
      <c r="A504" s="6">
        <v>50448660</v>
      </c>
      <c r="B504" s="4" t="s">
        <v>6</v>
      </c>
      <c r="C504" s="5" t="s">
        <v>17</v>
      </c>
      <c r="D504" s="2" t="s">
        <v>25</v>
      </c>
    </row>
    <row r="505" spans="1:4">
      <c r="A505" s="6">
        <v>64149760</v>
      </c>
      <c r="B505" s="4" t="s">
        <v>7</v>
      </c>
      <c r="C505" s="5" t="s">
        <v>18</v>
      </c>
      <c r="D505" s="2" t="s">
        <v>25</v>
      </c>
    </row>
    <row r="506" spans="1:4">
      <c r="A506" s="6">
        <v>64350113</v>
      </c>
      <c r="B506" s="4" t="s">
        <v>8</v>
      </c>
      <c r="C506" s="5" t="s">
        <v>19</v>
      </c>
      <c r="D506" s="2" t="s">
        <v>25</v>
      </c>
    </row>
    <row r="507" spans="1:4">
      <c r="A507" s="6">
        <v>64354120</v>
      </c>
      <c r="B507" s="4" t="s">
        <v>14</v>
      </c>
      <c r="C507" s="5" t="s">
        <v>24</v>
      </c>
      <c r="D507" s="2" t="s">
        <v>25</v>
      </c>
    </row>
    <row r="508" spans="1:4">
      <c r="A508" s="6">
        <v>64357290</v>
      </c>
      <c r="B508" s="4" t="s">
        <v>9</v>
      </c>
      <c r="C508" s="5" t="s">
        <v>20</v>
      </c>
      <c r="D508" s="2" t="s">
        <v>25</v>
      </c>
    </row>
    <row r="509" spans="1:4">
      <c r="A509" s="6">
        <v>64358090</v>
      </c>
      <c r="B509" s="4" t="s">
        <v>10</v>
      </c>
      <c r="C509" s="5" t="s">
        <v>19</v>
      </c>
      <c r="D509" s="2" t="s">
        <v>25</v>
      </c>
    </row>
    <row r="510" spans="1:4">
      <c r="A510" s="6">
        <v>69040800</v>
      </c>
      <c r="B510" s="4" t="s">
        <v>11</v>
      </c>
      <c r="C510" s="5" t="s">
        <v>21</v>
      </c>
      <c r="D510" s="2" t="s">
        <v>25</v>
      </c>
    </row>
    <row r="511" spans="1:4">
      <c r="A511" s="6">
        <v>97530010</v>
      </c>
      <c r="B511" s="4" t="s">
        <v>12</v>
      </c>
      <c r="C511" s="5" t="s">
        <v>22</v>
      </c>
      <c r="D511" s="2" t="s">
        <v>25</v>
      </c>
    </row>
    <row r="512" spans="1:4">
      <c r="A512" s="6">
        <v>97630030</v>
      </c>
      <c r="B512" s="4" t="s">
        <v>1134</v>
      </c>
      <c r="C512" s="5" t="s">
        <v>1136</v>
      </c>
      <c r="D512" s="2" t="s">
        <v>25</v>
      </c>
    </row>
    <row r="513" spans="1:4">
      <c r="A513" s="6">
        <v>97630810</v>
      </c>
      <c r="B513" s="4" t="s">
        <v>13</v>
      </c>
      <c r="C513" s="5" t="s">
        <v>23</v>
      </c>
      <c r="D513" s="2" t="s">
        <v>25</v>
      </c>
    </row>
    <row r="514" spans="1:4">
      <c r="A514" s="6">
        <v>40351380</v>
      </c>
      <c r="B514" s="4" t="s">
        <v>26</v>
      </c>
      <c r="C514" s="5" t="s">
        <v>35</v>
      </c>
      <c r="D514" s="2" t="s">
        <v>44</v>
      </c>
    </row>
    <row r="515" spans="1:4">
      <c r="A515" s="6">
        <v>40361290</v>
      </c>
      <c r="B515" s="4" t="s">
        <v>27</v>
      </c>
      <c r="C515" s="5" t="s">
        <v>36</v>
      </c>
      <c r="D515" s="2" t="s">
        <v>44</v>
      </c>
    </row>
    <row r="516" spans="1:4">
      <c r="A516" s="6">
        <v>40370320</v>
      </c>
      <c r="B516" s="4" t="s">
        <v>28</v>
      </c>
      <c r="C516" s="5" t="s">
        <v>37</v>
      </c>
      <c r="D516" s="2" t="s">
        <v>44</v>
      </c>
    </row>
    <row r="517" spans="1:4">
      <c r="A517" s="6">
        <v>40370980</v>
      </c>
      <c r="B517" s="4" t="s">
        <v>29</v>
      </c>
      <c r="C517" s="5" t="s">
        <v>38</v>
      </c>
      <c r="D517" s="2" t="s">
        <v>44</v>
      </c>
    </row>
    <row r="518" spans="1:4">
      <c r="A518" s="6">
        <v>63913070</v>
      </c>
      <c r="B518" s="4" t="s">
        <v>30</v>
      </c>
      <c r="C518" s="5" t="s">
        <v>39</v>
      </c>
      <c r="D518" s="2" t="s">
        <v>44</v>
      </c>
    </row>
    <row r="519" spans="1:4">
      <c r="A519" s="6">
        <v>63920490</v>
      </c>
      <c r="B519" s="4" t="s">
        <v>31</v>
      </c>
      <c r="C519" s="5" t="s">
        <v>40</v>
      </c>
      <c r="D519" s="2" t="s">
        <v>44</v>
      </c>
    </row>
    <row r="520" spans="1:4">
      <c r="A520" s="6">
        <v>63924710</v>
      </c>
      <c r="B520" s="4" t="s">
        <v>32</v>
      </c>
      <c r="C520" s="5" t="s">
        <v>41</v>
      </c>
      <c r="D520" s="2" t="s">
        <v>44</v>
      </c>
    </row>
    <row r="521" spans="1:4">
      <c r="A521" s="6">
        <v>97556460</v>
      </c>
      <c r="B521" s="4" t="s">
        <v>33</v>
      </c>
      <c r="C521" s="5" t="s">
        <v>42</v>
      </c>
      <c r="D521" s="2" t="s">
        <v>44</v>
      </c>
    </row>
    <row r="522" spans="1:4">
      <c r="A522" s="6">
        <v>97630370</v>
      </c>
      <c r="B522" s="4" t="s">
        <v>34</v>
      </c>
      <c r="C522" s="5" t="s">
        <v>43</v>
      </c>
      <c r="D522" s="2" t="s">
        <v>44</v>
      </c>
    </row>
    <row r="523" spans="1:4">
      <c r="A523" s="6">
        <v>40393630</v>
      </c>
      <c r="B523" s="4" t="s">
        <v>1157</v>
      </c>
      <c r="C523" s="5" t="s">
        <v>1161</v>
      </c>
      <c r="D523" s="2" t="s">
        <v>65</v>
      </c>
    </row>
    <row r="524" spans="1:4">
      <c r="A524" s="6">
        <v>40393660</v>
      </c>
      <c r="B524" s="4" t="s">
        <v>1156</v>
      </c>
      <c r="C524" s="5" t="s">
        <v>1160</v>
      </c>
      <c r="D524" s="2" t="s">
        <v>65</v>
      </c>
    </row>
    <row r="525" spans="1:4">
      <c r="A525" s="6">
        <v>40710030</v>
      </c>
      <c r="B525" s="4" t="s">
        <v>60</v>
      </c>
      <c r="C525" s="5" t="s">
        <v>50</v>
      </c>
      <c r="D525" s="2" t="s">
        <v>65</v>
      </c>
    </row>
    <row r="526" spans="1:4">
      <c r="A526" s="6">
        <v>50367130</v>
      </c>
      <c r="B526" s="4" t="s">
        <v>55</v>
      </c>
      <c r="C526" s="5" t="s">
        <v>45</v>
      </c>
      <c r="D526" s="2" t="s">
        <v>65</v>
      </c>
    </row>
    <row r="527" spans="1:4">
      <c r="A527" s="6">
        <v>53949110</v>
      </c>
      <c r="B527" s="4" t="s">
        <v>983</v>
      </c>
      <c r="C527" s="5" t="s">
        <v>45</v>
      </c>
      <c r="D527" s="2" t="s">
        <v>65</v>
      </c>
    </row>
    <row r="528" spans="1:4">
      <c r="A528" s="6">
        <v>53964190</v>
      </c>
      <c r="B528" s="4" t="s">
        <v>61</v>
      </c>
      <c r="C528" s="5" t="s">
        <v>45</v>
      </c>
      <c r="D528" s="2" t="s">
        <v>65</v>
      </c>
    </row>
    <row r="529" spans="1:4">
      <c r="A529" s="6">
        <v>62730160</v>
      </c>
      <c r="B529" s="4" t="s">
        <v>56</v>
      </c>
      <c r="C529" s="5" t="s">
        <v>46</v>
      </c>
      <c r="D529" s="2" t="s">
        <v>65</v>
      </c>
    </row>
    <row r="530" spans="1:4">
      <c r="A530" s="6">
        <v>62730240</v>
      </c>
      <c r="B530" s="4" t="s">
        <v>62</v>
      </c>
      <c r="C530" s="5" t="s">
        <v>52</v>
      </c>
      <c r="D530" s="2" t="s">
        <v>65</v>
      </c>
    </row>
    <row r="531" spans="1:4">
      <c r="A531" s="6">
        <v>62732070</v>
      </c>
      <c r="B531" s="4" t="s">
        <v>63</v>
      </c>
      <c r="C531" s="5" t="s">
        <v>53</v>
      </c>
      <c r="D531" s="2" t="s">
        <v>65</v>
      </c>
    </row>
    <row r="532" spans="1:4">
      <c r="A532" s="6">
        <v>62732080</v>
      </c>
      <c r="B532" s="4" t="s">
        <v>57</v>
      </c>
      <c r="C532" s="5" t="s">
        <v>47</v>
      </c>
      <c r="D532" s="2" t="s">
        <v>65</v>
      </c>
    </row>
    <row r="533" spans="1:4">
      <c r="A533" s="6">
        <v>62732090</v>
      </c>
      <c r="B533" s="4" t="s">
        <v>58</v>
      </c>
      <c r="C533" s="5" t="s">
        <v>51</v>
      </c>
      <c r="D533" s="2" t="s">
        <v>65</v>
      </c>
    </row>
    <row r="534" spans="1:4">
      <c r="A534" s="6">
        <v>62732130</v>
      </c>
      <c r="B534" s="4" t="s">
        <v>64</v>
      </c>
      <c r="C534" s="5" t="s">
        <v>54</v>
      </c>
      <c r="D534" s="2" t="s">
        <v>65</v>
      </c>
    </row>
    <row r="535" spans="1:4">
      <c r="A535" s="6">
        <v>62733530</v>
      </c>
      <c r="B535" s="4" t="s">
        <v>59</v>
      </c>
      <c r="C535" s="5" t="s">
        <v>48</v>
      </c>
      <c r="D535" s="2" t="s">
        <v>65</v>
      </c>
    </row>
    <row r="536" spans="1:4">
      <c r="A536" s="6">
        <v>96063970</v>
      </c>
      <c r="B536" s="4" t="s">
        <v>1074</v>
      </c>
      <c r="C536" s="5" t="s">
        <v>1076</v>
      </c>
      <c r="D536" s="2" t="s">
        <v>65</v>
      </c>
    </row>
    <row r="537" spans="1:4">
      <c r="A537" s="6">
        <v>97637000</v>
      </c>
      <c r="B537" s="4" t="s">
        <v>982</v>
      </c>
      <c r="C537" s="5" t="s">
        <v>984</v>
      </c>
      <c r="D537" s="2" t="s">
        <v>65</v>
      </c>
    </row>
    <row r="538" spans="1:4">
      <c r="A538" s="6">
        <v>97637080</v>
      </c>
      <c r="B538" s="4" t="s">
        <v>1031</v>
      </c>
      <c r="C538" s="5" t="s">
        <v>49</v>
      </c>
      <c r="D538" s="2" t="s">
        <v>65</v>
      </c>
    </row>
    <row r="539" spans="1:4">
      <c r="A539" s="6">
        <v>40350050</v>
      </c>
      <c r="B539" s="4" t="s">
        <v>85</v>
      </c>
      <c r="C539" s="5" t="s">
        <v>66</v>
      </c>
      <c r="D539" s="2" t="s">
        <v>107</v>
      </c>
    </row>
    <row r="540" spans="1:4">
      <c r="A540" s="6">
        <v>40370350</v>
      </c>
      <c r="B540" s="4" t="s">
        <v>86</v>
      </c>
      <c r="C540" s="5" t="s">
        <v>67</v>
      </c>
      <c r="D540" s="2" t="s">
        <v>107</v>
      </c>
    </row>
    <row r="541" spans="1:4">
      <c r="A541" s="6">
        <v>40370590</v>
      </c>
      <c r="B541" s="4" t="s">
        <v>87</v>
      </c>
      <c r="C541" s="5" t="s">
        <v>68</v>
      </c>
      <c r="D541" s="2" t="s">
        <v>107</v>
      </c>
    </row>
    <row r="542" spans="1:4">
      <c r="A542" s="6">
        <v>40370970</v>
      </c>
      <c r="B542" s="4" t="s">
        <v>88</v>
      </c>
      <c r="C542" s="5" t="s">
        <v>69</v>
      </c>
      <c r="D542" s="2" t="s">
        <v>107</v>
      </c>
    </row>
    <row r="543" spans="1:4">
      <c r="A543" s="6">
        <v>40371180</v>
      </c>
      <c r="B543" s="4" t="s">
        <v>89</v>
      </c>
      <c r="C543" s="5" t="s">
        <v>70</v>
      </c>
      <c r="D543" s="2" t="s">
        <v>107</v>
      </c>
    </row>
    <row r="544" spans="1:4">
      <c r="A544" s="6">
        <v>40712280</v>
      </c>
      <c r="B544" s="4" t="s">
        <v>90</v>
      </c>
      <c r="C544" s="5" t="s">
        <v>71</v>
      </c>
      <c r="D544" s="2" t="s">
        <v>107</v>
      </c>
    </row>
    <row r="545" spans="1:4">
      <c r="A545" s="6">
        <v>47620050</v>
      </c>
      <c r="B545" s="4" t="s">
        <v>91</v>
      </c>
      <c r="C545" s="5" t="s">
        <v>72</v>
      </c>
      <c r="D545" s="2" t="s">
        <v>107</v>
      </c>
    </row>
    <row r="546" spans="1:4">
      <c r="A546" s="6">
        <v>47770080</v>
      </c>
      <c r="B546" s="4" t="s">
        <v>92</v>
      </c>
      <c r="C546" s="5" t="s">
        <v>73</v>
      </c>
      <c r="D546" s="2" t="s">
        <v>107</v>
      </c>
    </row>
    <row r="547" spans="1:4">
      <c r="A547" s="6">
        <v>47770980</v>
      </c>
      <c r="B547" s="4" t="s">
        <v>93</v>
      </c>
      <c r="C547" s="5" t="s">
        <v>74</v>
      </c>
      <c r="D547" s="2" t="s">
        <v>107</v>
      </c>
    </row>
    <row r="548" spans="1:4">
      <c r="A548" s="6">
        <v>50370520</v>
      </c>
      <c r="B548" s="4" t="s">
        <v>94</v>
      </c>
      <c r="C548" s="5" t="s">
        <v>49</v>
      </c>
      <c r="D548" s="2" t="s">
        <v>107</v>
      </c>
    </row>
    <row r="549" spans="1:4">
      <c r="A549" s="6">
        <v>50452460</v>
      </c>
      <c r="B549" s="4" t="s">
        <v>1138</v>
      </c>
      <c r="C549" s="5" t="s">
        <v>1139</v>
      </c>
      <c r="D549" s="2" t="s">
        <v>107</v>
      </c>
    </row>
    <row r="550" spans="1:4">
      <c r="A550" s="6">
        <v>51006113</v>
      </c>
      <c r="B550" s="4" t="s">
        <v>95</v>
      </c>
      <c r="C550" s="5" t="s">
        <v>75</v>
      </c>
      <c r="D550" s="2" t="s">
        <v>107</v>
      </c>
    </row>
    <row r="551" spans="1:4">
      <c r="A551" s="6">
        <v>53635740</v>
      </c>
      <c r="B551" s="4" t="s">
        <v>96</v>
      </c>
      <c r="C551" s="5" t="s">
        <v>76</v>
      </c>
      <c r="D551" s="2" t="s">
        <v>107</v>
      </c>
    </row>
    <row r="552" spans="1:4">
      <c r="A552" s="6">
        <v>55152660</v>
      </c>
      <c r="B552" s="4" t="s">
        <v>97</v>
      </c>
      <c r="C552" s="5" t="s">
        <v>77</v>
      </c>
      <c r="D552" s="2" t="s">
        <v>107</v>
      </c>
    </row>
    <row r="553" spans="1:4">
      <c r="A553" s="6">
        <v>55152800</v>
      </c>
      <c r="B553" s="4" t="s">
        <v>1041</v>
      </c>
      <c r="C553" s="5" t="s">
        <v>1042</v>
      </c>
      <c r="D553" s="2" t="s">
        <v>107</v>
      </c>
    </row>
    <row r="554" spans="1:4">
      <c r="A554" s="6">
        <v>63483760</v>
      </c>
      <c r="B554" s="4" t="s">
        <v>98</v>
      </c>
      <c r="C554" s="5" t="s">
        <v>66</v>
      </c>
      <c r="D554" s="2" t="s">
        <v>107</v>
      </c>
    </row>
    <row r="555" spans="1:4">
      <c r="A555" s="6">
        <v>63483840</v>
      </c>
      <c r="B555" s="4" t="s">
        <v>99</v>
      </c>
      <c r="C555" s="5" t="s">
        <v>66</v>
      </c>
      <c r="D555" s="2" t="s">
        <v>107</v>
      </c>
    </row>
    <row r="556" spans="1:4">
      <c r="A556" s="6">
        <v>63484170</v>
      </c>
      <c r="B556" s="4" t="s">
        <v>100</v>
      </c>
      <c r="C556" s="5" t="s">
        <v>78</v>
      </c>
      <c r="D556" s="2" t="s">
        <v>107</v>
      </c>
    </row>
    <row r="557" spans="1:4">
      <c r="A557" s="6">
        <v>63660430</v>
      </c>
      <c r="B557" s="4" t="s">
        <v>101</v>
      </c>
      <c r="C557" s="5" t="s">
        <v>79</v>
      </c>
      <c r="D557" s="2" t="s">
        <v>107</v>
      </c>
    </row>
    <row r="558" spans="1:4">
      <c r="A558" s="6">
        <v>63660580</v>
      </c>
      <c r="B558" s="4" t="s">
        <v>102</v>
      </c>
      <c r="C558" s="5" t="s">
        <v>80</v>
      </c>
      <c r="D558" s="2" t="s">
        <v>107</v>
      </c>
    </row>
    <row r="559" spans="1:4">
      <c r="A559" s="6">
        <v>64146810</v>
      </c>
      <c r="B559" s="4" t="s">
        <v>1125</v>
      </c>
      <c r="C559" s="5" t="s">
        <v>1129</v>
      </c>
      <c r="D559" s="2" t="s">
        <v>107</v>
      </c>
    </row>
    <row r="560" spans="1:4">
      <c r="A560" s="6">
        <v>64353730</v>
      </c>
      <c r="B560" s="4" t="s">
        <v>103</v>
      </c>
      <c r="C560" s="5" t="s">
        <v>81</v>
      </c>
      <c r="D560" s="2" t="s">
        <v>107</v>
      </c>
    </row>
    <row r="561" spans="1:4">
      <c r="A561" s="6">
        <v>66100260</v>
      </c>
      <c r="B561" s="4" t="s">
        <v>104</v>
      </c>
      <c r="C561" s="5" t="s">
        <v>82</v>
      </c>
      <c r="D561" s="2" t="s">
        <v>107</v>
      </c>
    </row>
    <row r="562" spans="1:4">
      <c r="A562" s="6">
        <v>66102110</v>
      </c>
      <c r="B562" s="4" t="s">
        <v>105</v>
      </c>
      <c r="C562" s="5" t="s">
        <v>83</v>
      </c>
      <c r="D562" s="2" t="s">
        <v>107</v>
      </c>
    </row>
    <row r="563" spans="1:4">
      <c r="A563" s="6">
        <v>97633830</v>
      </c>
      <c r="B563" s="4" t="s">
        <v>106</v>
      </c>
      <c r="C563" s="5" t="s">
        <v>84</v>
      </c>
      <c r="D563" s="2" t="s">
        <v>107</v>
      </c>
    </row>
    <row r="564" spans="1:4">
      <c r="A564" s="6">
        <v>40356110</v>
      </c>
      <c r="B564" s="4" t="s">
        <v>128</v>
      </c>
      <c r="C564" s="5" t="s">
        <v>108</v>
      </c>
      <c r="D564" s="2" t="s">
        <v>148</v>
      </c>
    </row>
    <row r="565" spans="1:4">
      <c r="A565" s="6">
        <v>40370570</v>
      </c>
      <c r="B565" s="4" t="s">
        <v>129</v>
      </c>
      <c r="C565" s="5" t="s">
        <v>109</v>
      </c>
      <c r="D565" s="2" t="s">
        <v>148</v>
      </c>
    </row>
    <row r="566" spans="1:4">
      <c r="A566" s="6">
        <v>44460190</v>
      </c>
      <c r="B566" s="4" t="s">
        <v>130</v>
      </c>
      <c r="C566" s="5" t="s">
        <v>110</v>
      </c>
      <c r="D566" s="2" t="s">
        <v>148</v>
      </c>
    </row>
    <row r="567" spans="1:4">
      <c r="A567" s="6">
        <v>48800580</v>
      </c>
      <c r="B567" s="4" t="s">
        <v>131</v>
      </c>
      <c r="C567" s="5" t="s">
        <v>111</v>
      </c>
      <c r="D567" s="2" t="s">
        <v>148</v>
      </c>
    </row>
    <row r="568" spans="1:4">
      <c r="A568" s="6">
        <v>50354240</v>
      </c>
      <c r="B568" s="4" t="s">
        <v>132</v>
      </c>
      <c r="C568" s="5" t="s">
        <v>112</v>
      </c>
      <c r="D568" s="2" t="s">
        <v>148</v>
      </c>
    </row>
    <row r="569" spans="1:4">
      <c r="A569" s="6">
        <v>50354590</v>
      </c>
      <c r="B569" s="4" t="s">
        <v>133</v>
      </c>
      <c r="C569" s="5" t="s">
        <v>113</v>
      </c>
      <c r="D569" s="2" t="s">
        <v>148</v>
      </c>
    </row>
    <row r="570" spans="1:4">
      <c r="A570" s="6">
        <v>50504150</v>
      </c>
      <c r="B570" s="4" t="s">
        <v>134</v>
      </c>
      <c r="C570" s="5" t="s">
        <v>114</v>
      </c>
      <c r="D570" s="2" t="s">
        <v>148</v>
      </c>
    </row>
    <row r="571" spans="1:4">
      <c r="A571" s="6">
        <v>51004940</v>
      </c>
      <c r="B571" s="4" t="s">
        <v>135</v>
      </c>
      <c r="C571" s="5" t="s">
        <v>115</v>
      </c>
      <c r="D571" s="2" t="s">
        <v>148</v>
      </c>
    </row>
    <row r="572" spans="1:4">
      <c r="A572" s="6">
        <v>51011040</v>
      </c>
      <c r="B572" s="4" t="s">
        <v>136</v>
      </c>
      <c r="C572" s="5" t="s">
        <v>116</v>
      </c>
      <c r="D572" s="2" t="s">
        <v>148</v>
      </c>
    </row>
    <row r="573" spans="1:4">
      <c r="A573" s="6">
        <v>51154930</v>
      </c>
      <c r="B573" s="4" t="s">
        <v>137</v>
      </c>
      <c r="C573" s="5" t="s">
        <v>117</v>
      </c>
      <c r="D573" s="2" t="s">
        <v>148</v>
      </c>
    </row>
    <row r="574" spans="1:4">
      <c r="A574" s="6">
        <v>53217380</v>
      </c>
      <c r="B574" s="4" t="s">
        <v>138</v>
      </c>
      <c r="C574" s="5" t="s">
        <v>118</v>
      </c>
      <c r="D574" s="2" t="s">
        <v>148</v>
      </c>
    </row>
    <row r="575" spans="1:4">
      <c r="A575" s="6">
        <v>53322780</v>
      </c>
      <c r="B575" s="4" t="s">
        <v>139</v>
      </c>
      <c r="C575" s="5" t="s">
        <v>119</v>
      </c>
      <c r="D575" s="2" t="s">
        <v>148</v>
      </c>
    </row>
    <row r="576" spans="1:4">
      <c r="A576" s="6">
        <v>53370330</v>
      </c>
      <c r="B576" s="4" t="s">
        <v>140</v>
      </c>
      <c r="C576" s="5" t="s">
        <v>120</v>
      </c>
      <c r="D576" s="2" t="s">
        <v>148</v>
      </c>
    </row>
    <row r="577" spans="1:4">
      <c r="A577" s="6">
        <v>57316640</v>
      </c>
      <c r="B577" s="4" t="s">
        <v>141</v>
      </c>
      <c r="C577" s="5" t="s">
        <v>121</v>
      </c>
      <c r="D577" s="2" t="s">
        <v>148</v>
      </c>
    </row>
    <row r="578" spans="1:4">
      <c r="A578" s="6">
        <v>63390210</v>
      </c>
      <c r="B578" s="4" t="s">
        <v>142</v>
      </c>
      <c r="C578" s="5" t="s">
        <v>122</v>
      </c>
      <c r="D578" s="2" t="s">
        <v>148</v>
      </c>
    </row>
    <row r="579" spans="1:4">
      <c r="A579" s="6">
        <v>63431320</v>
      </c>
      <c r="B579" s="4" t="s">
        <v>143</v>
      </c>
      <c r="C579" s="5" t="s">
        <v>123</v>
      </c>
      <c r="D579" s="2" t="s">
        <v>148</v>
      </c>
    </row>
    <row r="580" spans="1:4">
      <c r="A580" s="6">
        <v>63432400</v>
      </c>
      <c r="B580" s="4" t="s">
        <v>144</v>
      </c>
      <c r="C580" s="5" t="s">
        <v>124</v>
      </c>
      <c r="D580" s="2" t="s">
        <v>148</v>
      </c>
    </row>
    <row r="581" spans="1:4">
      <c r="A581" s="6">
        <v>63631580</v>
      </c>
      <c r="B581" s="4" t="s">
        <v>145</v>
      </c>
      <c r="C581" s="5" t="s">
        <v>125</v>
      </c>
      <c r="D581" s="2" t="s">
        <v>148</v>
      </c>
    </row>
    <row r="582" spans="1:4">
      <c r="A582" s="6">
        <v>64122890</v>
      </c>
      <c r="B582" s="4" t="s">
        <v>146</v>
      </c>
      <c r="C582" s="5" t="s">
        <v>126</v>
      </c>
      <c r="D582" s="2" t="s">
        <v>148</v>
      </c>
    </row>
    <row r="583" spans="1:4">
      <c r="A583" s="6">
        <v>97630550</v>
      </c>
      <c r="B583" s="4" t="s">
        <v>147</v>
      </c>
      <c r="C583" s="5" t="s">
        <v>127</v>
      </c>
      <c r="D583" s="2" t="s">
        <v>148</v>
      </c>
    </row>
    <row r="584" spans="1:4">
      <c r="A584" s="6">
        <v>50332640</v>
      </c>
      <c r="B584" s="4" t="s">
        <v>170</v>
      </c>
      <c r="C584" s="5" t="s">
        <v>149</v>
      </c>
      <c r="D584" s="2" t="s">
        <v>191</v>
      </c>
    </row>
    <row r="585" spans="1:4">
      <c r="A585" s="6">
        <v>50373910</v>
      </c>
      <c r="B585" s="4" t="s">
        <v>171</v>
      </c>
      <c r="C585" s="5" t="s">
        <v>150</v>
      </c>
      <c r="D585" s="2" t="s">
        <v>191</v>
      </c>
    </row>
    <row r="586" spans="1:4">
      <c r="A586" s="6">
        <v>50560100</v>
      </c>
      <c r="B586" s="4" t="s">
        <v>172</v>
      </c>
      <c r="C586" s="5" t="s">
        <v>151</v>
      </c>
      <c r="D586" s="2" t="s">
        <v>191</v>
      </c>
    </row>
    <row r="587" spans="1:4">
      <c r="A587" s="6">
        <v>51145210</v>
      </c>
      <c r="B587" s="4" t="s">
        <v>173</v>
      </c>
      <c r="C587" s="5" t="s">
        <v>152</v>
      </c>
      <c r="D587" s="2" t="s">
        <v>191</v>
      </c>
    </row>
    <row r="588" spans="1:4">
      <c r="A588" s="6">
        <v>51157960</v>
      </c>
      <c r="B588" s="4" t="s">
        <v>1104</v>
      </c>
      <c r="C588" s="5" t="s">
        <v>117</v>
      </c>
      <c r="D588" s="2" t="s">
        <v>191</v>
      </c>
    </row>
    <row r="589" spans="1:4">
      <c r="A589" s="6">
        <v>53050080</v>
      </c>
      <c r="B589" s="4" t="s">
        <v>174</v>
      </c>
      <c r="C589" s="5" t="s">
        <v>153</v>
      </c>
      <c r="D589" s="2" t="s">
        <v>191</v>
      </c>
    </row>
    <row r="590" spans="1:4">
      <c r="A590" s="6">
        <v>53670300</v>
      </c>
      <c r="B590" s="4" t="s">
        <v>1126</v>
      </c>
      <c r="C590" s="5" t="s">
        <v>1130</v>
      </c>
      <c r="D590" s="2" t="s">
        <v>191</v>
      </c>
    </row>
    <row r="591" spans="1:4">
      <c r="A591" s="6">
        <v>54111480</v>
      </c>
      <c r="B591" s="4" t="s">
        <v>1105</v>
      </c>
      <c r="C591" s="5" t="s">
        <v>438</v>
      </c>
      <c r="D591" s="2" t="s">
        <v>191</v>
      </c>
    </row>
    <row r="592" spans="1:4">
      <c r="A592" s="6">
        <v>55152770</v>
      </c>
      <c r="B592" s="4" t="s">
        <v>175</v>
      </c>
      <c r="C592" s="5" t="s">
        <v>154</v>
      </c>
      <c r="D592" s="2" t="s">
        <v>191</v>
      </c>
    </row>
    <row r="593" spans="1:4">
      <c r="A593" s="6">
        <v>63100810</v>
      </c>
      <c r="B593" s="4" t="s">
        <v>1133</v>
      </c>
      <c r="C593" s="5" t="s">
        <v>1135</v>
      </c>
      <c r="D593" s="2" t="s">
        <v>191</v>
      </c>
    </row>
    <row r="594" spans="1:4">
      <c r="A594" s="6">
        <v>63431800</v>
      </c>
      <c r="B594" s="4" t="s">
        <v>176</v>
      </c>
      <c r="C594" s="5" t="s">
        <v>155</v>
      </c>
      <c r="D594" s="2" t="s">
        <v>191</v>
      </c>
    </row>
    <row r="595" spans="1:4">
      <c r="A595" s="6">
        <v>63887010</v>
      </c>
      <c r="B595" s="4" t="s">
        <v>177</v>
      </c>
      <c r="C595" s="5" t="s">
        <v>156</v>
      </c>
      <c r="D595" s="2" t="s">
        <v>191</v>
      </c>
    </row>
    <row r="596" spans="1:4">
      <c r="A596" s="6">
        <v>64013850</v>
      </c>
      <c r="B596" s="4" t="s">
        <v>178</v>
      </c>
      <c r="C596" s="5" t="s">
        <v>157</v>
      </c>
      <c r="D596" s="2" t="s">
        <v>191</v>
      </c>
    </row>
    <row r="597" spans="1:4">
      <c r="A597" s="6">
        <v>66301060</v>
      </c>
      <c r="B597" s="4" t="s">
        <v>179</v>
      </c>
      <c r="C597" s="5" t="s">
        <v>158</v>
      </c>
      <c r="D597" s="2" t="s">
        <v>191</v>
      </c>
    </row>
    <row r="598" spans="1:4">
      <c r="A598" s="6">
        <v>66800840</v>
      </c>
      <c r="B598" s="4" t="s">
        <v>180</v>
      </c>
      <c r="C598" s="5" t="s">
        <v>159</v>
      </c>
      <c r="D598" s="2" t="s">
        <v>191</v>
      </c>
    </row>
    <row r="599" spans="1:4">
      <c r="A599" s="6">
        <v>73180310</v>
      </c>
      <c r="B599" s="4" t="s">
        <v>181</v>
      </c>
      <c r="C599" s="5" t="s">
        <v>160</v>
      </c>
      <c r="D599" s="2" t="s">
        <v>191</v>
      </c>
    </row>
    <row r="600" spans="1:4">
      <c r="A600" s="6">
        <v>73430030</v>
      </c>
      <c r="B600" s="4" t="s">
        <v>182</v>
      </c>
      <c r="C600" s="5" t="s">
        <v>161</v>
      </c>
      <c r="D600" s="2" t="s">
        <v>191</v>
      </c>
    </row>
    <row r="601" spans="1:4">
      <c r="A601" s="6">
        <v>73430040</v>
      </c>
      <c r="B601" s="4" t="s">
        <v>183</v>
      </c>
      <c r="C601" s="5" t="s">
        <v>162</v>
      </c>
      <c r="D601" s="2" t="s">
        <v>191</v>
      </c>
    </row>
    <row r="602" spans="1:4">
      <c r="A602" s="6">
        <v>73430150</v>
      </c>
      <c r="B602" s="4" t="s">
        <v>184</v>
      </c>
      <c r="C602" s="5" t="s">
        <v>163</v>
      </c>
      <c r="D602" s="2" t="s">
        <v>191</v>
      </c>
    </row>
    <row r="603" spans="1:4">
      <c r="A603" s="6">
        <v>73430470</v>
      </c>
      <c r="B603" s="4" t="s">
        <v>185</v>
      </c>
      <c r="C603" s="5" t="s">
        <v>164</v>
      </c>
      <c r="D603" s="2" t="s">
        <v>191</v>
      </c>
    </row>
    <row r="604" spans="1:4">
      <c r="A604" s="6">
        <v>73431270</v>
      </c>
      <c r="B604" s="4" t="s">
        <v>186</v>
      </c>
      <c r="C604" s="5" t="s">
        <v>165</v>
      </c>
      <c r="D604" s="2" t="s">
        <v>191</v>
      </c>
    </row>
    <row r="605" spans="1:4">
      <c r="A605" s="6">
        <v>73433000</v>
      </c>
      <c r="B605" s="4" t="s">
        <v>187</v>
      </c>
      <c r="C605" s="5" t="s">
        <v>166</v>
      </c>
      <c r="D605" s="2" t="s">
        <v>191</v>
      </c>
    </row>
    <row r="606" spans="1:4">
      <c r="A606" s="6">
        <v>73433020</v>
      </c>
      <c r="B606" s="4" t="s">
        <v>188</v>
      </c>
      <c r="C606" s="5" t="s">
        <v>167</v>
      </c>
      <c r="D606" s="2" t="s">
        <v>191</v>
      </c>
    </row>
    <row r="607" spans="1:4">
      <c r="A607" s="6">
        <v>97630080</v>
      </c>
      <c r="B607" s="4" t="s">
        <v>189</v>
      </c>
      <c r="C607" s="5" t="s">
        <v>168</v>
      </c>
      <c r="D607" s="2" t="s">
        <v>191</v>
      </c>
    </row>
    <row r="608" spans="1:4">
      <c r="A608" s="6">
        <v>97633330</v>
      </c>
      <c r="B608" s="4" t="s">
        <v>190</v>
      </c>
      <c r="C608" s="5" t="s">
        <v>169</v>
      </c>
      <c r="D608" s="2" t="s">
        <v>191</v>
      </c>
    </row>
  </sheetData>
  <sheetProtection sheet="1" objects="1" scenarios="1"/>
  <sortState ref="A2:D608">
    <sortCondition ref="D2:D608"/>
    <sortCondition ref="A2:A608"/>
  </sortState>
  <conditionalFormatting sqref="A1:A1048576">
    <cfRule type="duplicateValues" dxfId="1" priority="2"/>
  </conditionalFormatting>
  <conditionalFormatting sqref="B1:B1048576">
    <cfRule type="duplicateValues" dxfId="0" priority="1"/>
  </conditionalFormatting>
  <pageMargins left="0.25" right="0.25" top="0.75" bottom="0.75" header="0.3" footer="0.3"/>
  <pageSetup paperSize="9" scale="70" orientation="portrait" verticalDpi="0" r:id="rId1"/>
</worksheet>
</file>

<file path=xl/worksheets/sheet3.xml><?xml version="1.0" encoding="utf-8"?>
<worksheet xmlns="http://schemas.openxmlformats.org/spreadsheetml/2006/main" xmlns:r="http://schemas.openxmlformats.org/officeDocument/2006/relationships">
  <sheetPr codeName="Лист3"/>
  <dimension ref="A1:F1"/>
  <sheetViews>
    <sheetView workbookViewId="0">
      <pane ySplit="1" topLeftCell="A2" activePane="bottomLeft" state="frozen"/>
      <selection pane="bottomLeft" activeCell="A2" sqref="A2"/>
    </sheetView>
  </sheetViews>
  <sheetFormatPr defaultRowHeight="15"/>
  <cols>
    <col min="1" max="1" width="15.28515625" style="34" customWidth="1"/>
    <col min="2" max="2" width="15.5703125" style="33" customWidth="1"/>
    <col min="3" max="3" width="12.140625" style="28" customWidth="1"/>
    <col min="4" max="4" width="47.28515625" customWidth="1"/>
    <col min="5" max="5" width="11.7109375" style="28" customWidth="1"/>
    <col min="6" max="6" width="67.140625" customWidth="1"/>
  </cols>
  <sheetData>
    <row r="1" spans="1:6">
      <c r="A1" s="30" t="s">
        <v>1165</v>
      </c>
      <c r="B1" s="32" t="s">
        <v>0</v>
      </c>
      <c r="C1" s="29" t="s">
        <v>1</v>
      </c>
      <c r="D1" s="29" t="s">
        <v>2</v>
      </c>
      <c r="E1" s="29" t="s">
        <v>1166</v>
      </c>
      <c r="F1" s="31" t="s">
        <v>1167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3</vt:i4>
      </vt:variant>
    </vt:vector>
  </HeadingPairs>
  <TitlesOfParts>
    <vt:vector size="3" baseType="lpstr">
      <vt:lpstr>Поиск</vt:lpstr>
      <vt:lpstr>Запчасти</vt:lpstr>
      <vt:lpstr>Журнал движений</vt:lpstr>
    </vt:vector>
  </TitlesOfParts>
  <Company>Grizli777</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G1610</dc:creator>
  <cp:lastModifiedBy>G1610</cp:lastModifiedBy>
  <cp:lastPrinted>2023-11-26T12:13:05Z</cp:lastPrinted>
  <dcterms:created xsi:type="dcterms:W3CDTF">2022-02-21T12:41:19Z</dcterms:created>
  <dcterms:modified xsi:type="dcterms:W3CDTF">2023-11-26T12:14:41Z</dcterms:modified>
</cp:coreProperties>
</file>