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jpeg" ContentType="image/jpeg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updateLinks="always" codeName="ЭтаКнига" defaultThemeVersion="124226"/>
  <bookViews>
    <workbookView xWindow="120" yWindow="105" windowWidth="15120" windowHeight="8010"/>
  </bookViews>
  <sheets>
    <sheet name="Лист1" sheetId="3" r:id="rId1"/>
    <sheet name="Данные" sheetId="1" state="hidden" r:id="rId2"/>
    <sheet name="Услуги" sheetId="2" state="hidden" r:id="rId3"/>
    <sheet name="Возврат" sheetId="10" state="hidden" r:id="rId4"/>
    <sheet name="Утеря" sheetId="5" state="hidden" r:id="rId5"/>
    <sheet name="РемонтКЦ" sheetId="11" state="hidden" r:id="rId6"/>
    <sheet name="РемонтДР" sheetId="12" state="hidden" r:id="rId7"/>
    <sheet name="Отказ" sheetId="13" state="hidden" r:id="rId8"/>
    <sheet name="Подмена" sheetId="14" state="hidden" r:id="rId9"/>
  </sheets>
  <externalReferences>
    <externalReference r:id="rId10"/>
  </externalReferences>
  <definedNames>
    <definedName name="Документ">Данные!$E$12:$E$13</definedName>
    <definedName name="Материалы">Данные!$C$2:$C$29</definedName>
    <definedName name="Причина">Данные!$E$9</definedName>
    <definedName name="Сотрудники">Данные!$E$2:$E$6</definedName>
    <definedName name="Требование">Данные!$E$16:$E$17</definedName>
    <definedName name="Услуги">Данные!$A$2:$A$13</definedName>
  </definedNames>
  <calcPr calcId="124519"/>
</workbook>
</file>

<file path=xl/calcChain.xml><?xml version="1.0" encoding="utf-8"?>
<calcChain xmlns="http://schemas.openxmlformats.org/spreadsheetml/2006/main">
  <c r="C17" i="14"/>
  <c r="C17" i="13"/>
  <c r="C17" i="12"/>
  <c r="C17" i="11"/>
  <c r="Z30" i="10"/>
  <c r="N30"/>
  <c r="H21"/>
  <c r="B22" i="12"/>
  <c r="B21" i="11"/>
  <c r="C31" i="14"/>
  <c r="C31" i="13"/>
  <c r="C32" i="12"/>
  <c r="C31" i="11"/>
  <c r="B31" i="5"/>
  <c r="O29" i="10"/>
  <c r="O19"/>
  <c r="B24" i="2"/>
  <c r="M13" i="10"/>
  <c r="P21"/>
</calcChain>
</file>

<file path=xl/sharedStrings.xml><?xml version="1.0" encoding="utf-8"?>
<sst xmlns="http://schemas.openxmlformats.org/spreadsheetml/2006/main" count="232" uniqueCount="142">
  <si>
    <t>Передан в СЦ</t>
  </si>
  <si>
    <t>Готов</t>
  </si>
  <si>
    <t>Изготовил</t>
  </si>
  <si>
    <t>Дозвон</t>
  </si>
  <si>
    <t>ИП Корнееву В.А.</t>
  </si>
  <si>
    <t>от</t>
  </si>
  <si>
    <t>прож. по адресу:</t>
  </si>
  <si>
    <t>Конт.тел.:</t>
  </si>
  <si>
    <t>Заявление</t>
  </si>
  <si>
    <t>На оказание следующих услуг:</t>
  </si>
  <si>
    <t>При выполнении работ использовать материалы:</t>
  </si>
  <si>
    <t>При необходимости прошу осуществить демонтаж б/у штуцеров, фитингов с изделия заказчика для их последующего монтажа на опрессованный шланг.</t>
  </si>
  <si>
    <t xml:space="preserve">При опрессовке устанавливались штуцеры, фитинги б/у: </t>
  </si>
  <si>
    <t>ДА</t>
  </si>
  <si>
    <t>Нет</t>
  </si>
  <si>
    <t>(ненужное зачеркнуть)</t>
  </si>
  <si>
    <t>С уловиями выполнения работ (сроках, стоимости, гарантии) ознакомлен и принимаю их.</t>
  </si>
  <si>
    <t>Изделие получено:</t>
  </si>
  <si>
    <t>Материалы</t>
  </si>
  <si>
    <t>Услуги</t>
  </si>
  <si>
    <t>Кол-во</t>
  </si>
  <si>
    <t>/</t>
  </si>
  <si>
    <t>«          »</t>
  </si>
  <si>
    <t>20       г.</t>
  </si>
  <si>
    <t>900000: Обжим шланга</t>
  </si>
  <si>
    <t>900001: Демонтаж б/у  фитинга</t>
  </si>
  <si>
    <t>900002: Ремонт шланга с использованием елочки (2 обжима)</t>
  </si>
  <si>
    <t>900134: Контроль технического состояния пенокомплекта</t>
  </si>
  <si>
    <t>900115: Контроль технического состояния аксессуаров для бытовой серии  стоимостью до 4000,00 рублей</t>
  </si>
  <si>
    <t>900116: Контроль технического состояния аксессуаров для бытовой серии  стоимостью свыше 4000,00 рублей</t>
  </si>
  <si>
    <t>004725: Шланг высокого давления DIN 1SN d=06 (-40С до +100С)1метр</t>
  </si>
  <si>
    <t>004728: Шланг высокого давления DIN 1SN d=08  (-40С до +100С) 1метр</t>
  </si>
  <si>
    <t>004714: Шланг высокого давления DIN 2SN d=08  (-40С до +100С) 1метр</t>
  </si>
  <si>
    <t>004736: Фитинг (Гайка) 22*1,5 DN6 с термозащит. (вход 14мм) для шланга высокого давления</t>
  </si>
  <si>
    <t>004739: Фитинг (Гайка) 22*1,5 DN8 с термозащит. (вход 14мм) для шланга высокого давления</t>
  </si>
  <si>
    <t>004787: Фитинг ремонтный елочка d=06</t>
  </si>
  <si>
    <t>004041: Сеточка для пенной насадки (Италия)</t>
  </si>
  <si>
    <t>004230: Наконечник б/с бытовой пластиковый типа Karcher, резьба латунь, выход гайка 1/4" (А 93)</t>
  </si>
  <si>
    <t>004771: Штуцер Karcher д.11мм d=06 (3 шайбы для пистолетов с 2012г.)</t>
  </si>
  <si>
    <t>004774: Штуцер Karcher д.11мм d=08 (3 шайбы для пистолетов с 2012 г.)</t>
  </si>
  <si>
    <t>004765: Штуцер Karcher д.10мм d=06  (1 шайба  для пистолетов до 2012г.)</t>
  </si>
  <si>
    <t>004768: Штуцер Karcher д.10мм d=08 (1 шайба  для пистолетов до 2012г.)</t>
  </si>
  <si>
    <t>004791: Фитинг ремонтный елочка d=08</t>
  </si>
  <si>
    <t>004812: Муфта обжимная 1SN/2SN 06</t>
  </si>
  <si>
    <t>004816: Муфта обжимная 1SN/2SN 08</t>
  </si>
  <si>
    <t>900120: Контроль технического состояния аксессуаров от аппаратов PROF серии Karcher</t>
  </si>
  <si>
    <t>900138: Демонтаж пистолета от шланга высокого давления бытового аппарата KARCHER</t>
  </si>
  <si>
    <t>900143: Демонтаж пистолета от шланга высокого давления аппарата PROF серии Karcher</t>
  </si>
  <si>
    <t>прож.</t>
  </si>
  <si>
    <t>выдан</t>
  </si>
  <si>
    <t>Контактный тел.:</t>
  </si>
  <si>
    <t>ЗАЯВЛЕНИЕ</t>
  </si>
  <si>
    <t>Прошу принять у меня товар:</t>
  </si>
  <si>
    <t>приобртенный в вашем магазине</t>
  </si>
  <si>
    <t>по товарному чеку №:</t>
  </si>
  <si>
    <t>на сумму:</t>
  </si>
  <si>
    <t>/.</t>
  </si>
  <si>
    <t>Причина возврата:</t>
  </si>
  <si>
    <t>(обмен на аналогичный товар, обмен на товар другой марки,</t>
  </si>
  <si>
    <t>соразмерное уменьшение цены, расторжение договора купли-продажи и возврат денежной суммы).</t>
  </si>
  <si>
    <t>Примечание (оформляется продавцом):</t>
  </si>
  <si>
    <t>(подпись, расшифровка)</t>
  </si>
  <si>
    <t>Деньги в сумме:</t>
  </si>
  <si>
    <t>получил, претензий не имею.</t>
  </si>
  <si>
    <t>«</t>
  </si>
  <si>
    <t>»</t>
  </si>
  <si>
    <t>20            г.</t>
  </si>
  <si>
    <t>линия отреза</t>
  </si>
  <si>
    <t>РАСПИСКА</t>
  </si>
  <si>
    <t>(заполняется продавцом)</t>
  </si>
  <si>
    <t>Заявление принято к рассмотрению</t>
  </si>
  <si>
    <t>Оригинал товарного и кассового чека №</t>
  </si>
  <si>
    <t>на сумму</t>
  </si>
  <si>
    <t>прилагаются.</t>
  </si>
  <si>
    <t>Продавец</t>
  </si>
  <si>
    <r>
      <t xml:space="preserve">            </t>
    </r>
    <r>
      <rPr>
        <b/>
        <i/>
        <u/>
        <sz val="10"/>
        <color theme="1"/>
        <rFont val="Times New Roman"/>
        <family val="1"/>
        <charset val="204"/>
      </rPr>
      <t xml:space="preserve">Внимание! </t>
    </r>
    <r>
      <rPr>
        <sz val="10"/>
        <color theme="1"/>
        <rFont val="Times New Roman"/>
        <family val="1"/>
        <charset val="204"/>
      </rPr>
      <t xml:space="preserve">Документальное оформление требований, предъявленных в заявлении, и выдача денежных сумм производится в </t>
    </r>
    <r>
      <rPr>
        <b/>
        <i/>
        <sz val="10"/>
        <color theme="1"/>
        <rFont val="Times New Roman"/>
        <family val="1"/>
        <charset val="204"/>
      </rPr>
      <t>Пн-Пт с 9.00 до 16.00, обед с 13.00 до 14.00.</t>
    </r>
  </si>
  <si>
    <t>Индивидуальному предпринимателю</t>
  </si>
  <si>
    <t xml:space="preserve">Корнееву В.А. от </t>
  </si>
  <si>
    <t>заявление.</t>
  </si>
  <si>
    <t>Прож.:</t>
  </si>
  <si>
    <t>Тел.:</t>
  </si>
  <si>
    <t>Кем:</t>
  </si>
  <si>
    <t>Когда:</t>
  </si>
  <si>
    <t>Наименование оборудования:</t>
  </si>
  <si>
    <t>артикул:</t>
  </si>
  <si>
    <t>серийный номер:</t>
  </si>
  <si>
    <t>Артикул:</t>
  </si>
  <si>
    <t>Серийный номер:</t>
  </si>
  <si>
    <t>(Подпись)</t>
  </si>
  <si>
    <t>(Фамилия, инициалы)</t>
  </si>
  <si>
    <t xml:space="preserve">           Прошу Вас выдать мне оборудование, находящееся в Керхер центре, без предъявления документов о приеме техники на ремонт или диагностику, так как они были утеряны.</t>
  </si>
  <si>
    <t>Я,</t>
  </si>
  <si>
    <t>,</t>
  </si>
  <si>
    <t>в</t>
  </si>
  <si>
    <t>Керхер Центре «Виктория Авто», расположенному по адресу: г.Калуга, ул.Грабцевское</t>
  </si>
  <si>
    <t>шоссе, д.4б приобрел аппарат Karcher модель:</t>
  </si>
  <si>
    <t>, серийный номер:</t>
  </si>
  <si>
    <t>.</t>
  </si>
  <si>
    <t>обнаружился недостаток:</t>
  </si>
  <si>
    <t>На основании вышеизложенного прошу произвести гарантийный ремонт.</t>
  </si>
  <si>
    <t xml:space="preserve">Гарантийный талон утерян. Гарантийный срок прошу исчислять с даты производства </t>
  </si>
  <si>
    <t>аппарата.</t>
  </si>
  <si>
    <t>,   серийный номер:</t>
  </si>
  <si>
    <t>приобрел аппарат Karcher модель:</t>
  </si>
  <si>
    <t>, расположенному по адресу:</t>
  </si>
  <si>
    <t>отказываюсь от аппарата</t>
  </si>
  <si>
    <t>Karcher модель:</t>
  </si>
  <si>
    <t>, артикул:</t>
  </si>
  <si>
    <t>и прошу принять его в зачет стоимости технического</t>
  </si>
  <si>
    <t>диагностирования аппарата по наряд-заказу:   Ипк-</t>
  </si>
  <si>
    <t>прошу Вас предоставить мне</t>
  </si>
  <si>
    <t>подменное оборудование на срок нахождения моего аппарата в гарантийном ремонте,</t>
  </si>
  <si>
    <t>либо проведения диагностики по наряд-заказу:</t>
  </si>
  <si>
    <t>Сотрудники</t>
  </si>
  <si>
    <t>Гурулев А.Ю.</t>
  </si>
  <si>
    <t>Соломонова Е.О.</t>
  </si>
  <si>
    <t>Причина</t>
  </si>
  <si>
    <t>Не подошел</t>
  </si>
  <si>
    <t>Документ</t>
  </si>
  <si>
    <t>Паспорт</t>
  </si>
  <si>
    <t>Вод.удостов.</t>
  </si>
  <si>
    <t>Требование</t>
  </si>
  <si>
    <t>возврат денежных средств</t>
  </si>
  <si>
    <t>обмен на аналогичный товар</t>
  </si>
  <si>
    <t>Требование:</t>
  </si>
  <si>
    <t>Наряд-заказ: ИПк-</t>
  </si>
  <si>
    <t>002563</t>
  </si>
  <si>
    <t>Макаров А.Р.</t>
  </si>
  <si>
    <t>Шкрабков Геннадий Владимирович</t>
  </si>
  <si>
    <t>г.Калуга, ул.Звездная, д.14, кв.31</t>
  </si>
  <si>
    <t>2909 386698</t>
  </si>
  <si>
    <t>29.03.2010</t>
  </si>
  <si>
    <t>ОУФМС России по Калужской обл. в Московском окр. г.Калуги</t>
  </si>
  <si>
    <t>Форсунка для струйной трубки Vario Power (004003)</t>
  </si>
  <si>
    <t>03.10.2023</t>
  </si>
  <si>
    <t>649193</t>
  </si>
  <si>
    <t>004710: Шланг высокого давления DIN 2SN d=06 (-40С до +100С)1метр</t>
  </si>
  <si>
    <t xml:space="preserve">004784: Штуцер Karcher бытовой d=06 </t>
  </si>
  <si>
    <t>004743: Гайка EASY Lock DN6 для ШВД, Алюминий</t>
  </si>
  <si>
    <t>004748: Гайка EASY Lock DN8 для ШВД, Алюминий</t>
  </si>
  <si>
    <t>004752: Гайка EASY Lock DN6 для ШВД, Латунь</t>
  </si>
  <si>
    <t>004756: Гайка EASY Lock DN8 для ШВД, Латунь</t>
  </si>
</sst>
</file>

<file path=xl/styles.xml><?xml version="1.0" encoding="utf-8"?>
<styleSheet xmlns="http://schemas.openxmlformats.org/spreadsheetml/2006/main">
  <numFmts count="3">
    <numFmt numFmtId="164" formatCode="000000"/>
    <numFmt numFmtId="165" formatCode="[$-F800]dddd\,\ mmmm\ dd\,\ yyyy"/>
    <numFmt numFmtId="166" formatCode="#,###&quot; руб&quot;.00&quot; коп&quot;"/>
  </numFmts>
  <fonts count="19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8"/>
      <color theme="1"/>
      <name val="Times New Roman"/>
      <family val="1"/>
      <charset val="204"/>
    </font>
    <font>
      <sz val="16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color rgb="FFCBCBCB"/>
      <name val="Times New Roman"/>
      <family val="1"/>
      <charset val="204"/>
    </font>
    <font>
      <sz val="14"/>
      <color rgb="FFBABABA"/>
      <name val="Arial Black"/>
      <family val="2"/>
      <charset val="204"/>
    </font>
    <font>
      <sz val="12"/>
      <color theme="1"/>
      <name val="Times New Roman"/>
      <family val="1"/>
      <charset val="204"/>
    </font>
    <font>
      <u/>
      <sz val="10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sz val="10"/>
      <color theme="1"/>
      <name val="Calibri"/>
      <family val="2"/>
      <charset val="204"/>
    </font>
    <font>
      <b/>
      <i/>
      <u/>
      <sz val="10"/>
      <color theme="1"/>
      <name val="Times New Roman"/>
      <family val="1"/>
      <charset val="204"/>
    </font>
    <font>
      <b/>
      <i/>
      <sz val="10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68">
    <xf numFmtId="0" fontId="0" fillId="0" borderId="0" xfId="0"/>
    <xf numFmtId="0" fontId="1" fillId="0" borderId="0" xfId="0" applyFont="1"/>
    <xf numFmtId="0" fontId="1" fillId="0" borderId="6" xfId="0" applyFont="1" applyBorder="1"/>
    <xf numFmtId="0" fontId="3" fillId="0" borderId="0" xfId="0" applyFont="1"/>
    <xf numFmtId="0" fontId="4" fillId="0" borderId="0" xfId="0" applyFont="1" applyAlignment="1">
      <alignment horizontal="left" vertical="top"/>
    </xf>
    <xf numFmtId="0" fontId="0" fillId="0" borderId="6" xfId="0" applyBorder="1"/>
    <xf numFmtId="49" fontId="0" fillId="0" borderId="0" xfId="0" applyNumberFormat="1"/>
    <xf numFmtId="0" fontId="0" fillId="0" borderId="0" xfId="0" applyAlignment="1">
      <alignment wrapText="1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wrapText="1"/>
    </xf>
    <xf numFmtId="49" fontId="0" fillId="0" borderId="0" xfId="0" applyNumberFormat="1" applyBorder="1"/>
    <xf numFmtId="0" fontId="0" fillId="0" borderId="0" xfId="0" applyBorder="1"/>
    <xf numFmtId="0" fontId="2" fillId="0" borderId="0" xfId="0" applyFont="1"/>
    <xf numFmtId="0" fontId="1" fillId="0" borderId="6" xfId="0" applyFont="1" applyBorder="1" applyAlignment="1">
      <alignment horizontal="right"/>
    </xf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6" fillId="0" borderId="0" xfId="0" applyFont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0" xfId="0" applyFont="1" applyAlignment="1"/>
    <xf numFmtId="0" fontId="8" fillId="0" borderId="11" xfId="0" applyFont="1" applyBorder="1" applyAlignment="1">
      <alignment horizontal="center"/>
    </xf>
    <xf numFmtId="0" fontId="9" fillId="0" borderId="0" xfId="0" applyFont="1" applyFill="1" applyBorder="1" applyAlignment="1">
      <alignment horizontal="left" vertical="center" wrapText="1"/>
    </xf>
    <xf numFmtId="0" fontId="0" fillId="0" borderId="0" xfId="0" applyFill="1" applyBorder="1"/>
    <xf numFmtId="49" fontId="5" fillId="0" borderId="0" xfId="0" applyNumberFormat="1" applyFont="1" applyFill="1" applyBorder="1" applyAlignment="1">
      <alignment horizontal="center" vertical="center" wrapText="1"/>
    </xf>
    <xf numFmtId="0" fontId="8" fillId="0" borderId="0" xfId="0" applyFont="1" applyBorder="1" applyAlignment="1"/>
    <xf numFmtId="0" fontId="0" fillId="0" borderId="0" xfId="0" applyNumberFormat="1" applyBorder="1" applyAlignment="1">
      <alignment horizontal="left" vertical="center"/>
    </xf>
    <xf numFmtId="164" fontId="0" fillId="0" borderId="0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 wrapText="1"/>
    </xf>
    <xf numFmtId="49" fontId="0" fillId="0" borderId="9" xfId="0" applyNumberFormat="1" applyBorder="1" applyAlignment="1">
      <alignment horizontal="left" vertical="center" wrapText="1"/>
    </xf>
    <xf numFmtId="49" fontId="0" fillId="0" borderId="10" xfId="0" applyNumberFormat="1" applyBorder="1" applyAlignment="1">
      <alignment horizontal="left" vertical="center" wrapText="1"/>
    </xf>
    <xf numFmtId="0" fontId="0" fillId="0" borderId="8" xfId="0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0" fontId="0" fillId="0" borderId="9" xfId="0" applyBorder="1" applyAlignment="1">
      <alignment wrapText="1"/>
    </xf>
    <xf numFmtId="0" fontId="0" fillId="0" borderId="10" xfId="0" applyBorder="1" applyAlignment="1">
      <alignment wrapText="1"/>
    </xf>
    <xf numFmtId="0" fontId="7" fillId="0" borderId="0" xfId="0" applyFont="1" applyFill="1" applyBorder="1" applyAlignment="1"/>
    <xf numFmtId="0" fontId="10" fillId="0" borderId="0" xfId="0" applyFont="1"/>
    <xf numFmtId="0" fontId="12" fillId="0" borderId="0" xfId="0" applyFont="1"/>
    <xf numFmtId="0" fontId="2" fillId="0" borderId="6" xfId="0" applyFont="1" applyBorder="1" applyAlignment="1"/>
    <xf numFmtId="14" fontId="2" fillId="0" borderId="6" xfId="0" applyNumberFormat="1" applyFont="1" applyBorder="1" applyAlignment="1"/>
    <xf numFmtId="0" fontId="2" fillId="0" borderId="6" xfId="0" applyFont="1" applyBorder="1" applyAlignment="1">
      <alignment vertical="top"/>
    </xf>
    <xf numFmtId="0" fontId="14" fillId="0" borderId="0" xfId="0" applyFont="1"/>
    <xf numFmtId="165" fontId="2" fillId="0" borderId="0" xfId="0" applyNumberFormat="1" applyFont="1" applyBorder="1" applyAlignment="1"/>
    <xf numFmtId="0" fontId="2" fillId="0" borderId="3" xfId="0" applyFont="1" applyBorder="1" applyAlignment="1">
      <alignment horizontal="right"/>
    </xf>
    <xf numFmtId="0" fontId="2" fillId="0" borderId="6" xfId="0" applyFont="1" applyBorder="1" applyAlignment="1">
      <alignment horizontal="right"/>
    </xf>
    <xf numFmtId="166" fontId="2" fillId="0" borderId="0" xfId="0" applyNumberFormat="1" applyFont="1" applyBorder="1" applyAlignment="1">
      <alignment horizontal="center"/>
    </xf>
    <xf numFmtId="0" fontId="2" fillId="0" borderId="0" xfId="0" applyFont="1" applyBorder="1"/>
    <xf numFmtId="0" fontId="2" fillId="0" borderId="0" xfId="0" applyFont="1" applyBorder="1" applyAlignment="1"/>
    <xf numFmtId="0" fontId="2" fillId="0" borderId="0" xfId="0" applyFont="1" applyAlignment="1">
      <alignment vertical="top"/>
    </xf>
    <xf numFmtId="0" fontId="4" fillId="0" borderId="0" xfId="0" applyFont="1" applyAlignment="1">
      <alignment vertical="top"/>
    </xf>
    <xf numFmtId="0" fontId="15" fillId="0" borderId="6" xfId="0" applyFont="1" applyBorder="1"/>
    <xf numFmtId="0" fontId="15" fillId="0" borderId="6" xfId="0" applyFont="1" applyBorder="1" applyAlignment="1"/>
    <xf numFmtId="0" fontId="2" fillId="0" borderId="12" xfId="0" applyFont="1" applyBorder="1"/>
    <xf numFmtId="0" fontId="14" fillId="0" borderId="0" xfId="0" applyFont="1" applyAlignment="1"/>
    <xf numFmtId="0" fontId="2" fillId="0" borderId="6" xfId="0" applyFont="1" applyBorder="1" applyAlignment="1">
      <alignment horizontal="left"/>
    </xf>
    <xf numFmtId="0" fontId="18" fillId="0" borderId="0" xfId="0" applyFont="1" applyAlignment="1">
      <alignment horizontal="left" indent="15"/>
    </xf>
    <xf numFmtId="0" fontId="18" fillId="0" borderId="0" xfId="0" applyFont="1" applyAlignment="1">
      <alignment horizontal="justify"/>
    </xf>
    <xf numFmtId="0" fontId="4" fillId="0" borderId="0" xfId="0" applyFont="1" applyAlignment="1">
      <alignment horizontal="justify"/>
    </xf>
    <xf numFmtId="0" fontId="12" fillId="0" borderId="0" xfId="0" applyFont="1" applyAlignment="1"/>
    <xf numFmtId="0" fontId="12" fillId="0" borderId="0" xfId="0" applyFont="1" applyBorder="1" applyAlignment="1"/>
    <xf numFmtId="0" fontId="12" fillId="0" borderId="0" xfId="0" applyFont="1" applyAlignment="1">
      <alignment wrapText="1"/>
    </xf>
    <xf numFmtId="0" fontId="12" fillId="0" borderId="0" xfId="0" applyFont="1" applyBorder="1" applyAlignment="1">
      <alignment vertical="top"/>
    </xf>
    <xf numFmtId="0" fontId="12" fillId="0" borderId="0" xfId="0" applyFont="1" applyBorder="1" applyAlignment="1">
      <alignment horizontal="left"/>
    </xf>
    <xf numFmtId="0" fontId="18" fillId="0" borderId="0" xfId="0" applyFont="1" applyAlignment="1">
      <alignment wrapText="1"/>
    </xf>
    <xf numFmtId="0" fontId="18" fillId="0" borderId="0" xfId="0" applyFont="1" applyAlignment="1"/>
    <xf numFmtId="0" fontId="18" fillId="0" borderId="0" xfId="0" applyFont="1"/>
    <xf numFmtId="0" fontId="18" fillId="0" borderId="6" xfId="0" applyFont="1" applyBorder="1" applyAlignment="1"/>
    <xf numFmtId="0" fontId="18" fillId="0" borderId="6" xfId="0" applyFont="1" applyBorder="1"/>
    <xf numFmtId="0" fontId="18" fillId="0" borderId="0" xfId="0" applyFont="1" applyBorder="1"/>
    <xf numFmtId="0" fontId="18" fillId="0" borderId="0" xfId="0" applyFont="1" applyBorder="1" applyAlignment="1"/>
    <xf numFmtId="0" fontId="18" fillId="0" borderId="0" xfId="0" applyFont="1" applyBorder="1" applyAlignment="1">
      <alignment wrapText="1"/>
    </xf>
    <xf numFmtId="49" fontId="18" fillId="0" borderId="0" xfId="0" applyNumberFormat="1" applyFont="1" applyBorder="1" applyAlignment="1">
      <alignment horizontal="left"/>
    </xf>
    <xf numFmtId="0" fontId="18" fillId="0" borderId="0" xfId="0" applyFont="1" applyBorder="1" applyAlignment="1">
      <alignment horizontal="center"/>
    </xf>
    <xf numFmtId="0" fontId="12" fillId="0" borderId="0" xfId="0" applyFont="1" applyAlignment="1">
      <alignment horizontal="left"/>
    </xf>
    <xf numFmtId="0" fontId="18" fillId="0" borderId="6" xfId="0" applyFont="1" applyBorder="1" applyAlignment="1">
      <alignment horizontal="left"/>
    </xf>
    <xf numFmtId="0" fontId="0" fillId="0" borderId="3" xfId="0" applyBorder="1"/>
    <xf numFmtId="0" fontId="18" fillId="0" borderId="3" xfId="0" applyFont="1" applyBorder="1" applyAlignment="1"/>
    <xf numFmtId="0" fontId="18" fillId="0" borderId="3" xfId="0" applyFont="1" applyBorder="1" applyAlignment="1">
      <alignment wrapText="1"/>
    </xf>
    <xf numFmtId="0" fontId="18" fillId="0" borderId="3" xfId="0" applyFont="1" applyBorder="1"/>
    <xf numFmtId="49" fontId="18" fillId="0" borderId="3" xfId="0" applyNumberFormat="1" applyFont="1" applyBorder="1" applyAlignment="1">
      <alignment horizontal="left"/>
    </xf>
    <xf numFmtId="0" fontId="18" fillId="0" borderId="0" xfId="0" applyFont="1" applyAlignment="1">
      <alignment vertical="center" wrapText="1"/>
    </xf>
    <xf numFmtId="0" fontId="0" fillId="0" borderId="6" xfId="0" applyBorder="1" applyAlignment="1">
      <alignment horizontal="right"/>
    </xf>
    <xf numFmtId="0" fontId="18" fillId="0" borderId="0" xfId="0" applyFont="1" applyAlignment="1">
      <alignment horizontal="right"/>
    </xf>
    <xf numFmtId="0" fontId="18" fillId="0" borderId="0" xfId="0" applyFont="1" applyAlignment="1">
      <alignment horizontal="left"/>
    </xf>
    <xf numFmtId="0" fontId="18" fillId="0" borderId="0" xfId="0" applyFont="1" applyBorder="1" applyAlignment="1">
      <alignment horizontal="left"/>
    </xf>
    <xf numFmtId="165" fontId="18" fillId="0" borderId="0" xfId="0" applyNumberFormat="1" applyFont="1" applyBorder="1" applyAlignment="1">
      <alignment vertical="center" wrapText="1"/>
    </xf>
    <xf numFmtId="0" fontId="18" fillId="0" borderId="0" xfId="0" applyFont="1" applyBorder="1" applyAlignment="1">
      <alignment wrapText="1"/>
    </xf>
    <xf numFmtId="0" fontId="18" fillId="0" borderId="0" xfId="0" applyFont="1" applyBorder="1" applyAlignment="1">
      <alignment horizontal="left" wrapText="1"/>
    </xf>
    <xf numFmtId="0" fontId="18" fillId="0" borderId="6" xfId="0" applyFont="1" applyBorder="1" applyAlignment="1">
      <alignment horizontal="right" wrapText="1"/>
    </xf>
    <xf numFmtId="0" fontId="0" fillId="0" borderId="6" xfId="0" applyBorder="1"/>
    <xf numFmtId="0" fontId="18" fillId="0" borderId="6" xfId="0" applyFont="1" applyBorder="1" applyAlignment="1">
      <alignment horizontal="right"/>
    </xf>
    <xf numFmtId="49" fontId="18" fillId="0" borderId="0" xfId="0" applyNumberFormat="1" applyFont="1" applyBorder="1" applyAlignment="1"/>
    <xf numFmtId="14" fontId="18" fillId="0" borderId="0" xfId="0" applyNumberFormat="1" applyFont="1" applyBorder="1" applyAlignment="1"/>
    <xf numFmtId="0" fontId="18" fillId="0" borderId="0" xfId="0" applyFont="1" applyAlignment="1">
      <alignment vertical="center"/>
    </xf>
    <xf numFmtId="0" fontId="18" fillId="0" borderId="13" xfId="0" applyFont="1" applyBorder="1" applyAlignment="1"/>
    <xf numFmtId="0" fontId="18" fillId="0" borderId="6" xfId="0" applyFont="1" applyBorder="1" applyAlignment="1">
      <alignment wrapText="1"/>
    </xf>
    <xf numFmtId="1" fontId="0" fillId="0" borderId="1" xfId="0" applyNumberFormat="1" applyBorder="1" applyAlignment="1">
      <alignment horizontal="left" vertical="center"/>
    </xf>
    <xf numFmtId="0" fontId="0" fillId="0" borderId="1" xfId="0" applyNumberFormat="1" applyBorder="1" applyAlignment="1">
      <alignment horizontal="left" vertical="center"/>
    </xf>
    <xf numFmtId="1" fontId="0" fillId="0" borderId="14" xfId="0" applyNumberFormat="1" applyBorder="1" applyAlignment="1">
      <alignment horizontal="left" vertical="center"/>
    </xf>
    <xf numFmtId="0" fontId="0" fillId="0" borderId="14" xfId="0" applyBorder="1" applyAlignment="1">
      <alignment horizontal="left" vertical="center" wrapText="1"/>
    </xf>
    <xf numFmtId="0" fontId="0" fillId="0" borderId="1" xfId="0" applyBorder="1" applyAlignment="1">
      <alignment horizontal="center"/>
    </xf>
    <xf numFmtId="166" fontId="2" fillId="0" borderId="0" xfId="0" applyNumberFormat="1" applyFont="1" applyBorder="1" applyAlignment="1"/>
    <xf numFmtId="0" fontId="12" fillId="0" borderId="0" xfId="0" applyFont="1" applyBorder="1" applyAlignment="1">
      <alignment horizontal="left"/>
    </xf>
    <xf numFmtId="0" fontId="12" fillId="0" borderId="0" xfId="0" applyFont="1" applyBorder="1" applyAlignment="1">
      <alignment horizontal="left"/>
    </xf>
    <xf numFmtId="0" fontId="2" fillId="0" borderId="2" xfId="0" applyFont="1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2" fillId="0" borderId="0" xfId="0" applyFont="1" applyAlignment="1">
      <alignment horizontal="left" vertical="top" wrapText="1"/>
    </xf>
    <xf numFmtId="0" fontId="11" fillId="0" borderId="0" xfId="0" applyFont="1" applyAlignment="1">
      <alignment horizontal="center" vertical="top"/>
    </xf>
    <xf numFmtId="0" fontId="2" fillId="0" borderId="0" xfId="0" applyFont="1" applyAlignment="1">
      <alignment horizontal="left"/>
    </xf>
    <xf numFmtId="0" fontId="1" fillId="0" borderId="0" xfId="0" applyFont="1" applyAlignment="1">
      <alignment horizontal="justify" vertical="center" wrapText="1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2" xfId="0" applyNumberFormat="1" applyFont="1" applyBorder="1" applyAlignment="1">
      <alignment horizontal="left"/>
    </xf>
    <xf numFmtId="0" fontId="2" fillId="0" borderId="3" xfId="0" applyNumberFormat="1" applyFont="1" applyBorder="1" applyAlignment="1">
      <alignment horizontal="left"/>
    </xf>
    <xf numFmtId="0" fontId="2" fillId="0" borderId="4" xfId="0" applyNumberFormat="1" applyFont="1" applyBorder="1" applyAlignment="1">
      <alignment horizontal="left"/>
    </xf>
    <xf numFmtId="164" fontId="2" fillId="0" borderId="2" xfId="0" applyNumberFormat="1" applyFont="1" applyBorder="1" applyAlignment="1">
      <alignment horizontal="left"/>
    </xf>
    <xf numFmtId="164" fontId="2" fillId="0" borderId="3" xfId="0" applyNumberFormat="1" applyFont="1" applyBorder="1" applyAlignment="1">
      <alignment horizontal="left"/>
    </xf>
    <xf numFmtId="164" fontId="2" fillId="0" borderId="4" xfId="0" applyNumberFormat="1" applyFont="1" applyBorder="1" applyAlignment="1">
      <alignment horizontal="left"/>
    </xf>
    <xf numFmtId="165" fontId="1" fillId="0" borderId="6" xfId="0" applyNumberFormat="1" applyFont="1" applyBorder="1" applyAlignment="1">
      <alignment horizontal="center"/>
    </xf>
    <xf numFmtId="0" fontId="2" fillId="0" borderId="0" xfId="0" applyFont="1" applyAlignment="1">
      <alignment horizontal="justify" wrapText="1"/>
    </xf>
    <xf numFmtId="49" fontId="2" fillId="0" borderId="6" xfId="0" applyNumberFormat="1" applyFont="1" applyBorder="1" applyAlignment="1">
      <alignment horizontal="left"/>
    </xf>
    <xf numFmtId="0" fontId="2" fillId="0" borderId="6" xfId="0" applyFont="1" applyBorder="1" applyAlignment="1">
      <alignment horizontal="left"/>
    </xf>
    <xf numFmtId="0" fontId="2" fillId="0" borderId="0" xfId="0" applyFont="1" applyAlignment="1">
      <alignment horizontal="justify" vertical="top" wrapText="1"/>
    </xf>
    <xf numFmtId="0" fontId="13" fillId="0" borderId="0" xfId="0" applyFont="1" applyAlignment="1">
      <alignment horizontal="left" vertical="top"/>
    </xf>
    <xf numFmtId="14" fontId="2" fillId="0" borderId="6" xfId="0" applyNumberFormat="1" applyFont="1" applyBorder="1" applyAlignment="1">
      <alignment horizontal="center"/>
    </xf>
    <xf numFmtId="166" fontId="2" fillId="0" borderId="6" xfId="0" applyNumberFormat="1" applyFont="1" applyBorder="1" applyAlignment="1">
      <alignment horizontal="center"/>
    </xf>
    <xf numFmtId="0" fontId="4" fillId="0" borderId="0" xfId="0" applyFont="1" applyAlignment="1">
      <alignment horizontal="center" vertical="top"/>
    </xf>
    <xf numFmtId="165" fontId="2" fillId="0" borderId="6" xfId="0" applyNumberFormat="1" applyFont="1" applyBorder="1" applyAlignment="1">
      <alignment horizontal="left"/>
    </xf>
    <xf numFmtId="165" fontId="2" fillId="0" borderId="0" xfId="0" applyNumberFormat="1" applyFont="1" applyBorder="1" applyAlignment="1">
      <alignment horizontal="left"/>
    </xf>
    <xf numFmtId="0" fontId="2" fillId="0" borderId="6" xfId="0" applyFont="1" applyBorder="1" applyAlignment="1">
      <alignment horizontal="center"/>
    </xf>
    <xf numFmtId="0" fontId="13" fillId="0" borderId="0" xfId="0" applyFont="1" applyBorder="1" applyAlignment="1">
      <alignment horizontal="left" vertical="top" wrapText="1"/>
    </xf>
    <xf numFmtId="0" fontId="13" fillId="0" borderId="0" xfId="0" applyFont="1" applyAlignment="1">
      <alignment horizontal="left" vertical="top" wrapText="1"/>
    </xf>
    <xf numFmtId="0" fontId="13" fillId="0" borderId="13" xfId="0" applyFont="1" applyBorder="1" applyAlignment="1">
      <alignment horizontal="left" vertical="center" wrapText="1"/>
    </xf>
    <xf numFmtId="0" fontId="13" fillId="0" borderId="0" xfId="0" applyFont="1" applyAlignment="1">
      <alignment horizontal="left" vertical="center" wrapText="1"/>
    </xf>
    <xf numFmtId="49" fontId="2" fillId="0" borderId="13" xfId="0" applyNumberFormat="1" applyFont="1" applyBorder="1" applyAlignment="1">
      <alignment horizontal="left"/>
    </xf>
    <xf numFmtId="0" fontId="12" fillId="0" borderId="0" xfId="0" applyFont="1" applyBorder="1" applyAlignment="1">
      <alignment horizontal="left"/>
    </xf>
    <xf numFmtId="0" fontId="12" fillId="0" borderId="0" xfId="0" applyFont="1" applyBorder="1" applyAlignment="1">
      <alignment horizontal="left" vertical="top" wrapText="1"/>
    </xf>
    <xf numFmtId="14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horizontal="left" vertical="top" wrapText="1"/>
    </xf>
    <xf numFmtId="0" fontId="12" fillId="0" borderId="0" xfId="0" applyFont="1" applyAlignment="1">
      <alignment horizontal="left"/>
    </xf>
    <xf numFmtId="49" fontId="12" fillId="0" borderId="0" xfId="0" applyNumberFormat="1" applyFont="1" applyAlignment="1">
      <alignment horizontal="center"/>
    </xf>
    <xf numFmtId="0" fontId="18" fillId="0" borderId="0" xfId="0" applyFont="1" applyAlignment="1">
      <alignment horizontal="justify" vertical="center" wrapText="1"/>
    </xf>
    <xf numFmtId="165" fontId="18" fillId="0" borderId="0" xfId="0" applyNumberFormat="1" applyFont="1" applyAlignment="1">
      <alignment horizontal="left"/>
    </xf>
    <xf numFmtId="0" fontId="4" fillId="0" borderId="13" xfId="0" applyFont="1" applyBorder="1" applyAlignment="1">
      <alignment horizontal="center" vertical="top"/>
    </xf>
    <xf numFmtId="14" fontId="18" fillId="0" borderId="3" xfId="0" applyNumberFormat="1" applyFont="1" applyBorder="1" applyAlignment="1">
      <alignment horizontal="left"/>
    </xf>
    <xf numFmtId="0" fontId="18" fillId="0" borderId="3" xfId="0" applyFont="1" applyBorder="1" applyAlignment="1">
      <alignment horizontal="left"/>
    </xf>
    <xf numFmtId="0" fontId="18" fillId="0" borderId="6" xfId="0" applyFont="1" applyBorder="1" applyAlignment="1">
      <alignment horizontal="left"/>
    </xf>
    <xf numFmtId="49" fontId="18" fillId="0" borderId="3" xfId="0" applyNumberFormat="1" applyFont="1" applyBorder="1" applyAlignment="1">
      <alignment horizontal="left"/>
    </xf>
    <xf numFmtId="0" fontId="18" fillId="0" borderId="0" xfId="0" applyFont="1" applyBorder="1" applyAlignment="1">
      <alignment wrapText="1"/>
    </xf>
    <xf numFmtId="165" fontId="18" fillId="0" borderId="6" xfId="0" applyNumberFormat="1" applyFont="1" applyBorder="1" applyAlignment="1">
      <alignment horizontal="center"/>
    </xf>
    <xf numFmtId="165" fontId="18" fillId="0" borderId="6" xfId="0" applyNumberFormat="1" applyFont="1" applyBorder="1" applyAlignment="1">
      <alignment horizontal="center" vertical="center" wrapText="1"/>
    </xf>
    <xf numFmtId="0" fontId="18" fillId="0" borderId="6" xfId="0" applyFont="1" applyBorder="1" applyAlignment="1">
      <alignment horizontal="center"/>
    </xf>
    <xf numFmtId="0" fontId="18" fillId="0" borderId="6" xfId="0" applyFont="1" applyBorder="1" applyAlignment="1">
      <alignment horizontal="left" wrapText="1"/>
    </xf>
    <xf numFmtId="3" fontId="18" fillId="0" borderId="3" xfId="0" applyNumberFormat="1" applyFont="1" applyBorder="1" applyAlignment="1">
      <alignment horizontal="left"/>
    </xf>
    <xf numFmtId="0" fontId="0" fillId="0" borderId="3" xfId="0" applyBorder="1"/>
    <xf numFmtId="49" fontId="18" fillId="0" borderId="6" xfId="0" applyNumberFormat="1" applyFont="1" applyBorder="1" applyAlignment="1">
      <alignment horizontal="left"/>
    </xf>
    <xf numFmtId="49" fontId="0" fillId="0" borderId="6" xfId="0" applyNumberFormat="1" applyBorder="1"/>
    <xf numFmtId="165" fontId="18" fillId="0" borderId="0" xfId="0" applyNumberFormat="1" applyFont="1" applyBorder="1" applyAlignment="1">
      <alignment horizontal="center"/>
    </xf>
    <xf numFmtId="0" fontId="18" fillId="0" borderId="6" xfId="0" applyFont="1" applyBorder="1" applyAlignment="1">
      <alignment horizontal="center" vertical="center" wrapText="1"/>
    </xf>
    <xf numFmtId="14" fontId="18" fillId="0" borderId="6" xfId="0" applyNumberFormat="1" applyFont="1" applyBorder="1" applyAlignment="1">
      <alignment horizontal="center"/>
    </xf>
    <xf numFmtId="49" fontId="18" fillId="0" borderId="6" xfId="0" applyNumberFormat="1" applyFont="1" applyBorder="1" applyAlignment="1">
      <alignment horizontal="center" wrapText="1"/>
    </xf>
    <xf numFmtId="14" fontId="18" fillId="0" borderId="6" xfId="0" applyNumberFormat="1" applyFont="1" applyBorder="1" applyAlignment="1">
      <alignment horizontal="left"/>
    </xf>
    <xf numFmtId="49" fontId="18" fillId="0" borderId="0" xfId="0" applyNumberFormat="1" applyFont="1" applyBorder="1" applyAlignment="1">
      <alignment horizontal="left"/>
    </xf>
    <xf numFmtId="14" fontId="18" fillId="0" borderId="0" xfId="0" applyNumberFormat="1" applyFont="1" applyBorder="1" applyAlignment="1">
      <alignment horizontal="center"/>
    </xf>
    <xf numFmtId="0" fontId="12" fillId="0" borderId="0" xfId="0" applyFont="1" applyAlignment="1">
      <alignment vertical="top" wrapText="1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BABABA"/>
      <color rgb="FFCBCBCB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152"/>
  <ax:ocxPr ax:name="VariousPropertyBits" ax:value="19"/>
  <ax:ocxPr ax:name="Caption" ax:value="Отобразить окно выбора"/>
  <ax:ocxPr ax:name="Size" ax:value="4445;741"/>
  <ax:ocxPr ax:name="FontName" ax:value="Arial"/>
  <ax:ocxPr ax:name="FontHeight" ax:value="195"/>
  <ax:ocxPr ax:name="FontCharSet" ax:value="204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gram%20Files/Microsoft%20Office/sumprop.xla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Лист1"/>
    </sheetNames>
    <definedNames>
      <definedName name="СуммаПрописью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3"/>
  <dimension ref="A1"/>
  <sheetViews>
    <sheetView showGridLines="0" tabSelected="1" workbookViewId="0">
      <selection activeCell="F21" sqref="F21"/>
    </sheetView>
  </sheetViews>
  <sheetFormatPr defaultRowHeight="15"/>
  <sheetData/>
  <pageMargins left="0.7" right="0.7" top="0.75" bottom="0.75" header="0.3" footer="0.3"/>
  <pageSetup paperSize="9" orientation="portrait" verticalDpi="0" r:id="rId1"/>
  <legacyDrawing r:id="rId2"/>
  <picture r:id="rId3"/>
  <controls>
    <control shapeId="1025" r:id="rId4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1"/>
  <dimension ref="A1:H47"/>
  <sheetViews>
    <sheetView workbookViewId="0">
      <selection activeCell="C29" sqref="C29"/>
    </sheetView>
  </sheetViews>
  <sheetFormatPr defaultRowHeight="15"/>
  <cols>
    <col min="1" max="1" width="65.42578125" customWidth="1"/>
    <col min="2" max="2" width="5" customWidth="1"/>
    <col min="3" max="3" width="81.5703125" customWidth="1"/>
    <col min="4" max="4" width="6" customWidth="1"/>
    <col min="5" max="5" width="53.140625" style="8" customWidth="1"/>
    <col min="6" max="6" width="57.7109375" style="7" customWidth="1"/>
    <col min="7" max="7" width="7.42578125" style="6" customWidth="1"/>
    <col min="8" max="8" width="58.85546875" style="7" customWidth="1"/>
  </cols>
  <sheetData>
    <row r="1" spans="1:7" ht="30" customHeight="1" thickBot="1">
      <c r="A1" s="23" t="s">
        <v>19</v>
      </c>
      <c r="B1" s="24"/>
      <c r="C1" s="23" t="s">
        <v>18</v>
      </c>
      <c r="D1" s="25"/>
      <c r="E1" s="23" t="s">
        <v>113</v>
      </c>
      <c r="G1" s="27"/>
    </row>
    <row r="2" spans="1:7" ht="30" customHeight="1">
      <c r="A2" s="30" t="s">
        <v>24</v>
      </c>
      <c r="B2" s="24"/>
      <c r="C2" s="33" t="s">
        <v>30</v>
      </c>
      <c r="D2" s="25"/>
      <c r="E2" s="100" t="s">
        <v>114</v>
      </c>
      <c r="G2" s="29"/>
    </row>
    <row r="3" spans="1:7" ht="30" customHeight="1">
      <c r="A3" s="31" t="s">
        <v>25</v>
      </c>
      <c r="B3" s="24"/>
      <c r="C3" s="34" t="s">
        <v>136</v>
      </c>
      <c r="D3" s="25"/>
      <c r="E3" s="99" t="s">
        <v>115</v>
      </c>
      <c r="G3" s="29"/>
    </row>
    <row r="4" spans="1:7" ht="30" customHeight="1">
      <c r="A4" s="31" t="s">
        <v>26</v>
      </c>
      <c r="B4" s="26"/>
      <c r="C4" s="34" t="s">
        <v>31</v>
      </c>
      <c r="D4" s="25"/>
      <c r="E4" s="99" t="s">
        <v>127</v>
      </c>
      <c r="G4" s="29"/>
    </row>
    <row r="5" spans="1:7" ht="30" customHeight="1">
      <c r="A5" s="31" t="s">
        <v>27</v>
      </c>
      <c r="B5" s="26"/>
      <c r="C5" s="34" t="s">
        <v>32</v>
      </c>
      <c r="D5" s="25"/>
      <c r="E5" s="99"/>
      <c r="G5" s="29"/>
    </row>
    <row r="6" spans="1:7" ht="30" customHeight="1">
      <c r="A6" s="31" t="s">
        <v>28</v>
      </c>
      <c r="B6" s="26"/>
      <c r="C6" s="34" t="s">
        <v>33</v>
      </c>
      <c r="D6" s="25"/>
      <c r="E6" s="99"/>
      <c r="G6" s="29"/>
    </row>
    <row r="7" spans="1:7" ht="30" customHeight="1" thickBot="1">
      <c r="A7" s="31" t="s">
        <v>29</v>
      </c>
      <c r="B7" s="26"/>
      <c r="C7" s="34" t="s">
        <v>34</v>
      </c>
      <c r="D7" s="25"/>
      <c r="E7" s="28"/>
      <c r="G7" s="29"/>
    </row>
    <row r="8" spans="1:7" ht="30" customHeight="1" thickBot="1">
      <c r="A8" s="31" t="s">
        <v>45</v>
      </c>
      <c r="B8" s="26"/>
      <c r="C8" s="34" t="s">
        <v>38</v>
      </c>
      <c r="D8" s="25"/>
      <c r="E8" s="23" t="s">
        <v>116</v>
      </c>
      <c r="G8" s="29"/>
    </row>
    <row r="9" spans="1:7" ht="30" customHeight="1">
      <c r="A9" s="31" t="s">
        <v>46</v>
      </c>
      <c r="B9" s="26"/>
      <c r="C9" s="34" t="s">
        <v>39</v>
      </c>
      <c r="D9" s="25"/>
      <c r="E9" s="101" t="s">
        <v>117</v>
      </c>
      <c r="G9" s="29"/>
    </row>
    <row r="10" spans="1:7" ht="30" customHeight="1" thickBot="1">
      <c r="A10" s="31" t="s">
        <v>47</v>
      </c>
      <c r="B10" s="26"/>
      <c r="C10" s="34" t="s">
        <v>40</v>
      </c>
      <c r="D10" s="25"/>
      <c r="E10" s="28"/>
      <c r="G10" s="29"/>
    </row>
    <row r="11" spans="1:7" ht="30" customHeight="1" thickBot="1">
      <c r="A11" s="31"/>
      <c r="B11" s="26"/>
      <c r="C11" s="34" t="s">
        <v>41</v>
      </c>
      <c r="D11" s="25"/>
      <c r="E11" s="23" t="s">
        <v>118</v>
      </c>
      <c r="G11" s="29"/>
    </row>
    <row r="12" spans="1:7" ht="30" customHeight="1">
      <c r="A12" s="31"/>
      <c r="B12" s="26"/>
      <c r="C12" s="34" t="s">
        <v>35</v>
      </c>
      <c r="D12" s="25"/>
      <c r="E12" s="100" t="s">
        <v>119</v>
      </c>
      <c r="G12" s="29"/>
    </row>
    <row r="13" spans="1:7" ht="30" customHeight="1" thickBot="1">
      <c r="A13" s="32"/>
      <c r="B13" s="26"/>
      <c r="C13" s="34" t="s">
        <v>42</v>
      </c>
      <c r="D13" s="25"/>
      <c r="E13" s="98" t="s">
        <v>120</v>
      </c>
      <c r="G13" s="29"/>
    </row>
    <row r="14" spans="1:7" ht="30" customHeight="1" thickBot="1">
      <c r="A14" s="37"/>
      <c r="B14" s="10"/>
      <c r="C14" s="34" t="s">
        <v>43</v>
      </c>
      <c r="D14" s="12"/>
      <c r="E14" s="9"/>
      <c r="F14" s="10"/>
      <c r="G14" s="29"/>
    </row>
    <row r="15" spans="1:7" ht="30" customHeight="1" thickBot="1">
      <c r="A15" s="37"/>
      <c r="B15" s="10"/>
      <c r="C15" s="34" t="s">
        <v>44</v>
      </c>
      <c r="D15" s="12"/>
      <c r="E15" s="23" t="s">
        <v>121</v>
      </c>
      <c r="F15" s="10"/>
      <c r="G15" s="29"/>
    </row>
    <row r="16" spans="1:7" ht="30" customHeight="1">
      <c r="A16" s="37"/>
      <c r="B16" s="10"/>
      <c r="C16" s="34" t="s">
        <v>138</v>
      </c>
      <c r="D16" s="12"/>
      <c r="E16" s="102" t="s">
        <v>122</v>
      </c>
      <c r="F16" s="10"/>
      <c r="G16" s="29"/>
    </row>
    <row r="17" spans="1:8" ht="30" customHeight="1">
      <c r="A17" s="37"/>
      <c r="C17" s="34" t="s">
        <v>139</v>
      </c>
      <c r="D17" s="12"/>
      <c r="E17" s="102" t="s">
        <v>123</v>
      </c>
      <c r="F17" s="10"/>
      <c r="G17" s="29"/>
    </row>
    <row r="18" spans="1:8" ht="30" customHeight="1">
      <c r="A18" s="37"/>
      <c r="C18" s="34" t="s">
        <v>140</v>
      </c>
      <c r="D18" s="12"/>
      <c r="E18" s="9"/>
      <c r="F18" s="10"/>
      <c r="G18" s="29"/>
    </row>
    <row r="19" spans="1:8" ht="18.75">
      <c r="A19" s="37"/>
      <c r="C19" s="34" t="s">
        <v>141</v>
      </c>
      <c r="E19" s="9"/>
      <c r="F19" s="10"/>
      <c r="G19" s="29"/>
    </row>
    <row r="20" spans="1:8" ht="18.75">
      <c r="A20" s="37"/>
      <c r="C20" s="34" t="s">
        <v>36</v>
      </c>
      <c r="E20" s="9"/>
      <c r="F20" s="10"/>
      <c r="G20" s="29"/>
    </row>
    <row r="21" spans="1:8" ht="15" customHeight="1">
      <c r="A21" s="37"/>
      <c r="C21" s="34" t="s">
        <v>37</v>
      </c>
      <c r="E21" s="9"/>
      <c r="F21" s="10"/>
      <c r="G21" s="29"/>
    </row>
    <row r="22" spans="1:8" ht="15" customHeight="1">
      <c r="A22" s="37"/>
      <c r="C22" s="35" t="s">
        <v>137</v>
      </c>
      <c r="E22" s="9"/>
      <c r="F22" s="10"/>
      <c r="G22" s="29"/>
    </row>
    <row r="23" spans="1:8" ht="18.75">
      <c r="A23" s="37"/>
      <c r="C23" s="34"/>
      <c r="E23" s="9"/>
      <c r="F23" s="10"/>
      <c r="G23" s="29"/>
    </row>
    <row r="24" spans="1:8" ht="18.75">
      <c r="A24" s="37"/>
      <c r="C24" s="35"/>
      <c r="E24" s="9"/>
      <c r="F24" s="10"/>
      <c r="G24" s="29"/>
    </row>
    <row r="25" spans="1:8" ht="15" customHeight="1">
      <c r="A25" s="37"/>
      <c r="C25" s="35"/>
      <c r="E25" s="9"/>
      <c r="F25" s="10"/>
      <c r="G25" s="11"/>
    </row>
    <row r="26" spans="1:8" ht="15" customHeight="1">
      <c r="A26" s="37"/>
      <c r="C26" s="35"/>
      <c r="E26" s="9"/>
      <c r="F26" s="10"/>
      <c r="G26" s="11"/>
    </row>
    <row r="27" spans="1:8" ht="15" customHeight="1">
      <c r="A27" s="37"/>
      <c r="C27" s="35"/>
      <c r="E27" s="9"/>
      <c r="F27" s="10"/>
      <c r="G27" s="11"/>
    </row>
    <row r="28" spans="1:8" ht="15" customHeight="1">
      <c r="A28" s="37"/>
      <c r="C28" s="35"/>
      <c r="E28" s="9"/>
      <c r="F28" s="10"/>
      <c r="G28" s="11"/>
    </row>
    <row r="29" spans="1:8" ht="15.75" customHeight="1" thickBot="1">
      <c r="A29" s="37"/>
      <c r="C29" s="36"/>
      <c r="E29" s="9"/>
      <c r="F29" s="10"/>
      <c r="G29" s="11"/>
    </row>
    <row r="30" spans="1:8" ht="15" customHeight="1">
      <c r="A30" s="37"/>
      <c r="E30" s="9"/>
      <c r="F30" s="10"/>
      <c r="G30" s="11"/>
      <c r="H30" s="10"/>
    </row>
    <row r="31" spans="1:8" ht="15" customHeight="1">
      <c r="A31" s="37"/>
      <c r="E31" s="9"/>
      <c r="F31" s="10"/>
      <c r="G31" s="11"/>
      <c r="H31" s="10"/>
    </row>
    <row r="32" spans="1:8" ht="15" customHeight="1">
      <c r="A32" s="37"/>
      <c r="E32" s="9"/>
      <c r="F32" s="10"/>
      <c r="G32" s="11"/>
      <c r="H32" s="10"/>
    </row>
    <row r="33" spans="1:8" ht="15" customHeight="1">
      <c r="A33" s="37"/>
      <c r="E33" s="9"/>
      <c r="F33" s="10"/>
      <c r="G33" s="11"/>
      <c r="H33" s="10"/>
    </row>
    <row r="34" spans="1:8">
      <c r="E34" s="9"/>
      <c r="F34" s="10"/>
      <c r="G34" s="11"/>
      <c r="H34" s="10"/>
    </row>
    <row r="35" spans="1:8">
      <c r="E35" s="9"/>
      <c r="F35" s="10"/>
      <c r="G35" s="11"/>
      <c r="H35" s="10"/>
    </row>
    <row r="36" spans="1:8">
      <c r="E36" s="9"/>
      <c r="F36" s="10"/>
      <c r="G36" s="11"/>
      <c r="H36" s="10"/>
    </row>
    <row r="37" spans="1:8">
      <c r="E37" s="9"/>
      <c r="F37" s="10"/>
      <c r="G37" s="11"/>
      <c r="H37" s="10"/>
    </row>
    <row r="38" spans="1:8">
      <c r="E38" s="9"/>
      <c r="F38" s="10"/>
      <c r="G38" s="11"/>
      <c r="H38" s="10"/>
    </row>
    <row r="39" spans="1:8">
      <c r="E39" s="9"/>
      <c r="F39" s="10"/>
      <c r="G39" s="11"/>
      <c r="H39" s="10"/>
    </row>
    <row r="40" spans="1:8">
      <c r="E40" s="9"/>
      <c r="F40" s="10"/>
      <c r="G40" s="11"/>
      <c r="H40" s="10"/>
    </row>
    <row r="41" spans="1:8">
      <c r="E41" s="9"/>
      <c r="F41" s="10"/>
      <c r="G41" s="11"/>
      <c r="H41" s="10"/>
    </row>
    <row r="42" spans="1:8">
      <c r="E42" s="9"/>
      <c r="F42" s="10"/>
      <c r="G42" s="11"/>
      <c r="H42" s="10"/>
    </row>
    <row r="43" spans="1:8">
      <c r="E43" s="9"/>
      <c r="F43" s="10"/>
      <c r="G43" s="11"/>
      <c r="H43" s="10"/>
    </row>
    <row r="44" spans="1:8">
      <c r="E44" s="9"/>
      <c r="F44" s="10"/>
      <c r="G44" s="11"/>
      <c r="H44" s="10"/>
    </row>
    <row r="45" spans="1:8">
      <c r="E45" s="9"/>
      <c r="F45" s="10"/>
      <c r="G45" s="11"/>
      <c r="H45" s="10"/>
    </row>
    <row r="46" spans="1:8">
      <c r="E46" s="9"/>
      <c r="F46" s="10"/>
      <c r="G46" s="11"/>
      <c r="H46" s="10"/>
    </row>
    <row r="47" spans="1:8">
      <c r="E47" s="9"/>
      <c r="F47" s="10"/>
      <c r="G47" s="11"/>
      <c r="H47" s="10"/>
    </row>
  </sheetData>
  <pageMargins left="0.7" right="0.7" top="0.75" bottom="0.75" header="0.3" footer="0.3"/>
  <pageSetup paperSize="9" orientation="portrait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2"/>
  <dimension ref="A1:CB556"/>
  <sheetViews>
    <sheetView view="pageLayout" workbookViewId="0">
      <selection activeCell="I1" sqref="I1"/>
    </sheetView>
  </sheetViews>
  <sheetFormatPr defaultRowHeight="15"/>
  <cols>
    <col min="1" max="17" width="3.7109375" customWidth="1"/>
    <col min="18" max="18" width="2.5703125" customWidth="1"/>
    <col min="19" max="23" width="3.7109375" customWidth="1"/>
    <col min="24" max="24" width="6.28515625" customWidth="1"/>
    <col min="25" max="25" width="3.7109375" customWidth="1"/>
    <col min="26" max="26" width="4" customWidth="1"/>
    <col min="27" max="29" width="3.7109375" customWidth="1"/>
  </cols>
  <sheetData>
    <row r="1" spans="1:80" ht="12.2" customHeight="1">
      <c r="A1" s="106" t="s">
        <v>0</v>
      </c>
      <c r="B1" s="107"/>
      <c r="C1" s="107"/>
      <c r="D1" s="107"/>
      <c r="E1" s="15"/>
      <c r="F1" s="16"/>
      <c r="G1" s="16"/>
      <c r="H1" s="17"/>
      <c r="I1" s="13"/>
      <c r="J1" s="109"/>
      <c r="K1" s="109"/>
      <c r="L1" s="109"/>
      <c r="M1" s="109"/>
      <c r="N1" s="13"/>
      <c r="O1" s="13" t="s">
        <v>4</v>
      </c>
      <c r="P1" s="18"/>
      <c r="Q1" s="18"/>
      <c r="R1" s="13"/>
      <c r="S1" s="13"/>
      <c r="T1" s="13"/>
      <c r="U1" s="13"/>
      <c r="V1" s="13"/>
      <c r="W1" s="13"/>
      <c r="X1" s="13"/>
      <c r="Y1" s="13"/>
      <c r="Z1" s="13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</row>
    <row r="2" spans="1:80" ht="12.2" customHeight="1">
      <c r="A2" s="106" t="s">
        <v>1</v>
      </c>
      <c r="B2" s="107"/>
      <c r="C2" s="107"/>
      <c r="D2" s="107"/>
      <c r="E2" s="15"/>
      <c r="F2" s="16"/>
      <c r="G2" s="16"/>
      <c r="H2" s="17"/>
      <c r="I2" s="13"/>
      <c r="J2" s="109"/>
      <c r="K2" s="109"/>
      <c r="L2" s="109"/>
      <c r="M2" s="109"/>
      <c r="N2" s="13"/>
      <c r="O2" s="13" t="s">
        <v>5</v>
      </c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</row>
    <row r="3" spans="1:80" ht="12.2" customHeight="1">
      <c r="A3" s="106" t="s">
        <v>2</v>
      </c>
      <c r="B3" s="107"/>
      <c r="C3" s="107"/>
      <c r="D3" s="107"/>
      <c r="E3" s="19"/>
      <c r="F3" s="20"/>
      <c r="G3" s="20"/>
      <c r="H3" s="21"/>
      <c r="I3" s="13"/>
      <c r="J3" s="38"/>
      <c r="K3" s="13"/>
      <c r="L3" s="13"/>
      <c r="M3" s="13"/>
      <c r="N3" s="13"/>
      <c r="O3" s="13" t="s">
        <v>6</v>
      </c>
      <c r="P3" s="13"/>
      <c r="Q3" s="18"/>
      <c r="R3" s="13"/>
      <c r="S3" s="108"/>
      <c r="T3" s="108"/>
      <c r="U3" s="108"/>
      <c r="V3" s="108"/>
      <c r="W3" s="108"/>
      <c r="X3" s="108"/>
      <c r="Y3" s="108"/>
      <c r="Z3" s="108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</row>
    <row r="4" spans="1:80" ht="15" customHeight="1">
      <c r="A4" s="106" t="s">
        <v>3</v>
      </c>
      <c r="B4" s="107"/>
      <c r="C4" s="107"/>
      <c r="D4" s="107"/>
      <c r="E4" s="15"/>
      <c r="F4" s="16"/>
      <c r="G4" s="16"/>
      <c r="H4" s="17"/>
      <c r="I4" s="13"/>
      <c r="J4" s="13"/>
      <c r="K4" s="13"/>
      <c r="L4" s="13"/>
      <c r="M4" s="13"/>
      <c r="N4" s="13"/>
      <c r="O4" s="13"/>
      <c r="P4" s="13"/>
      <c r="Q4" s="13"/>
      <c r="R4" s="22"/>
      <c r="S4" s="108"/>
      <c r="T4" s="108"/>
      <c r="U4" s="108"/>
      <c r="V4" s="108"/>
      <c r="W4" s="108"/>
      <c r="X4" s="108"/>
      <c r="Y4" s="108"/>
      <c r="Z4" s="108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</row>
    <row r="5" spans="1:80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 t="s">
        <v>7</v>
      </c>
      <c r="P5" s="13"/>
      <c r="Q5" s="13"/>
      <c r="R5" s="110"/>
      <c r="S5" s="110"/>
      <c r="T5" s="110"/>
      <c r="U5" s="110"/>
      <c r="V5" s="110"/>
      <c r="W5" s="110"/>
      <c r="X5" s="110"/>
      <c r="Y5" s="110"/>
      <c r="Z5" s="110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</row>
    <row r="6" spans="1:80">
      <c r="A6" s="1"/>
      <c r="B6" s="1"/>
      <c r="C6" s="1"/>
      <c r="D6" s="1"/>
      <c r="E6" s="1"/>
      <c r="F6" s="1"/>
      <c r="G6" s="1"/>
      <c r="H6" s="1"/>
      <c r="I6" s="1"/>
      <c r="J6" s="1"/>
      <c r="K6" s="3" t="s">
        <v>8</v>
      </c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</row>
    <row r="7" spans="1:80">
      <c r="A7" s="1"/>
      <c r="B7" s="1" t="s">
        <v>9</v>
      </c>
      <c r="C7" s="1"/>
      <c r="D7" s="1"/>
      <c r="E7" s="1"/>
      <c r="F7" s="1"/>
      <c r="G7" s="1"/>
      <c r="H7" s="1"/>
      <c r="I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12" t="s">
        <v>20</v>
      </c>
      <c r="Z7" s="112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</row>
    <row r="8" spans="1:80">
      <c r="A8" s="115"/>
      <c r="B8" s="116"/>
      <c r="C8" s="116"/>
      <c r="D8" s="116"/>
      <c r="E8" s="116"/>
      <c r="F8" s="116"/>
      <c r="G8" s="116"/>
      <c r="H8" s="116"/>
      <c r="I8" s="116"/>
      <c r="J8" s="116"/>
      <c r="K8" s="116"/>
      <c r="L8" s="116"/>
      <c r="M8" s="116"/>
      <c r="N8" s="116"/>
      <c r="O8" s="116"/>
      <c r="P8" s="116"/>
      <c r="Q8" s="116"/>
      <c r="R8" s="116"/>
      <c r="S8" s="116"/>
      <c r="T8" s="116"/>
      <c r="U8" s="116"/>
      <c r="V8" s="116"/>
      <c r="W8" s="116"/>
      <c r="X8" s="117"/>
      <c r="Y8" s="113"/>
      <c r="Z8" s="114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</row>
    <row r="9" spans="1:80">
      <c r="A9" s="115"/>
      <c r="B9" s="116"/>
      <c r="C9" s="116"/>
      <c r="D9" s="116"/>
      <c r="E9" s="116"/>
      <c r="F9" s="116"/>
      <c r="G9" s="116"/>
      <c r="H9" s="116"/>
      <c r="I9" s="116"/>
      <c r="J9" s="116"/>
      <c r="K9" s="116"/>
      <c r="L9" s="116"/>
      <c r="M9" s="116"/>
      <c r="N9" s="116"/>
      <c r="O9" s="116"/>
      <c r="P9" s="116"/>
      <c r="Q9" s="116"/>
      <c r="R9" s="116"/>
      <c r="S9" s="116"/>
      <c r="T9" s="116"/>
      <c r="U9" s="116"/>
      <c r="V9" s="116"/>
      <c r="W9" s="116"/>
      <c r="X9" s="117"/>
      <c r="Y9" s="113"/>
      <c r="Z9" s="114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</row>
    <row r="10" spans="1:80">
      <c r="A10" s="115"/>
      <c r="B10" s="116"/>
      <c r="C10" s="116"/>
      <c r="D10" s="116"/>
      <c r="E10" s="116"/>
      <c r="F10" s="116"/>
      <c r="G10" s="116"/>
      <c r="H10" s="116"/>
      <c r="I10" s="116"/>
      <c r="J10" s="116"/>
      <c r="K10" s="116"/>
      <c r="L10" s="116"/>
      <c r="M10" s="116"/>
      <c r="N10" s="116"/>
      <c r="O10" s="116"/>
      <c r="P10" s="116"/>
      <c r="Q10" s="116"/>
      <c r="R10" s="116"/>
      <c r="S10" s="116"/>
      <c r="T10" s="116"/>
      <c r="U10" s="116"/>
      <c r="V10" s="116"/>
      <c r="W10" s="116"/>
      <c r="X10" s="117"/>
      <c r="Y10" s="113"/>
      <c r="Z10" s="114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</row>
    <row r="11" spans="1:80">
      <c r="A11" s="115"/>
      <c r="B11" s="116"/>
      <c r="C11" s="116"/>
      <c r="D11" s="116"/>
      <c r="E11" s="116"/>
      <c r="F11" s="116"/>
      <c r="G11" s="116"/>
      <c r="H11" s="116"/>
      <c r="I11" s="116"/>
      <c r="J11" s="116"/>
      <c r="K11" s="116"/>
      <c r="L11" s="116"/>
      <c r="M11" s="116"/>
      <c r="N11" s="116"/>
      <c r="O11" s="116"/>
      <c r="P11" s="116"/>
      <c r="Q11" s="116"/>
      <c r="R11" s="116"/>
      <c r="S11" s="116"/>
      <c r="T11" s="116"/>
      <c r="U11" s="116"/>
      <c r="V11" s="116"/>
      <c r="W11" s="116"/>
      <c r="X11" s="117"/>
      <c r="Y11" s="112"/>
      <c r="Z11" s="112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</row>
    <row r="12" spans="1:80">
      <c r="A12" s="1"/>
      <c r="B12" s="1" t="s">
        <v>10</v>
      </c>
      <c r="C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12" t="s">
        <v>20</v>
      </c>
      <c r="Z12" s="112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</row>
    <row r="13" spans="1:80">
      <c r="A13" s="118"/>
      <c r="B13" s="119"/>
      <c r="C13" s="119"/>
      <c r="D13" s="119"/>
      <c r="E13" s="119"/>
      <c r="F13" s="119"/>
      <c r="G13" s="119"/>
      <c r="H13" s="119"/>
      <c r="I13" s="119"/>
      <c r="J13" s="119"/>
      <c r="K13" s="119"/>
      <c r="L13" s="119"/>
      <c r="M13" s="119"/>
      <c r="N13" s="119"/>
      <c r="O13" s="119"/>
      <c r="P13" s="119"/>
      <c r="Q13" s="119"/>
      <c r="R13" s="119"/>
      <c r="S13" s="119"/>
      <c r="T13" s="119"/>
      <c r="U13" s="119"/>
      <c r="V13" s="119"/>
      <c r="W13" s="119"/>
      <c r="X13" s="120"/>
      <c r="Y13" s="113"/>
      <c r="Z13" s="114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</row>
    <row r="14" spans="1:80">
      <c r="A14" s="118"/>
      <c r="B14" s="119"/>
      <c r="C14" s="119"/>
      <c r="D14" s="119"/>
      <c r="E14" s="119"/>
      <c r="F14" s="119"/>
      <c r="G14" s="119"/>
      <c r="H14" s="119"/>
      <c r="I14" s="119"/>
      <c r="J14" s="119"/>
      <c r="K14" s="119"/>
      <c r="L14" s="119"/>
      <c r="M14" s="119"/>
      <c r="N14" s="119"/>
      <c r="O14" s="119"/>
      <c r="P14" s="119"/>
      <c r="Q14" s="119"/>
      <c r="R14" s="119"/>
      <c r="S14" s="119"/>
      <c r="T14" s="119"/>
      <c r="U14" s="119"/>
      <c r="V14" s="119"/>
      <c r="W14" s="119"/>
      <c r="X14" s="120"/>
      <c r="Y14" s="113"/>
      <c r="Z14" s="114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</row>
    <row r="15" spans="1:80">
      <c r="A15" s="118"/>
      <c r="B15" s="119"/>
      <c r="C15" s="119"/>
      <c r="D15" s="119"/>
      <c r="E15" s="119"/>
      <c r="F15" s="119"/>
      <c r="G15" s="119"/>
      <c r="H15" s="119"/>
      <c r="I15" s="119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20"/>
      <c r="Y15" s="113"/>
      <c r="Z15" s="114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</row>
    <row r="16" spans="1:80">
      <c r="A16" s="118"/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20"/>
      <c r="Y16" s="113"/>
      <c r="Z16" s="114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</row>
    <row r="17" spans="1:80">
      <c r="A17" s="118"/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20"/>
      <c r="Y17" s="113"/>
      <c r="Z17" s="114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</row>
    <row r="18" spans="1:80">
      <c r="A18" s="118"/>
      <c r="B18" s="119"/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20"/>
      <c r="Y18" s="113"/>
      <c r="Z18" s="114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</row>
    <row r="19" spans="1:80">
      <c r="A19" s="1"/>
      <c r="B19" s="111" t="s">
        <v>11</v>
      </c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1"/>
      <c r="O19" s="111"/>
      <c r="P19" s="111"/>
      <c r="Q19" s="111"/>
      <c r="R19" s="111"/>
      <c r="S19" s="111"/>
      <c r="T19" s="111"/>
      <c r="U19" s="111"/>
      <c r="V19" s="111"/>
      <c r="W19" s="111"/>
      <c r="X19" s="111"/>
      <c r="Y19" s="111"/>
      <c r="Z19" s="11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</row>
    <row r="20" spans="1:80">
      <c r="A20" s="1"/>
      <c r="B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111"/>
      <c r="Y20" s="111"/>
      <c r="Z20" s="11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</row>
    <row r="21" spans="1:80" ht="15.75" customHeight="1">
      <c r="A21" s="1"/>
      <c r="B21" s="1" t="s">
        <v>12</v>
      </c>
      <c r="O21" s="2" t="s">
        <v>13</v>
      </c>
      <c r="P21" s="2"/>
      <c r="Q21" s="5"/>
      <c r="R21" s="2" t="s">
        <v>14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</row>
    <row r="22" spans="1:80">
      <c r="A22" s="1"/>
      <c r="O22" s="4" t="s">
        <v>15</v>
      </c>
      <c r="P22" s="1"/>
      <c r="Q22" s="1"/>
      <c r="R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</row>
    <row r="23" spans="1:80" ht="15" customHeight="1">
      <c r="A23" s="1"/>
      <c r="B23" s="1" t="s">
        <v>16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</row>
    <row r="24" spans="1:80" ht="21" customHeight="1">
      <c r="A24" s="1"/>
      <c r="B24" s="121">
        <f ca="1">TODAY()</f>
        <v>45230</v>
      </c>
      <c r="C24" s="121"/>
      <c r="D24" s="121"/>
      <c r="E24" s="121"/>
      <c r="F24" s="121"/>
      <c r="G24" s="121"/>
      <c r="H24" s="2"/>
      <c r="I24" s="1"/>
      <c r="J24" s="1"/>
      <c r="K24" s="1"/>
      <c r="L24" s="1"/>
      <c r="M24" s="2"/>
      <c r="N24" s="2"/>
      <c r="O24" s="2"/>
      <c r="P24" s="2"/>
      <c r="Q24" s="2"/>
      <c r="R24" s="2"/>
      <c r="S24" s="2" t="s">
        <v>21</v>
      </c>
      <c r="T24" s="2"/>
      <c r="U24" s="2"/>
      <c r="V24" s="2"/>
      <c r="W24" s="2"/>
      <c r="X24" s="2"/>
      <c r="Y24" s="2"/>
      <c r="Z24" s="14" t="s">
        <v>21</v>
      </c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</row>
    <row r="25" spans="1:80" ht="5.25" customHeight="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</row>
    <row r="26" spans="1:80">
      <c r="A26" s="1"/>
      <c r="B26" s="1" t="s">
        <v>17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</row>
    <row r="27" spans="1:80" ht="23.25" customHeight="1">
      <c r="A27" s="1"/>
      <c r="B27" s="5" t="s">
        <v>22</v>
      </c>
      <c r="C27" s="2"/>
      <c r="D27" s="2"/>
      <c r="E27" s="2"/>
      <c r="F27" s="2"/>
      <c r="G27" s="2" t="s">
        <v>23</v>
      </c>
      <c r="H27" s="2"/>
      <c r="I27" s="1"/>
      <c r="J27" s="1"/>
      <c r="K27" s="1"/>
      <c r="L27" s="1"/>
      <c r="M27" s="2"/>
      <c r="N27" s="2"/>
      <c r="O27" s="2"/>
      <c r="P27" s="2"/>
      <c r="Q27" s="2"/>
      <c r="R27" s="2"/>
      <c r="S27" s="2" t="s">
        <v>21</v>
      </c>
      <c r="T27" s="2"/>
      <c r="U27" s="2"/>
      <c r="V27" s="2"/>
      <c r="W27" s="2"/>
      <c r="X27" s="2"/>
      <c r="Y27" s="2"/>
      <c r="Z27" s="14" t="s">
        <v>21</v>
      </c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</row>
    <row r="28" spans="1:80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</row>
    <row r="29" spans="1:80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</row>
    <row r="30" spans="1:80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</row>
    <row r="31" spans="1:80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</row>
    <row r="32" spans="1:80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</row>
    <row r="33" spans="1:80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</row>
    <row r="34" spans="1:80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</row>
    <row r="35" spans="1:80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</row>
    <row r="36" spans="1:80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</row>
    <row r="37" spans="1:80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</row>
    <row r="38" spans="1:80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</row>
    <row r="39" spans="1:80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</row>
    <row r="40" spans="1:80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</row>
    <row r="41" spans="1:80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</row>
    <row r="42" spans="1:80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</row>
    <row r="43" spans="1:80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</row>
    <row r="44" spans="1:80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</row>
    <row r="45" spans="1:80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</row>
    <row r="46" spans="1:80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</row>
    <row r="47" spans="1:80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</row>
    <row r="48" spans="1:80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</row>
    <row r="49" spans="1:80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</row>
    <row r="50" spans="1:80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</row>
    <row r="51" spans="1:80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</row>
    <row r="52" spans="1:80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</row>
    <row r="53" spans="1:80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</row>
    <row r="54" spans="1:80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</row>
    <row r="55" spans="1:80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</row>
    <row r="56" spans="1:80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</row>
    <row r="57" spans="1:80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</row>
    <row r="58" spans="1:80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</row>
    <row r="59" spans="1:80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</row>
    <row r="60" spans="1:80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</row>
    <row r="61" spans="1:80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</row>
    <row r="62" spans="1:80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</row>
    <row r="63" spans="1:80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</row>
    <row r="64" spans="1:80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</row>
    <row r="65" spans="1:80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</row>
    <row r="66" spans="1:80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</row>
    <row r="67" spans="1:80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</row>
    <row r="68" spans="1:80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</row>
    <row r="69" spans="1:80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</row>
    <row r="70" spans="1:80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</row>
    <row r="71" spans="1:80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</row>
    <row r="72" spans="1:80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</row>
    <row r="73" spans="1:80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</row>
    <row r="74" spans="1:80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</row>
    <row r="75" spans="1:80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</row>
    <row r="76" spans="1:80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</row>
    <row r="77" spans="1:80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</row>
    <row r="78" spans="1:80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</row>
    <row r="79" spans="1:80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</row>
    <row r="80" spans="1:80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</row>
    <row r="81" spans="1:80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</row>
    <row r="82" spans="1:80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</row>
    <row r="83" spans="1:80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</row>
    <row r="84" spans="1:80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</row>
    <row r="85" spans="1:80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</row>
    <row r="86" spans="1:80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</row>
    <row r="87" spans="1:80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</row>
    <row r="88" spans="1:80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</row>
    <row r="89" spans="1:80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</row>
    <row r="90" spans="1:80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</row>
    <row r="91" spans="1:80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</row>
    <row r="92" spans="1:80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</row>
    <row r="93" spans="1:80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</row>
    <row r="94" spans="1:80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</row>
    <row r="95" spans="1:80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</row>
    <row r="96" spans="1:80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</row>
    <row r="97" spans="1:80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</row>
    <row r="98" spans="1:80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</row>
    <row r="99" spans="1:80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</row>
    <row r="100" spans="1:80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</row>
    <row r="101" spans="1:80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</row>
    <row r="102" spans="1:80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</row>
    <row r="103" spans="1:80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</row>
    <row r="104" spans="1:80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</row>
    <row r="105" spans="1:80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</row>
    <row r="106" spans="1:80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</row>
    <row r="107" spans="1:80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</row>
    <row r="108" spans="1:80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</row>
    <row r="109" spans="1:80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</row>
    <row r="110" spans="1:80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</row>
    <row r="111" spans="1:80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</row>
    <row r="112" spans="1:80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</row>
    <row r="113" spans="1:80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</row>
    <row r="114" spans="1:80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</row>
    <row r="115" spans="1:80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</row>
    <row r="116" spans="1:80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</row>
    <row r="117" spans="1:80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</row>
    <row r="118" spans="1:80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</row>
    <row r="119" spans="1:80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</row>
    <row r="120" spans="1:80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</row>
    <row r="121" spans="1:80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</row>
    <row r="122" spans="1:80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</row>
    <row r="123" spans="1:80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</row>
    <row r="124" spans="1:80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</row>
    <row r="125" spans="1:80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</row>
    <row r="126" spans="1:80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</row>
    <row r="127" spans="1:80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</row>
    <row r="128" spans="1:80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</row>
    <row r="129" spans="1:80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</row>
    <row r="130" spans="1:80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</row>
    <row r="131" spans="1:80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</row>
    <row r="132" spans="1:80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</row>
    <row r="133" spans="1:80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</row>
    <row r="134" spans="1:80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</row>
    <row r="135" spans="1:80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</row>
    <row r="136" spans="1:80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</row>
    <row r="137" spans="1:80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</row>
    <row r="138" spans="1:80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</row>
    <row r="139" spans="1:80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</row>
    <row r="140" spans="1:80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</row>
    <row r="141" spans="1:80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</row>
    <row r="142" spans="1:80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</row>
    <row r="143" spans="1:80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</row>
    <row r="144" spans="1:80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</row>
    <row r="145" spans="1:80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</row>
    <row r="146" spans="1:80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</row>
    <row r="147" spans="1:80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</row>
    <row r="148" spans="1:80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</row>
    <row r="149" spans="1:80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</row>
    <row r="150" spans="1:80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</row>
    <row r="151" spans="1:80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</row>
    <row r="152" spans="1:80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</row>
    <row r="153" spans="1:80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</row>
    <row r="154" spans="1:80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</row>
    <row r="155" spans="1:80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</row>
    <row r="156" spans="1:80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</row>
    <row r="157" spans="1:80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</row>
    <row r="158" spans="1:80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</row>
    <row r="159" spans="1:80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</row>
    <row r="160" spans="1:80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</row>
    <row r="161" spans="1:80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</row>
    <row r="162" spans="1:80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</row>
    <row r="163" spans="1:80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</row>
    <row r="164" spans="1:80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</row>
    <row r="165" spans="1:80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</row>
    <row r="166" spans="1:80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</row>
    <row r="167" spans="1:80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</row>
    <row r="168" spans="1:80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</row>
    <row r="169" spans="1:80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</row>
    <row r="170" spans="1:80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</row>
    <row r="171" spans="1:80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</row>
    <row r="172" spans="1:80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</row>
    <row r="173" spans="1:80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</row>
    <row r="174" spans="1:80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</row>
    <row r="175" spans="1:80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</row>
    <row r="176" spans="1:80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</row>
    <row r="177" spans="1:80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</row>
    <row r="178" spans="1:80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</row>
    <row r="179" spans="1:80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</row>
    <row r="180" spans="1:80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</row>
    <row r="181" spans="1:80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</row>
    <row r="182" spans="1:80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</row>
    <row r="183" spans="1:80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</row>
    <row r="184" spans="1:80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</row>
    <row r="185" spans="1:80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</row>
    <row r="186" spans="1:80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</row>
    <row r="187" spans="1:80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</row>
    <row r="188" spans="1:80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</row>
    <row r="189" spans="1:80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</row>
    <row r="190" spans="1:80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</row>
    <row r="191" spans="1:80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</row>
    <row r="192" spans="1:80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</row>
    <row r="193" spans="1:80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</row>
    <row r="194" spans="1:80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</row>
    <row r="195" spans="1:80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</row>
    <row r="196" spans="1:80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</row>
    <row r="197" spans="1:80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</row>
    <row r="198" spans="1:80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</row>
    <row r="199" spans="1:80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</row>
    <row r="200" spans="1:80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</row>
    <row r="201" spans="1:80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</row>
    <row r="202" spans="1:80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</row>
    <row r="203" spans="1:80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</row>
    <row r="204" spans="1:80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</row>
    <row r="205" spans="1:80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</row>
    <row r="206" spans="1:80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</row>
    <row r="207" spans="1:80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</row>
    <row r="208" spans="1:80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</row>
    <row r="209" spans="1:80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</row>
    <row r="210" spans="1:80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</row>
    <row r="211" spans="1:80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</row>
    <row r="212" spans="1:80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</row>
    <row r="213" spans="1:80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</row>
    <row r="214" spans="1:80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</row>
    <row r="215" spans="1:80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</row>
    <row r="216" spans="1:80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</row>
    <row r="217" spans="1:80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</row>
    <row r="218" spans="1:80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</row>
    <row r="219" spans="1:80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</row>
    <row r="220" spans="1:80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</row>
    <row r="221" spans="1:80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</row>
    <row r="222" spans="1:80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</row>
    <row r="223" spans="1:80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</row>
    <row r="224" spans="1:80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</row>
    <row r="225" spans="1:80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</row>
    <row r="226" spans="1:80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</row>
    <row r="227" spans="1:80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</row>
    <row r="228" spans="1:80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</row>
    <row r="229" spans="1:80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</row>
    <row r="230" spans="1:80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</row>
    <row r="231" spans="1:80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</row>
    <row r="232" spans="1:80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</row>
    <row r="233" spans="1:80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</row>
    <row r="234" spans="1:80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</row>
    <row r="235" spans="1:80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</row>
    <row r="236" spans="1:80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</row>
    <row r="237" spans="1:80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</row>
    <row r="238" spans="1:80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</row>
    <row r="239" spans="1:80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</row>
    <row r="240" spans="1:80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</row>
    <row r="241" spans="1:80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</row>
    <row r="242" spans="1:80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</row>
    <row r="243" spans="1:80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</row>
    <row r="244" spans="1:80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</row>
    <row r="245" spans="1:80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</row>
    <row r="246" spans="1:80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</row>
    <row r="247" spans="1:80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</row>
    <row r="248" spans="1:80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</row>
    <row r="249" spans="1:80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</row>
    <row r="250" spans="1:80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</row>
    <row r="251" spans="1:80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</row>
    <row r="252" spans="1:80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</row>
    <row r="253" spans="1:80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</row>
    <row r="254" spans="1:80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</row>
    <row r="255" spans="1:80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</row>
    <row r="256" spans="1:80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</row>
    <row r="257" spans="1:80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</row>
    <row r="258" spans="1:80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</row>
    <row r="259" spans="1:80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</row>
    <row r="260" spans="1:80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</row>
    <row r="261" spans="1:80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</row>
    <row r="262" spans="1:80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</row>
    <row r="263" spans="1:80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</row>
    <row r="264" spans="1:80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</row>
    <row r="265" spans="1:80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</row>
    <row r="266" spans="1:80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</row>
    <row r="267" spans="1:80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</row>
    <row r="268" spans="1:80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</row>
    <row r="269" spans="1:80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</row>
    <row r="270" spans="1:80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</row>
    <row r="271" spans="1:80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</row>
    <row r="272" spans="1:80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</row>
    <row r="273" spans="1:80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</row>
    <row r="274" spans="1:80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</row>
    <row r="275" spans="1:80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</row>
    <row r="276" spans="1:80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</row>
    <row r="277" spans="1:80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</row>
    <row r="278" spans="1:80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</row>
    <row r="279" spans="1:80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</row>
    <row r="280" spans="1:80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</row>
    <row r="281" spans="1:80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</row>
    <row r="282" spans="1:80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</row>
    <row r="283" spans="1:80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</row>
    <row r="284" spans="1:80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</row>
    <row r="285" spans="1:80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</row>
    <row r="286" spans="1:80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</row>
    <row r="287" spans="1:80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</row>
    <row r="288" spans="1:80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</row>
    <row r="289" spans="1:80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</row>
    <row r="290" spans="1:80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</row>
    <row r="291" spans="1:80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</row>
    <row r="292" spans="1:80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</row>
    <row r="293" spans="1:80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</row>
    <row r="294" spans="1:80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</row>
    <row r="295" spans="1:80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</row>
    <row r="296" spans="1:80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</row>
    <row r="297" spans="1:80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</row>
    <row r="298" spans="1:80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</row>
    <row r="299" spans="1:80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</row>
    <row r="300" spans="1:80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</row>
    <row r="301" spans="1:80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</row>
    <row r="302" spans="1:80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</row>
    <row r="303" spans="1:80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</row>
    <row r="304" spans="1:80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</row>
    <row r="305" spans="1:80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</row>
    <row r="306" spans="1:80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</row>
    <row r="307" spans="1:80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</row>
    <row r="308" spans="1:80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</row>
    <row r="309" spans="1:80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</row>
    <row r="310" spans="1:80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</row>
    <row r="311" spans="1:80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</row>
    <row r="312" spans="1:80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</row>
    <row r="313" spans="1:80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</row>
    <row r="314" spans="1:80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</row>
    <row r="315" spans="1:80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</row>
    <row r="316" spans="1:80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</row>
    <row r="317" spans="1:80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</row>
    <row r="318" spans="1:80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</row>
    <row r="319" spans="1:80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</row>
    <row r="320" spans="1:80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</row>
    <row r="321" spans="1:80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</row>
    <row r="322" spans="1:80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</row>
    <row r="323" spans="1:80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</row>
    <row r="324" spans="1:80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</row>
    <row r="325" spans="1:80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</row>
    <row r="326" spans="1:80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</row>
    <row r="327" spans="1:80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</row>
    <row r="328" spans="1:80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</row>
    <row r="329" spans="1:80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</row>
    <row r="330" spans="1:80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</row>
    <row r="331" spans="1:80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</row>
    <row r="332" spans="1:80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</row>
    <row r="333" spans="1:80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</row>
    <row r="334" spans="1:80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</row>
    <row r="335" spans="1:80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</row>
    <row r="336" spans="1:80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</row>
    <row r="337" spans="1:80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</row>
    <row r="338" spans="1:80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</row>
    <row r="339" spans="1:80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</row>
    <row r="340" spans="1:80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</row>
    <row r="341" spans="1:80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</row>
    <row r="342" spans="1:80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</row>
    <row r="343" spans="1:80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</row>
    <row r="344" spans="1:80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</row>
    <row r="345" spans="1:80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</row>
    <row r="346" spans="1:80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</row>
    <row r="347" spans="1:80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</row>
    <row r="348" spans="1:80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</row>
    <row r="349" spans="1:80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</row>
    <row r="350" spans="1:80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</row>
    <row r="351" spans="1:80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</row>
    <row r="352" spans="1:80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</row>
    <row r="353" spans="1:80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</row>
    <row r="354" spans="1:80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</row>
    <row r="355" spans="1:80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</row>
    <row r="356" spans="1:80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</row>
    <row r="357" spans="1:80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</row>
    <row r="358" spans="1:80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</row>
    <row r="359" spans="1:80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</row>
    <row r="360" spans="1:80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</row>
    <row r="361" spans="1:80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</row>
    <row r="362" spans="1:80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</row>
    <row r="363" spans="1:80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</row>
    <row r="364" spans="1:80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</row>
    <row r="365" spans="1:80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</row>
    <row r="366" spans="1:80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</row>
    <row r="367" spans="1:80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</row>
    <row r="368" spans="1:80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</row>
    <row r="369" spans="1:80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</row>
    <row r="370" spans="1:80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</row>
    <row r="371" spans="1:80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</row>
    <row r="372" spans="1:80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</row>
    <row r="373" spans="1:80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</row>
    <row r="374" spans="1:80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</row>
    <row r="375" spans="1:80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</row>
    <row r="376" spans="1:80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</row>
    <row r="377" spans="1:80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</row>
    <row r="378" spans="1:80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</row>
    <row r="379" spans="1:80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</row>
    <row r="380" spans="1:80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</row>
    <row r="381" spans="1:80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</row>
    <row r="382" spans="1:80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</row>
    <row r="383" spans="1:80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</row>
    <row r="384" spans="1:80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</row>
    <row r="385" spans="1:80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</row>
    <row r="386" spans="1:80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</row>
    <row r="387" spans="1:80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</row>
    <row r="388" spans="1:80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</row>
    <row r="389" spans="1:80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</row>
    <row r="390" spans="1:80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</row>
    <row r="391" spans="1:80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</row>
    <row r="392" spans="1:80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</row>
    <row r="393" spans="1:80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</row>
    <row r="394" spans="1:80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</row>
    <row r="395" spans="1:80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</row>
    <row r="396" spans="1:80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</row>
    <row r="397" spans="1:80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</row>
    <row r="398" spans="1:80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</row>
    <row r="399" spans="1:80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</row>
    <row r="400" spans="1:80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</row>
    <row r="401" spans="1:80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</row>
    <row r="402" spans="1:80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</row>
    <row r="403" spans="1:80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</row>
    <row r="404" spans="1:80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</row>
    <row r="405" spans="1:80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</row>
    <row r="406" spans="1:80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</row>
    <row r="407" spans="1:80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</row>
    <row r="408" spans="1:80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</row>
    <row r="409" spans="1:80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</row>
    <row r="410" spans="1:80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</row>
    <row r="411" spans="1:80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</row>
    <row r="412" spans="1:80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</row>
    <row r="413" spans="1:80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</row>
    <row r="414" spans="1:80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</row>
    <row r="415" spans="1:80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</row>
    <row r="416" spans="1:80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</row>
    <row r="417" spans="1:80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</row>
    <row r="418" spans="1:80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</row>
    <row r="419" spans="1:80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</row>
    <row r="420" spans="1:80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</row>
    <row r="421" spans="1:80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</row>
    <row r="422" spans="1:80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</row>
    <row r="423" spans="1:80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</row>
    <row r="424" spans="1:80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</row>
    <row r="425" spans="1:80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</row>
    <row r="426" spans="1:80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  <c r="BO426" s="1"/>
      <c r="BP426" s="1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</row>
    <row r="427" spans="1:80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</row>
    <row r="428" spans="1:80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</row>
    <row r="429" spans="1:80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</row>
    <row r="430" spans="1:80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"/>
      <c r="BO430" s="1"/>
      <c r="BP430" s="1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</row>
    <row r="431" spans="1:80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</row>
    <row r="432" spans="1:80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</row>
    <row r="433" spans="1:80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1"/>
      <c r="BM433" s="1"/>
      <c r="BN433" s="1"/>
      <c r="BO433" s="1"/>
      <c r="BP433" s="1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</row>
    <row r="434" spans="1:80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</row>
    <row r="435" spans="1:80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</row>
    <row r="436" spans="1:80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</row>
    <row r="437" spans="1:80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</row>
    <row r="438" spans="1:80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</row>
    <row r="439" spans="1:80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</row>
    <row r="440" spans="1:80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</row>
    <row r="441" spans="1:80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</row>
    <row r="442" spans="1:80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</row>
    <row r="443" spans="1:80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</row>
    <row r="444" spans="1:80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</row>
    <row r="445" spans="1:80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</row>
    <row r="446" spans="1:80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</row>
    <row r="447" spans="1:80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</row>
    <row r="448" spans="1:80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</row>
    <row r="449" spans="1:80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</row>
    <row r="450" spans="1:80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</row>
    <row r="451" spans="1:80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</row>
    <row r="452" spans="1:80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</row>
    <row r="453" spans="1:80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</row>
    <row r="454" spans="1:80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</row>
    <row r="455" spans="1:80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</row>
    <row r="456" spans="1:80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</row>
    <row r="457" spans="1:80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</row>
    <row r="458" spans="1:80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</row>
    <row r="459" spans="1:80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</row>
    <row r="460" spans="1:80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</row>
    <row r="461" spans="1:80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</row>
    <row r="462" spans="1:80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</row>
    <row r="463" spans="1:80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</row>
    <row r="464" spans="1:80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</row>
    <row r="465" spans="1:80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</row>
    <row r="466" spans="1:80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</row>
    <row r="467" spans="1:80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</row>
    <row r="468" spans="1:80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</row>
    <row r="469" spans="1:80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</row>
    <row r="470" spans="1:80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</row>
    <row r="471" spans="1:80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</row>
    <row r="472" spans="1:80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</row>
    <row r="473" spans="1:80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</row>
    <row r="474" spans="1:80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</row>
    <row r="475" spans="1:80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</row>
    <row r="476" spans="1:80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</row>
    <row r="477" spans="1:80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</row>
    <row r="478" spans="1:80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</row>
    <row r="479" spans="1:80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</row>
    <row r="480" spans="1:80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</row>
    <row r="481" spans="1:80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</row>
    <row r="482" spans="1:80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</row>
    <row r="483" spans="1:80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</row>
    <row r="484" spans="1:80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</row>
    <row r="485" spans="1:80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</row>
    <row r="486" spans="1:80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</row>
    <row r="487" spans="1:80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</row>
    <row r="488" spans="1:80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</row>
    <row r="489" spans="1:80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</row>
    <row r="490" spans="1:80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</row>
    <row r="491" spans="1:80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</row>
    <row r="492" spans="1:80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</row>
    <row r="493" spans="1:80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</row>
    <row r="494" spans="1:80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</row>
    <row r="495" spans="1:80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</row>
    <row r="496" spans="1:80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</row>
    <row r="497" spans="1:80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</row>
    <row r="498" spans="1:80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</row>
    <row r="499" spans="1:80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</row>
    <row r="500" spans="1:80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</row>
    <row r="501" spans="1:80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  <c r="BC501" s="1"/>
      <c r="BD501" s="1"/>
      <c r="BE501" s="1"/>
      <c r="BF501" s="1"/>
      <c r="BG501" s="1"/>
      <c r="BH501" s="1"/>
      <c r="BI501" s="1"/>
      <c r="BJ501" s="1"/>
      <c r="BK501" s="1"/>
      <c r="BL501" s="1"/>
      <c r="BM501" s="1"/>
      <c r="BN501" s="1"/>
      <c r="BO501" s="1"/>
      <c r="BP501" s="1"/>
      <c r="BQ501" s="1"/>
      <c r="BR501" s="1"/>
      <c r="BS501" s="1"/>
      <c r="BT501" s="1"/>
      <c r="BU501" s="1"/>
      <c r="BV501" s="1"/>
      <c r="BW501" s="1"/>
      <c r="BX501" s="1"/>
      <c r="BY501" s="1"/>
      <c r="BZ501" s="1"/>
      <c r="CA501" s="1"/>
      <c r="CB501" s="1"/>
    </row>
    <row r="502" spans="1:80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  <c r="BC502" s="1"/>
      <c r="BD502" s="1"/>
      <c r="BE502" s="1"/>
      <c r="BF502" s="1"/>
      <c r="BG502" s="1"/>
      <c r="BH502" s="1"/>
      <c r="BI502" s="1"/>
      <c r="BJ502" s="1"/>
      <c r="BK502" s="1"/>
      <c r="BL502" s="1"/>
      <c r="BM502" s="1"/>
      <c r="BN502" s="1"/>
      <c r="BO502" s="1"/>
      <c r="BP502" s="1"/>
      <c r="BQ502" s="1"/>
      <c r="BR502" s="1"/>
      <c r="BS502" s="1"/>
      <c r="BT502" s="1"/>
      <c r="BU502" s="1"/>
      <c r="BV502" s="1"/>
      <c r="BW502" s="1"/>
      <c r="BX502" s="1"/>
      <c r="BY502" s="1"/>
      <c r="BZ502" s="1"/>
      <c r="CA502" s="1"/>
      <c r="CB502" s="1"/>
    </row>
    <row r="503" spans="1:80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  <c r="BC503" s="1"/>
      <c r="BD503" s="1"/>
      <c r="BE503" s="1"/>
      <c r="BF503" s="1"/>
      <c r="BG503" s="1"/>
      <c r="BH503" s="1"/>
      <c r="BI503" s="1"/>
      <c r="BJ503" s="1"/>
      <c r="BK503" s="1"/>
      <c r="BL503" s="1"/>
      <c r="BM503" s="1"/>
      <c r="BN503" s="1"/>
      <c r="BO503" s="1"/>
      <c r="BP503" s="1"/>
      <c r="BQ503" s="1"/>
      <c r="BR503" s="1"/>
      <c r="BS503" s="1"/>
      <c r="BT503" s="1"/>
      <c r="BU503" s="1"/>
      <c r="BV503" s="1"/>
      <c r="BW503" s="1"/>
      <c r="BX503" s="1"/>
      <c r="BY503" s="1"/>
      <c r="BZ503" s="1"/>
      <c r="CA503" s="1"/>
      <c r="CB503" s="1"/>
    </row>
    <row r="504" spans="1:80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  <c r="BC504" s="1"/>
      <c r="BD504" s="1"/>
      <c r="BE504" s="1"/>
      <c r="BF504" s="1"/>
      <c r="BG504" s="1"/>
      <c r="BH504" s="1"/>
      <c r="BI504" s="1"/>
      <c r="BJ504" s="1"/>
      <c r="BK504" s="1"/>
      <c r="BL504" s="1"/>
      <c r="BM504" s="1"/>
      <c r="BN504" s="1"/>
      <c r="BO504" s="1"/>
      <c r="BP504" s="1"/>
      <c r="BQ504" s="1"/>
      <c r="BR504" s="1"/>
      <c r="BS504" s="1"/>
      <c r="BT504" s="1"/>
      <c r="BU504" s="1"/>
      <c r="BV504" s="1"/>
      <c r="BW504" s="1"/>
      <c r="BX504" s="1"/>
      <c r="BY504" s="1"/>
      <c r="BZ504" s="1"/>
      <c r="CA504" s="1"/>
      <c r="CB504" s="1"/>
    </row>
    <row r="505" spans="1:80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  <c r="BC505" s="1"/>
      <c r="BD505" s="1"/>
      <c r="BE505" s="1"/>
      <c r="BF505" s="1"/>
      <c r="BG505" s="1"/>
      <c r="BH505" s="1"/>
      <c r="BI505" s="1"/>
      <c r="BJ505" s="1"/>
      <c r="BK505" s="1"/>
      <c r="BL505" s="1"/>
      <c r="BM505" s="1"/>
      <c r="BN505" s="1"/>
      <c r="BO505" s="1"/>
      <c r="BP505" s="1"/>
      <c r="BQ505" s="1"/>
      <c r="BR505" s="1"/>
      <c r="BS505" s="1"/>
      <c r="BT505" s="1"/>
      <c r="BU505" s="1"/>
      <c r="BV505" s="1"/>
      <c r="BW505" s="1"/>
      <c r="BX505" s="1"/>
      <c r="BY505" s="1"/>
      <c r="BZ505" s="1"/>
      <c r="CA505" s="1"/>
      <c r="CB505" s="1"/>
    </row>
    <row r="506" spans="1:80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  <c r="BC506" s="1"/>
      <c r="BD506" s="1"/>
      <c r="BE506" s="1"/>
      <c r="BF506" s="1"/>
      <c r="BG506" s="1"/>
      <c r="BH506" s="1"/>
      <c r="BI506" s="1"/>
      <c r="BJ506" s="1"/>
      <c r="BK506" s="1"/>
      <c r="BL506" s="1"/>
      <c r="BM506" s="1"/>
      <c r="BN506" s="1"/>
      <c r="BO506" s="1"/>
      <c r="BP506" s="1"/>
      <c r="BQ506" s="1"/>
      <c r="BR506" s="1"/>
      <c r="BS506" s="1"/>
      <c r="BT506" s="1"/>
      <c r="BU506" s="1"/>
      <c r="BV506" s="1"/>
      <c r="BW506" s="1"/>
      <c r="BX506" s="1"/>
      <c r="BY506" s="1"/>
      <c r="BZ506" s="1"/>
      <c r="CA506" s="1"/>
      <c r="CB506" s="1"/>
    </row>
    <row r="507" spans="1:80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  <c r="BC507" s="1"/>
      <c r="BD507" s="1"/>
      <c r="BE507" s="1"/>
      <c r="BF507" s="1"/>
      <c r="BG507" s="1"/>
      <c r="BH507" s="1"/>
      <c r="BI507" s="1"/>
      <c r="BJ507" s="1"/>
      <c r="BK507" s="1"/>
      <c r="BL507" s="1"/>
      <c r="BM507" s="1"/>
      <c r="BN507" s="1"/>
      <c r="BO507" s="1"/>
      <c r="BP507" s="1"/>
      <c r="BQ507" s="1"/>
      <c r="BR507" s="1"/>
      <c r="BS507" s="1"/>
      <c r="BT507" s="1"/>
      <c r="BU507" s="1"/>
      <c r="BV507" s="1"/>
      <c r="BW507" s="1"/>
      <c r="BX507" s="1"/>
      <c r="BY507" s="1"/>
      <c r="BZ507" s="1"/>
      <c r="CA507" s="1"/>
      <c r="CB507" s="1"/>
    </row>
    <row r="508" spans="1:80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  <c r="BC508" s="1"/>
      <c r="BD508" s="1"/>
      <c r="BE508" s="1"/>
      <c r="BF508" s="1"/>
      <c r="BG508" s="1"/>
      <c r="BH508" s="1"/>
      <c r="BI508" s="1"/>
      <c r="BJ508" s="1"/>
      <c r="BK508" s="1"/>
      <c r="BL508" s="1"/>
      <c r="BM508" s="1"/>
      <c r="BN508" s="1"/>
      <c r="BO508" s="1"/>
      <c r="BP508" s="1"/>
      <c r="BQ508" s="1"/>
      <c r="BR508" s="1"/>
      <c r="BS508" s="1"/>
      <c r="BT508" s="1"/>
      <c r="BU508" s="1"/>
      <c r="BV508" s="1"/>
      <c r="BW508" s="1"/>
      <c r="BX508" s="1"/>
      <c r="BY508" s="1"/>
      <c r="BZ508" s="1"/>
      <c r="CA508" s="1"/>
      <c r="CB508" s="1"/>
    </row>
    <row r="509" spans="1:80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  <c r="BC509" s="1"/>
      <c r="BD509" s="1"/>
      <c r="BE509" s="1"/>
      <c r="BF509" s="1"/>
      <c r="BG509" s="1"/>
      <c r="BH509" s="1"/>
      <c r="BI509" s="1"/>
      <c r="BJ509" s="1"/>
      <c r="BK509" s="1"/>
      <c r="BL509" s="1"/>
      <c r="BM509" s="1"/>
      <c r="BN509" s="1"/>
      <c r="BO509" s="1"/>
      <c r="BP509" s="1"/>
      <c r="BQ509" s="1"/>
      <c r="BR509" s="1"/>
      <c r="BS509" s="1"/>
      <c r="BT509" s="1"/>
      <c r="BU509" s="1"/>
      <c r="BV509" s="1"/>
      <c r="BW509" s="1"/>
      <c r="BX509" s="1"/>
      <c r="BY509" s="1"/>
      <c r="BZ509" s="1"/>
      <c r="CA509" s="1"/>
      <c r="CB509" s="1"/>
    </row>
    <row r="510" spans="1:80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  <c r="BC510" s="1"/>
      <c r="BD510" s="1"/>
      <c r="BE510" s="1"/>
      <c r="BF510" s="1"/>
      <c r="BG510" s="1"/>
      <c r="BH510" s="1"/>
      <c r="BI510" s="1"/>
      <c r="BJ510" s="1"/>
      <c r="BK510" s="1"/>
      <c r="BL510" s="1"/>
      <c r="BM510" s="1"/>
      <c r="BN510" s="1"/>
      <c r="BO510" s="1"/>
      <c r="BP510" s="1"/>
      <c r="BQ510" s="1"/>
      <c r="BR510" s="1"/>
      <c r="BS510" s="1"/>
      <c r="BT510" s="1"/>
      <c r="BU510" s="1"/>
      <c r="BV510" s="1"/>
      <c r="BW510" s="1"/>
      <c r="BX510" s="1"/>
      <c r="BY510" s="1"/>
      <c r="BZ510" s="1"/>
      <c r="CA510" s="1"/>
      <c r="CB510" s="1"/>
    </row>
    <row r="511" spans="1:80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  <c r="BC511" s="1"/>
      <c r="BD511" s="1"/>
      <c r="BE511" s="1"/>
      <c r="BF511" s="1"/>
      <c r="BG511" s="1"/>
      <c r="BH511" s="1"/>
      <c r="BI511" s="1"/>
      <c r="BJ511" s="1"/>
      <c r="BK511" s="1"/>
      <c r="BL511" s="1"/>
      <c r="BM511" s="1"/>
      <c r="BN511" s="1"/>
      <c r="BO511" s="1"/>
      <c r="BP511" s="1"/>
      <c r="BQ511" s="1"/>
      <c r="BR511" s="1"/>
      <c r="BS511" s="1"/>
      <c r="BT511" s="1"/>
      <c r="BU511" s="1"/>
      <c r="BV511" s="1"/>
      <c r="BW511" s="1"/>
      <c r="BX511" s="1"/>
      <c r="BY511" s="1"/>
      <c r="BZ511" s="1"/>
      <c r="CA511" s="1"/>
      <c r="CB511" s="1"/>
    </row>
    <row r="512" spans="1:80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  <c r="BC512" s="1"/>
      <c r="BD512" s="1"/>
      <c r="BE512" s="1"/>
      <c r="BF512" s="1"/>
      <c r="BG512" s="1"/>
      <c r="BH512" s="1"/>
      <c r="BI512" s="1"/>
      <c r="BJ512" s="1"/>
      <c r="BK512" s="1"/>
      <c r="BL512" s="1"/>
      <c r="BM512" s="1"/>
      <c r="BN512" s="1"/>
      <c r="BO512" s="1"/>
      <c r="BP512" s="1"/>
      <c r="BQ512" s="1"/>
      <c r="BR512" s="1"/>
      <c r="BS512" s="1"/>
      <c r="BT512" s="1"/>
      <c r="BU512" s="1"/>
      <c r="BV512" s="1"/>
      <c r="BW512" s="1"/>
      <c r="BX512" s="1"/>
      <c r="BY512" s="1"/>
      <c r="BZ512" s="1"/>
      <c r="CA512" s="1"/>
      <c r="CB512" s="1"/>
    </row>
    <row r="513" spans="1:80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  <c r="BC513" s="1"/>
      <c r="BD513" s="1"/>
      <c r="BE513" s="1"/>
      <c r="BF513" s="1"/>
      <c r="BG513" s="1"/>
      <c r="BH513" s="1"/>
      <c r="BI513" s="1"/>
      <c r="BJ513" s="1"/>
      <c r="BK513" s="1"/>
      <c r="BL513" s="1"/>
      <c r="BM513" s="1"/>
      <c r="BN513" s="1"/>
      <c r="BO513" s="1"/>
      <c r="BP513" s="1"/>
      <c r="BQ513" s="1"/>
      <c r="BR513" s="1"/>
      <c r="BS513" s="1"/>
      <c r="BT513" s="1"/>
      <c r="BU513" s="1"/>
      <c r="BV513" s="1"/>
      <c r="BW513" s="1"/>
      <c r="BX513" s="1"/>
      <c r="BY513" s="1"/>
      <c r="BZ513" s="1"/>
      <c r="CA513" s="1"/>
      <c r="CB513" s="1"/>
    </row>
    <row r="514" spans="1:80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  <c r="BC514" s="1"/>
      <c r="BD514" s="1"/>
      <c r="BE514" s="1"/>
      <c r="BF514" s="1"/>
      <c r="BG514" s="1"/>
      <c r="BH514" s="1"/>
      <c r="BI514" s="1"/>
      <c r="BJ514" s="1"/>
      <c r="BK514" s="1"/>
      <c r="BL514" s="1"/>
      <c r="BM514" s="1"/>
      <c r="BN514" s="1"/>
      <c r="BO514" s="1"/>
      <c r="BP514" s="1"/>
      <c r="BQ514" s="1"/>
      <c r="BR514" s="1"/>
      <c r="BS514" s="1"/>
      <c r="BT514" s="1"/>
      <c r="BU514" s="1"/>
      <c r="BV514" s="1"/>
      <c r="BW514" s="1"/>
      <c r="BX514" s="1"/>
      <c r="BY514" s="1"/>
      <c r="BZ514" s="1"/>
      <c r="CA514" s="1"/>
      <c r="CB514" s="1"/>
    </row>
    <row r="515" spans="1:80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  <c r="BC515" s="1"/>
      <c r="BD515" s="1"/>
      <c r="BE515" s="1"/>
      <c r="BF515" s="1"/>
      <c r="BG515" s="1"/>
      <c r="BH515" s="1"/>
      <c r="BI515" s="1"/>
      <c r="BJ515" s="1"/>
      <c r="BK515" s="1"/>
      <c r="BL515" s="1"/>
      <c r="BM515" s="1"/>
      <c r="BN515" s="1"/>
      <c r="BO515" s="1"/>
      <c r="BP515" s="1"/>
      <c r="BQ515" s="1"/>
      <c r="BR515" s="1"/>
      <c r="BS515" s="1"/>
      <c r="BT515" s="1"/>
      <c r="BU515" s="1"/>
      <c r="BV515" s="1"/>
      <c r="BW515" s="1"/>
      <c r="BX515" s="1"/>
      <c r="BY515" s="1"/>
      <c r="BZ515" s="1"/>
      <c r="CA515" s="1"/>
      <c r="CB515" s="1"/>
    </row>
    <row r="516" spans="1:80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  <c r="BC516" s="1"/>
      <c r="BD516" s="1"/>
      <c r="BE516" s="1"/>
      <c r="BF516" s="1"/>
      <c r="BG516" s="1"/>
      <c r="BH516" s="1"/>
      <c r="BI516" s="1"/>
      <c r="BJ516" s="1"/>
      <c r="BK516" s="1"/>
      <c r="BL516" s="1"/>
      <c r="BM516" s="1"/>
      <c r="BN516" s="1"/>
      <c r="BO516" s="1"/>
      <c r="BP516" s="1"/>
      <c r="BQ516" s="1"/>
      <c r="BR516" s="1"/>
      <c r="BS516" s="1"/>
      <c r="BT516" s="1"/>
      <c r="BU516" s="1"/>
      <c r="BV516" s="1"/>
      <c r="BW516" s="1"/>
      <c r="BX516" s="1"/>
      <c r="BY516" s="1"/>
      <c r="BZ516" s="1"/>
      <c r="CA516" s="1"/>
      <c r="CB516" s="1"/>
    </row>
    <row r="517" spans="1:80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  <c r="BC517" s="1"/>
      <c r="BD517" s="1"/>
      <c r="BE517" s="1"/>
      <c r="BF517" s="1"/>
      <c r="BG517" s="1"/>
      <c r="BH517" s="1"/>
      <c r="BI517" s="1"/>
      <c r="BJ517" s="1"/>
      <c r="BK517" s="1"/>
      <c r="BL517" s="1"/>
      <c r="BM517" s="1"/>
      <c r="BN517" s="1"/>
      <c r="BO517" s="1"/>
      <c r="BP517" s="1"/>
      <c r="BQ517" s="1"/>
      <c r="BR517" s="1"/>
      <c r="BS517" s="1"/>
      <c r="BT517" s="1"/>
      <c r="BU517" s="1"/>
      <c r="BV517" s="1"/>
      <c r="BW517" s="1"/>
      <c r="BX517" s="1"/>
      <c r="BY517" s="1"/>
      <c r="BZ517" s="1"/>
      <c r="CA517" s="1"/>
      <c r="CB517" s="1"/>
    </row>
    <row r="518" spans="1:80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  <c r="BC518" s="1"/>
      <c r="BD518" s="1"/>
      <c r="BE518" s="1"/>
      <c r="BF518" s="1"/>
      <c r="BG518" s="1"/>
      <c r="BH518" s="1"/>
      <c r="BI518" s="1"/>
      <c r="BJ518" s="1"/>
      <c r="BK518" s="1"/>
      <c r="BL518" s="1"/>
      <c r="BM518" s="1"/>
      <c r="BN518" s="1"/>
      <c r="BO518" s="1"/>
      <c r="BP518" s="1"/>
      <c r="BQ518" s="1"/>
      <c r="BR518" s="1"/>
      <c r="BS518" s="1"/>
      <c r="BT518" s="1"/>
      <c r="BU518" s="1"/>
      <c r="BV518" s="1"/>
      <c r="BW518" s="1"/>
      <c r="BX518" s="1"/>
      <c r="BY518" s="1"/>
      <c r="BZ518" s="1"/>
      <c r="CA518" s="1"/>
      <c r="CB518" s="1"/>
    </row>
    <row r="519" spans="1:80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  <c r="BC519" s="1"/>
      <c r="BD519" s="1"/>
      <c r="BE519" s="1"/>
      <c r="BF519" s="1"/>
      <c r="BG519" s="1"/>
      <c r="BH519" s="1"/>
      <c r="BI519" s="1"/>
      <c r="BJ519" s="1"/>
      <c r="BK519" s="1"/>
      <c r="BL519" s="1"/>
      <c r="BM519" s="1"/>
      <c r="BN519" s="1"/>
      <c r="BO519" s="1"/>
      <c r="BP519" s="1"/>
      <c r="BQ519" s="1"/>
      <c r="BR519" s="1"/>
      <c r="BS519" s="1"/>
      <c r="BT519" s="1"/>
      <c r="BU519" s="1"/>
      <c r="BV519" s="1"/>
      <c r="BW519" s="1"/>
      <c r="BX519" s="1"/>
      <c r="BY519" s="1"/>
      <c r="BZ519" s="1"/>
      <c r="CA519" s="1"/>
      <c r="CB519" s="1"/>
    </row>
    <row r="520" spans="1:80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  <c r="BC520" s="1"/>
      <c r="BD520" s="1"/>
      <c r="BE520" s="1"/>
      <c r="BF520" s="1"/>
      <c r="BG520" s="1"/>
      <c r="BH520" s="1"/>
      <c r="BI520" s="1"/>
      <c r="BJ520" s="1"/>
      <c r="BK520" s="1"/>
      <c r="BL520" s="1"/>
      <c r="BM520" s="1"/>
      <c r="BN520" s="1"/>
      <c r="BO520" s="1"/>
      <c r="BP520" s="1"/>
      <c r="BQ520" s="1"/>
      <c r="BR520" s="1"/>
      <c r="BS520" s="1"/>
      <c r="BT520" s="1"/>
      <c r="BU520" s="1"/>
      <c r="BV520" s="1"/>
      <c r="BW520" s="1"/>
      <c r="BX520" s="1"/>
      <c r="BY520" s="1"/>
      <c r="BZ520" s="1"/>
      <c r="CA520" s="1"/>
      <c r="CB520" s="1"/>
    </row>
    <row r="521" spans="1:80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  <c r="BC521" s="1"/>
      <c r="BD521" s="1"/>
      <c r="BE521" s="1"/>
      <c r="BF521" s="1"/>
      <c r="BG521" s="1"/>
      <c r="BH521" s="1"/>
      <c r="BI521" s="1"/>
      <c r="BJ521" s="1"/>
      <c r="BK521" s="1"/>
      <c r="BL521" s="1"/>
      <c r="BM521" s="1"/>
      <c r="BN521" s="1"/>
      <c r="BO521" s="1"/>
      <c r="BP521" s="1"/>
      <c r="BQ521" s="1"/>
      <c r="BR521" s="1"/>
      <c r="BS521" s="1"/>
      <c r="BT521" s="1"/>
      <c r="BU521" s="1"/>
      <c r="BV521" s="1"/>
      <c r="BW521" s="1"/>
      <c r="BX521" s="1"/>
      <c r="BY521" s="1"/>
      <c r="BZ521" s="1"/>
      <c r="CA521" s="1"/>
      <c r="CB521" s="1"/>
    </row>
    <row r="522" spans="1:80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  <c r="BC522" s="1"/>
      <c r="BD522" s="1"/>
      <c r="BE522" s="1"/>
      <c r="BF522" s="1"/>
      <c r="BG522" s="1"/>
      <c r="BH522" s="1"/>
      <c r="BI522" s="1"/>
      <c r="BJ522" s="1"/>
      <c r="BK522" s="1"/>
      <c r="BL522" s="1"/>
      <c r="BM522" s="1"/>
      <c r="BN522" s="1"/>
      <c r="BO522" s="1"/>
      <c r="BP522" s="1"/>
      <c r="BQ522" s="1"/>
      <c r="BR522" s="1"/>
      <c r="BS522" s="1"/>
      <c r="BT522" s="1"/>
      <c r="BU522" s="1"/>
      <c r="BV522" s="1"/>
      <c r="BW522" s="1"/>
      <c r="BX522" s="1"/>
      <c r="BY522" s="1"/>
      <c r="BZ522" s="1"/>
      <c r="CA522" s="1"/>
      <c r="CB522" s="1"/>
    </row>
    <row r="523" spans="1:80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  <c r="BC523" s="1"/>
      <c r="BD523" s="1"/>
      <c r="BE523" s="1"/>
      <c r="BF523" s="1"/>
      <c r="BG523" s="1"/>
      <c r="BH523" s="1"/>
      <c r="BI523" s="1"/>
      <c r="BJ523" s="1"/>
      <c r="BK523" s="1"/>
      <c r="BL523" s="1"/>
      <c r="BM523" s="1"/>
      <c r="BN523" s="1"/>
      <c r="BO523" s="1"/>
      <c r="BP523" s="1"/>
      <c r="BQ523" s="1"/>
      <c r="BR523" s="1"/>
      <c r="BS523" s="1"/>
      <c r="BT523" s="1"/>
      <c r="BU523" s="1"/>
      <c r="BV523" s="1"/>
      <c r="BW523" s="1"/>
      <c r="BX523" s="1"/>
      <c r="BY523" s="1"/>
      <c r="BZ523" s="1"/>
      <c r="CA523" s="1"/>
      <c r="CB523" s="1"/>
    </row>
    <row r="524" spans="1:80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  <c r="BC524" s="1"/>
      <c r="BD524" s="1"/>
      <c r="BE524" s="1"/>
      <c r="BF524" s="1"/>
      <c r="BG524" s="1"/>
      <c r="BH524" s="1"/>
      <c r="BI524" s="1"/>
      <c r="BJ524" s="1"/>
      <c r="BK524" s="1"/>
      <c r="BL524" s="1"/>
      <c r="BM524" s="1"/>
      <c r="BN524" s="1"/>
      <c r="BO524" s="1"/>
      <c r="BP524" s="1"/>
      <c r="BQ524" s="1"/>
      <c r="BR524" s="1"/>
      <c r="BS524" s="1"/>
      <c r="BT524" s="1"/>
      <c r="BU524" s="1"/>
      <c r="BV524" s="1"/>
      <c r="BW524" s="1"/>
      <c r="BX524" s="1"/>
      <c r="BY524" s="1"/>
      <c r="BZ524" s="1"/>
      <c r="CA524" s="1"/>
      <c r="CB524" s="1"/>
    </row>
    <row r="525" spans="1:80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  <c r="BC525" s="1"/>
      <c r="BD525" s="1"/>
      <c r="BE525" s="1"/>
      <c r="BF525" s="1"/>
      <c r="BG525" s="1"/>
      <c r="BH525" s="1"/>
      <c r="BI525" s="1"/>
      <c r="BJ525" s="1"/>
      <c r="BK525" s="1"/>
      <c r="BL525" s="1"/>
      <c r="BM525" s="1"/>
      <c r="BN525" s="1"/>
      <c r="BO525" s="1"/>
      <c r="BP525" s="1"/>
      <c r="BQ525" s="1"/>
      <c r="BR525" s="1"/>
      <c r="BS525" s="1"/>
      <c r="BT525" s="1"/>
      <c r="BU525" s="1"/>
      <c r="BV525" s="1"/>
      <c r="BW525" s="1"/>
      <c r="BX525" s="1"/>
      <c r="BY525" s="1"/>
      <c r="BZ525" s="1"/>
      <c r="CA525" s="1"/>
      <c r="CB525" s="1"/>
    </row>
    <row r="526" spans="1:80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  <c r="BC526" s="1"/>
      <c r="BD526" s="1"/>
      <c r="BE526" s="1"/>
      <c r="BF526" s="1"/>
      <c r="BG526" s="1"/>
      <c r="BH526" s="1"/>
      <c r="BI526" s="1"/>
      <c r="BJ526" s="1"/>
      <c r="BK526" s="1"/>
      <c r="BL526" s="1"/>
      <c r="BM526" s="1"/>
      <c r="BN526" s="1"/>
      <c r="BO526" s="1"/>
      <c r="BP526" s="1"/>
      <c r="BQ526" s="1"/>
      <c r="BR526" s="1"/>
      <c r="BS526" s="1"/>
      <c r="BT526" s="1"/>
      <c r="BU526" s="1"/>
      <c r="BV526" s="1"/>
      <c r="BW526" s="1"/>
      <c r="BX526" s="1"/>
      <c r="BY526" s="1"/>
      <c r="BZ526" s="1"/>
      <c r="CA526" s="1"/>
      <c r="CB526" s="1"/>
    </row>
    <row r="527" spans="1:80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  <c r="BC527" s="1"/>
      <c r="BD527" s="1"/>
      <c r="BE527" s="1"/>
      <c r="BF527" s="1"/>
      <c r="BG527" s="1"/>
      <c r="BH527" s="1"/>
      <c r="BI527" s="1"/>
      <c r="BJ527" s="1"/>
      <c r="BK527" s="1"/>
      <c r="BL527" s="1"/>
      <c r="BM527" s="1"/>
      <c r="BN527" s="1"/>
      <c r="BO527" s="1"/>
      <c r="BP527" s="1"/>
      <c r="BQ527" s="1"/>
      <c r="BR527" s="1"/>
      <c r="BS527" s="1"/>
      <c r="BT527" s="1"/>
      <c r="BU527" s="1"/>
      <c r="BV527" s="1"/>
      <c r="BW527" s="1"/>
      <c r="BX527" s="1"/>
      <c r="BY527" s="1"/>
      <c r="BZ527" s="1"/>
      <c r="CA527" s="1"/>
      <c r="CB527" s="1"/>
    </row>
    <row r="528" spans="1:80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  <c r="BC528" s="1"/>
      <c r="BD528" s="1"/>
      <c r="BE528" s="1"/>
      <c r="BF528" s="1"/>
      <c r="BG528" s="1"/>
      <c r="BH528" s="1"/>
      <c r="BI528" s="1"/>
      <c r="BJ528" s="1"/>
      <c r="BK528" s="1"/>
      <c r="BL528" s="1"/>
      <c r="BM528" s="1"/>
      <c r="BN528" s="1"/>
      <c r="BO528" s="1"/>
      <c r="BP528" s="1"/>
      <c r="BQ528" s="1"/>
      <c r="BR528" s="1"/>
      <c r="BS528" s="1"/>
      <c r="BT528" s="1"/>
      <c r="BU528" s="1"/>
      <c r="BV528" s="1"/>
      <c r="BW528" s="1"/>
      <c r="BX528" s="1"/>
      <c r="BY528" s="1"/>
      <c r="BZ528" s="1"/>
      <c r="CA528" s="1"/>
      <c r="CB528" s="1"/>
    </row>
    <row r="529" spans="1:80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1"/>
      <c r="BD529" s="1"/>
      <c r="BE529" s="1"/>
      <c r="BF529" s="1"/>
      <c r="BG529" s="1"/>
      <c r="BH529" s="1"/>
      <c r="BI529" s="1"/>
      <c r="BJ529" s="1"/>
      <c r="BK529" s="1"/>
      <c r="BL529" s="1"/>
      <c r="BM529" s="1"/>
      <c r="BN529" s="1"/>
      <c r="BO529" s="1"/>
      <c r="BP529" s="1"/>
      <c r="BQ529" s="1"/>
      <c r="BR529" s="1"/>
      <c r="BS529" s="1"/>
      <c r="BT529" s="1"/>
      <c r="BU529" s="1"/>
      <c r="BV529" s="1"/>
      <c r="BW529" s="1"/>
      <c r="BX529" s="1"/>
      <c r="BY529" s="1"/>
      <c r="BZ529" s="1"/>
      <c r="CA529" s="1"/>
      <c r="CB529" s="1"/>
    </row>
    <row r="530" spans="1:80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  <c r="BC530" s="1"/>
      <c r="BD530" s="1"/>
      <c r="BE530" s="1"/>
      <c r="BF530" s="1"/>
      <c r="BG530" s="1"/>
      <c r="BH530" s="1"/>
      <c r="BI530" s="1"/>
      <c r="BJ530" s="1"/>
      <c r="BK530" s="1"/>
      <c r="BL530" s="1"/>
      <c r="BM530" s="1"/>
      <c r="BN530" s="1"/>
      <c r="BO530" s="1"/>
      <c r="BP530" s="1"/>
      <c r="BQ530" s="1"/>
      <c r="BR530" s="1"/>
      <c r="BS530" s="1"/>
      <c r="BT530" s="1"/>
      <c r="BU530" s="1"/>
      <c r="BV530" s="1"/>
      <c r="BW530" s="1"/>
      <c r="BX530" s="1"/>
      <c r="BY530" s="1"/>
      <c r="BZ530" s="1"/>
      <c r="CA530" s="1"/>
      <c r="CB530" s="1"/>
    </row>
    <row r="531" spans="1:80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  <c r="BC531" s="1"/>
      <c r="BD531" s="1"/>
      <c r="BE531" s="1"/>
      <c r="BF531" s="1"/>
      <c r="BG531" s="1"/>
      <c r="BH531" s="1"/>
      <c r="BI531" s="1"/>
      <c r="BJ531" s="1"/>
      <c r="BK531" s="1"/>
      <c r="BL531" s="1"/>
      <c r="BM531" s="1"/>
      <c r="BN531" s="1"/>
      <c r="BO531" s="1"/>
      <c r="BP531" s="1"/>
      <c r="BQ531" s="1"/>
      <c r="BR531" s="1"/>
      <c r="BS531" s="1"/>
      <c r="BT531" s="1"/>
      <c r="BU531" s="1"/>
      <c r="BV531" s="1"/>
      <c r="BW531" s="1"/>
      <c r="BX531" s="1"/>
      <c r="BY531" s="1"/>
      <c r="BZ531" s="1"/>
      <c r="CA531" s="1"/>
      <c r="CB531" s="1"/>
    </row>
    <row r="532" spans="1:80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  <c r="BC532" s="1"/>
      <c r="BD532" s="1"/>
      <c r="BE532" s="1"/>
      <c r="BF532" s="1"/>
      <c r="BG532" s="1"/>
      <c r="BH532" s="1"/>
      <c r="BI532" s="1"/>
      <c r="BJ532" s="1"/>
      <c r="BK532" s="1"/>
      <c r="BL532" s="1"/>
      <c r="BM532" s="1"/>
      <c r="BN532" s="1"/>
      <c r="BO532" s="1"/>
      <c r="BP532" s="1"/>
      <c r="BQ532" s="1"/>
      <c r="BR532" s="1"/>
      <c r="BS532" s="1"/>
      <c r="BT532" s="1"/>
      <c r="BU532" s="1"/>
      <c r="BV532" s="1"/>
      <c r="BW532" s="1"/>
      <c r="BX532" s="1"/>
      <c r="BY532" s="1"/>
      <c r="BZ532" s="1"/>
      <c r="CA532" s="1"/>
      <c r="CB532" s="1"/>
    </row>
    <row r="533" spans="1:80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  <c r="BC533" s="1"/>
      <c r="BD533" s="1"/>
      <c r="BE533" s="1"/>
      <c r="BF533" s="1"/>
      <c r="BG533" s="1"/>
      <c r="BH533" s="1"/>
      <c r="BI533" s="1"/>
      <c r="BJ533" s="1"/>
      <c r="BK533" s="1"/>
      <c r="BL533" s="1"/>
      <c r="BM533" s="1"/>
      <c r="BN533" s="1"/>
      <c r="BO533" s="1"/>
      <c r="BP533" s="1"/>
      <c r="BQ533" s="1"/>
      <c r="BR533" s="1"/>
      <c r="BS533" s="1"/>
      <c r="BT533" s="1"/>
      <c r="BU533" s="1"/>
      <c r="BV533" s="1"/>
      <c r="BW533" s="1"/>
      <c r="BX533" s="1"/>
      <c r="BY533" s="1"/>
      <c r="BZ533" s="1"/>
      <c r="CA533" s="1"/>
      <c r="CB533" s="1"/>
    </row>
    <row r="534" spans="1:80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  <c r="BC534" s="1"/>
      <c r="BD534" s="1"/>
      <c r="BE534" s="1"/>
      <c r="BF534" s="1"/>
      <c r="BG534" s="1"/>
      <c r="BH534" s="1"/>
      <c r="BI534" s="1"/>
      <c r="BJ534" s="1"/>
      <c r="BK534" s="1"/>
      <c r="BL534" s="1"/>
      <c r="BM534" s="1"/>
      <c r="BN534" s="1"/>
      <c r="BO534" s="1"/>
      <c r="BP534" s="1"/>
      <c r="BQ534" s="1"/>
      <c r="BR534" s="1"/>
      <c r="BS534" s="1"/>
      <c r="BT534" s="1"/>
      <c r="BU534" s="1"/>
      <c r="BV534" s="1"/>
      <c r="BW534" s="1"/>
      <c r="BX534" s="1"/>
      <c r="BY534" s="1"/>
      <c r="BZ534" s="1"/>
      <c r="CA534" s="1"/>
      <c r="CB534" s="1"/>
    </row>
    <row r="535" spans="1:80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  <c r="BC535" s="1"/>
      <c r="BD535" s="1"/>
      <c r="BE535" s="1"/>
      <c r="BF535" s="1"/>
      <c r="BG535" s="1"/>
      <c r="BH535" s="1"/>
      <c r="BI535" s="1"/>
      <c r="BJ535" s="1"/>
      <c r="BK535" s="1"/>
      <c r="BL535" s="1"/>
      <c r="BM535" s="1"/>
      <c r="BN535" s="1"/>
      <c r="BO535" s="1"/>
      <c r="BP535" s="1"/>
      <c r="BQ535" s="1"/>
      <c r="BR535" s="1"/>
      <c r="BS535" s="1"/>
      <c r="BT535" s="1"/>
      <c r="BU535" s="1"/>
      <c r="BV535" s="1"/>
      <c r="BW535" s="1"/>
      <c r="BX535" s="1"/>
      <c r="BY535" s="1"/>
      <c r="BZ535" s="1"/>
      <c r="CA535" s="1"/>
      <c r="CB535" s="1"/>
    </row>
    <row r="536" spans="1:80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  <c r="BC536" s="1"/>
      <c r="BD536" s="1"/>
      <c r="BE536" s="1"/>
      <c r="BF536" s="1"/>
      <c r="BG536" s="1"/>
      <c r="BH536" s="1"/>
      <c r="BI536" s="1"/>
      <c r="BJ536" s="1"/>
      <c r="BK536" s="1"/>
      <c r="BL536" s="1"/>
      <c r="BM536" s="1"/>
      <c r="BN536" s="1"/>
      <c r="BO536" s="1"/>
      <c r="BP536" s="1"/>
      <c r="BQ536" s="1"/>
      <c r="BR536" s="1"/>
      <c r="BS536" s="1"/>
      <c r="BT536" s="1"/>
      <c r="BU536" s="1"/>
      <c r="BV536" s="1"/>
      <c r="BW536" s="1"/>
      <c r="BX536" s="1"/>
      <c r="BY536" s="1"/>
      <c r="BZ536" s="1"/>
      <c r="CA536" s="1"/>
      <c r="CB536" s="1"/>
    </row>
    <row r="537" spans="1:80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  <c r="BC537" s="1"/>
      <c r="BD537" s="1"/>
      <c r="BE537" s="1"/>
      <c r="BF537" s="1"/>
      <c r="BG537" s="1"/>
      <c r="BH537" s="1"/>
      <c r="BI537" s="1"/>
      <c r="BJ537" s="1"/>
      <c r="BK537" s="1"/>
      <c r="BL537" s="1"/>
      <c r="BM537" s="1"/>
      <c r="BN537" s="1"/>
      <c r="BO537" s="1"/>
      <c r="BP537" s="1"/>
      <c r="BQ537" s="1"/>
      <c r="BR537" s="1"/>
      <c r="BS537" s="1"/>
      <c r="BT537" s="1"/>
      <c r="BU537" s="1"/>
      <c r="BV537" s="1"/>
      <c r="BW537" s="1"/>
      <c r="BX537" s="1"/>
      <c r="BY537" s="1"/>
      <c r="BZ537" s="1"/>
      <c r="CA537" s="1"/>
      <c r="CB537" s="1"/>
    </row>
    <row r="538" spans="1:80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  <c r="BC538" s="1"/>
      <c r="BD538" s="1"/>
      <c r="BE538" s="1"/>
      <c r="BF538" s="1"/>
      <c r="BG538" s="1"/>
      <c r="BH538" s="1"/>
      <c r="BI538" s="1"/>
      <c r="BJ538" s="1"/>
      <c r="BK538" s="1"/>
      <c r="BL538" s="1"/>
      <c r="BM538" s="1"/>
      <c r="BN538" s="1"/>
      <c r="BO538" s="1"/>
      <c r="BP538" s="1"/>
      <c r="BQ538" s="1"/>
      <c r="BR538" s="1"/>
      <c r="BS538" s="1"/>
      <c r="BT538" s="1"/>
      <c r="BU538" s="1"/>
      <c r="BV538" s="1"/>
      <c r="BW538" s="1"/>
      <c r="BX538" s="1"/>
      <c r="BY538" s="1"/>
      <c r="BZ538" s="1"/>
      <c r="CA538" s="1"/>
      <c r="CB538" s="1"/>
    </row>
    <row r="539" spans="1:80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  <c r="BC539" s="1"/>
      <c r="BD539" s="1"/>
      <c r="BE539" s="1"/>
      <c r="BF539" s="1"/>
      <c r="BG539" s="1"/>
      <c r="BH539" s="1"/>
      <c r="BI539" s="1"/>
      <c r="BJ539" s="1"/>
      <c r="BK539" s="1"/>
      <c r="BL539" s="1"/>
      <c r="BM539" s="1"/>
      <c r="BN539" s="1"/>
      <c r="BO539" s="1"/>
      <c r="BP539" s="1"/>
      <c r="BQ539" s="1"/>
      <c r="BR539" s="1"/>
      <c r="BS539" s="1"/>
      <c r="BT539" s="1"/>
      <c r="BU539" s="1"/>
      <c r="BV539" s="1"/>
      <c r="BW539" s="1"/>
      <c r="BX539" s="1"/>
      <c r="BY539" s="1"/>
      <c r="BZ539" s="1"/>
      <c r="CA539" s="1"/>
      <c r="CB539" s="1"/>
    </row>
    <row r="540" spans="1:80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  <c r="BC540" s="1"/>
      <c r="BD540" s="1"/>
      <c r="BE540" s="1"/>
      <c r="BF540" s="1"/>
      <c r="BG540" s="1"/>
      <c r="BH540" s="1"/>
      <c r="BI540" s="1"/>
      <c r="BJ540" s="1"/>
      <c r="BK540" s="1"/>
      <c r="BL540" s="1"/>
      <c r="BM540" s="1"/>
      <c r="BN540" s="1"/>
      <c r="BO540" s="1"/>
      <c r="BP540" s="1"/>
      <c r="BQ540" s="1"/>
      <c r="BR540" s="1"/>
      <c r="BS540" s="1"/>
      <c r="BT540" s="1"/>
      <c r="BU540" s="1"/>
      <c r="BV540" s="1"/>
      <c r="BW540" s="1"/>
      <c r="BX540" s="1"/>
      <c r="BY540" s="1"/>
      <c r="BZ540" s="1"/>
      <c r="CA540" s="1"/>
      <c r="CB540" s="1"/>
    </row>
    <row r="541" spans="1:80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  <c r="BC541" s="1"/>
      <c r="BD541" s="1"/>
      <c r="BE541" s="1"/>
      <c r="BF541" s="1"/>
      <c r="BG541" s="1"/>
      <c r="BH541" s="1"/>
      <c r="BI541" s="1"/>
      <c r="BJ541" s="1"/>
      <c r="BK541" s="1"/>
      <c r="BL541" s="1"/>
      <c r="BM541" s="1"/>
      <c r="BN541" s="1"/>
      <c r="BO541" s="1"/>
      <c r="BP541" s="1"/>
      <c r="BQ541" s="1"/>
      <c r="BR541" s="1"/>
      <c r="BS541" s="1"/>
      <c r="BT541" s="1"/>
      <c r="BU541" s="1"/>
      <c r="BV541" s="1"/>
      <c r="BW541" s="1"/>
      <c r="BX541" s="1"/>
      <c r="BY541" s="1"/>
      <c r="BZ541" s="1"/>
      <c r="CA541" s="1"/>
      <c r="CB541" s="1"/>
    </row>
    <row r="542" spans="1:80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  <c r="BC542" s="1"/>
      <c r="BD542" s="1"/>
      <c r="BE542" s="1"/>
      <c r="BF542" s="1"/>
      <c r="BG542" s="1"/>
      <c r="BH542" s="1"/>
      <c r="BI542" s="1"/>
      <c r="BJ542" s="1"/>
      <c r="BK542" s="1"/>
      <c r="BL542" s="1"/>
      <c r="BM542" s="1"/>
      <c r="BN542" s="1"/>
      <c r="BO542" s="1"/>
      <c r="BP542" s="1"/>
      <c r="BQ542" s="1"/>
      <c r="BR542" s="1"/>
      <c r="BS542" s="1"/>
      <c r="BT542" s="1"/>
      <c r="BU542" s="1"/>
      <c r="BV542" s="1"/>
      <c r="BW542" s="1"/>
      <c r="BX542" s="1"/>
      <c r="BY542" s="1"/>
      <c r="BZ542" s="1"/>
      <c r="CA542" s="1"/>
      <c r="CB542" s="1"/>
    </row>
    <row r="543" spans="1:80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  <c r="BC543" s="1"/>
      <c r="BD543" s="1"/>
      <c r="BE543" s="1"/>
      <c r="BF543" s="1"/>
      <c r="BG543" s="1"/>
      <c r="BH543" s="1"/>
      <c r="BI543" s="1"/>
      <c r="BJ543" s="1"/>
      <c r="BK543" s="1"/>
      <c r="BL543" s="1"/>
      <c r="BM543" s="1"/>
      <c r="BN543" s="1"/>
      <c r="BO543" s="1"/>
      <c r="BP543" s="1"/>
      <c r="BQ543" s="1"/>
      <c r="BR543" s="1"/>
      <c r="BS543" s="1"/>
      <c r="BT543" s="1"/>
      <c r="BU543" s="1"/>
      <c r="BV543" s="1"/>
      <c r="BW543" s="1"/>
      <c r="BX543" s="1"/>
      <c r="BY543" s="1"/>
      <c r="BZ543" s="1"/>
      <c r="CA543" s="1"/>
      <c r="CB543" s="1"/>
    </row>
    <row r="544" spans="1:80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  <c r="BC544" s="1"/>
      <c r="BD544" s="1"/>
      <c r="BE544" s="1"/>
      <c r="BF544" s="1"/>
      <c r="BG544" s="1"/>
      <c r="BH544" s="1"/>
      <c r="BI544" s="1"/>
      <c r="BJ544" s="1"/>
      <c r="BK544" s="1"/>
      <c r="BL544" s="1"/>
      <c r="BM544" s="1"/>
      <c r="BN544" s="1"/>
      <c r="BO544" s="1"/>
      <c r="BP544" s="1"/>
      <c r="BQ544" s="1"/>
      <c r="BR544" s="1"/>
      <c r="BS544" s="1"/>
      <c r="BT544" s="1"/>
      <c r="BU544" s="1"/>
      <c r="BV544" s="1"/>
      <c r="BW544" s="1"/>
      <c r="BX544" s="1"/>
      <c r="BY544" s="1"/>
      <c r="BZ544" s="1"/>
      <c r="CA544" s="1"/>
      <c r="CB544" s="1"/>
    </row>
    <row r="545" spans="1:80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  <c r="BC545" s="1"/>
      <c r="BD545" s="1"/>
      <c r="BE545" s="1"/>
      <c r="BF545" s="1"/>
      <c r="BG545" s="1"/>
      <c r="BH545" s="1"/>
      <c r="BI545" s="1"/>
      <c r="BJ545" s="1"/>
      <c r="BK545" s="1"/>
      <c r="BL545" s="1"/>
      <c r="BM545" s="1"/>
      <c r="BN545" s="1"/>
      <c r="BO545" s="1"/>
      <c r="BP545" s="1"/>
      <c r="BQ545" s="1"/>
      <c r="BR545" s="1"/>
      <c r="BS545" s="1"/>
      <c r="BT545" s="1"/>
      <c r="BU545" s="1"/>
      <c r="BV545" s="1"/>
      <c r="BW545" s="1"/>
      <c r="BX545" s="1"/>
      <c r="BY545" s="1"/>
      <c r="BZ545" s="1"/>
      <c r="CA545" s="1"/>
      <c r="CB545" s="1"/>
    </row>
    <row r="546" spans="1:80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  <c r="BC546" s="1"/>
      <c r="BD546" s="1"/>
      <c r="BE546" s="1"/>
      <c r="BF546" s="1"/>
      <c r="BG546" s="1"/>
      <c r="BH546" s="1"/>
      <c r="BI546" s="1"/>
      <c r="BJ546" s="1"/>
      <c r="BK546" s="1"/>
      <c r="BL546" s="1"/>
      <c r="BM546" s="1"/>
      <c r="BN546" s="1"/>
      <c r="BO546" s="1"/>
      <c r="BP546" s="1"/>
      <c r="BQ546" s="1"/>
      <c r="BR546" s="1"/>
      <c r="BS546" s="1"/>
      <c r="BT546" s="1"/>
      <c r="BU546" s="1"/>
      <c r="BV546" s="1"/>
      <c r="BW546" s="1"/>
      <c r="BX546" s="1"/>
      <c r="BY546" s="1"/>
      <c r="BZ546" s="1"/>
      <c r="CA546" s="1"/>
      <c r="CB546" s="1"/>
    </row>
    <row r="547" spans="1:80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  <c r="BC547" s="1"/>
      <c r="BD547" s="1"/>
      <c r="BE547" s="1"/>
      <c r="BF547" s="1"/>
      <c r="BG547" s="1"/>
      <c r="BH547" s="1"/>
      <c r="BI547" s="1"/>
      <c r="BJ547" s="1"/>
      <c r="BK547" s="1"/>
      <c r="BL547" s="1"/>
      <c r="BM547" s="1"/>
      <c r="BN547" s="1"/>
      <c r="BO547" s="1"/>
      <c r="BP547" s="1"/>
      <c r="BQ547" s="1"/>
      <c r="BR547" s="1"/>
      <c r="BS547" s="1"/>
      <c r="BT547" s="1"/>
      <c r="BU547" s="1"/>
      <c r="BV547" s="1"/>
      <c r="BW547" s="1"/>
      <c r="BX547" s="1"/>
      <c r="BY547" s="1"/>
      <c r="BZ547" s="1"/>
      <c r="CA547" s="1"/>
      <c r="CB547" s="1"/>
    </row>
    <row r="548" spans="1:80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  <c r="BC548" s="1"/>
      <c r="BD548" s="1"/>
      <c r="BE548" s="1"/>
      <c r="BF548" s="1"/>
      <c r="BG548" s="1"/>
      <c r="BH548" s="1"/>
      <c r="BI548" s="1"/>
      <c r="BJ548" s="1"/>
      <c r="BK548" s="1"/>
      <c r="BL548" s="1"/>
      <c r="BM548" s="1"/>
      <c r="BN548" s="1"/>
      <c r="BO548" s="1"/>
      <c r="BP548" s="1"/>
      <c r="BQ548" s="1"/>
      <c r="BR548" s="1"/>
      <c r="BS548" s="1"/>
      <c r="BT548" s="1"/>
      <c r="BU548" s="1"/>
      <c r="BV548" s="1"/>
      <c r="BW548" s="1"/>
      <c r="BX548" s="1"/>
      <c r="BY548" s="1"/>
      <c r="BZ548" s="1"/>
      <c r="CA548" s="1"/>
      <c r="CB548" s="1"/>
    </row>
    <row r="549" spans="1:80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  <c r="BC549" s="1"/>
      <c r="BD549" s="1"/>
      <c r="BE549" s="1"/>
      <c r="BF549" s="1"/>
      <c r="BG549" s="1"/>
      <c r="BH549" s="1"/>
      <c r="BI549" s="1"/>
      <c r="BJ549" s="1"/>
      <c r="BK549" s="1"/>
      <c r="BL549" s="1"/>
      <c r="BM549" s="1"/>
      <c r="BN549" s="1"/>
      <c r="BO549" s="1"/>
      <c r="BP549" s="1"/>
      <c r="BQ549" s="1"/>
      <c r="BR549" s="1"/>
      <c r="BS549" s="1"/>
      <c r="BT549" s="1"/>
      <c r="BU549" s="1"/>
      <c r="BV549" s="1"/>
      <c r="BW549" s="1"/>
      <c r="BX549" s="1"/>
      <c r="BY549" s="1"/>
      <c r="BZ549" s="1"/>
      <c r="CA549" s="1"/>
      <c r="CB549" s="1"/>
    </row>
    <row r="550" spans="1:80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  <c r="BC550" s="1"/>
      <c r="BD550" s="1"/>
      <c r="BE550" s="1"/>
      <c r="BF550" s="1"/>
      <c r="BG550" s="1"/>
      <c r="BH550" s="1"/>
      <c r="BI550" s="1"/>
      <c r="BJ550" s="1"/>
      <c r="BK550" s="1"/>
      <c r="BL550" s="1"/>
      <c r="BM550" s="1"/>
      <c r="BN550" s="1"/>
      <c r="BO550" s="1"/>
      <c r="BP550" s="1"/>
      <c r="BQ550" s="1"/>
      <c r="BR550" s="1"/>
      <c r="BS550" s="1"/>
      <c r="BT550" s="1"/>
      <c r="BU550" s="1"/>
      <c r="BV550" s="1"/>
      <c r="BW550" s="1"/>
      <c r="BX550" s="1"/>
      <c r="BY550" s="1"/>
      <c r="BZ550" s="1"/>
      <c r="CA550" s="1"/>
      <c r="CB550" s="1"/>
    </row>
    <row r="551" spans="1:80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  <c r="BC551" s="1"/>
      <c r="BD551" s="1"/>
      <c r="BE551" s="1"/>
      <c r="BF551" s="1"/>
      <c r="BG551" s="1"/>
      <c r="BH551" s="1"/>
      <c r="BI551" s="1"/>
      <c r="BJ551" s="1"/>
      <c r="BK551" s="1"/>
      <c r="BL551" s="1"/>
      <c r="BM551" s="1"/>
      <c r="BN551" s="1"/>
      <c r="BO551" s="1"/>
      <c r="BP551" s="1"/>
      <c r="BQ551" s="1"/>
      <c r="BR551" s="1"/>
      <c r="BS551" s="1"/>
      <c r="BT551" s="1"/>
      <c r="BU551" s="1"/>
      <c r="BV551" s="1"/>
      <c r="BW551" s="1"/>
      <c r="BX551" s="1"/>
      <c r="BY551" s="1"/>
      <c r="BZ551" s="1"/>
      <c r="CA551" s="1"/>
      <c r="CB551" s="1"/>
    </row>
    <row r="552" spans="1:80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  <c r="BC552" s="1"/>
      <c r="BD552" s="1"/>
      <c r="BE552" s="1"/>
      <c r="BF552" s="1"/>
      <c r="BG552" s="1"/>
      <c r="BH552" s="1"/>
      <c r="BI552" s="1"/>
      <c r="BJ552" s="1"/>
      <c r="BK552" s="1"/>
      <c r="BL552" s="1"/>
      <c r="BM552" s="1"/>
      <c r="BN552" s="1"/>
      <c r="BO552" s="1"/>
      <c r="BP552" s="1"/>
      <c r="BQ552" s="1"/>
      <c r="BR552" s="1"/>
      <c r="BS552" s="1"/>
      <c r="BT552" s="1"/>
      <c r="BU552" s="1"/>
      <c r="BV552" s="1"/>
      <c r="BW552" s="1"/>
      <c r="BX552" s="1"/>
      <c r="BY552" s="1"/>
      <c r="BZ552" s="1"/>
      <c r="CA552" s="1"/>
      <c r="CB552" s="1"/>
    </row>
    <row r="553" spans="1:80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  <c r="BC553" s="1"/>
      <c r="BD553" s="1"/>
      <c r="BE553" s="1"/>
      <c r="BF553" s="1"/>
      <c r="BG553" s="1"/>
      <c r="BH553" s="1"/>
      <c r="BI553" s="1"/>
      <c r="BJ553" s="1"/>
      <c r="BK553" s="1"/>
      <c r="BL553" s="1"/>
      <c r="BM553" s="1"/>
      <c r="BN553" s="1"/>
      <c r="BO553" s="1"/>
      <c r="BP553" s="1"/>
      <c r="BQ553" s="1"/>
      <c r="BR553" s="1"/>
      <c r="BS553" s="1"/>
      <c r="BT553" s="1"/>
      <c r="BU553" s="1"/>
      <c r="BV553" s="1"/>
      <c r="BW553" s="1"/>
      <c r="BX553" s="1"/>
      <c r="BY553" s="1"/>
      <c r="BZ553" s="1"/>
      <c r="CA553" s="1"/>
      <c r="CB553" s="1"/>
    </row>
    <row r="554" spans="1:80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  <c r="BC554" s="1"/>
      <c r="BD554" s="1"/>
      <c r="BE554" s="1"/>
      <c r="BF554" s="1"/>
      <c r="BG554" s="1"/>
      <c r="BH554" s="1"/>
      <c r="BI554" s="1"/>
      <c r="BJ554" s="1"/>
      <c r="BK554" s="1"/>
      <c r="BL554" s="1"/>
      <c r="BM554" s="1"/>
      <c r="BN554" s="1"/>
      <c r="BO554" s="1"/>
      <c r="BP554" s="1"/>
      <c r="BQ554" s="1"/>
      <c r="BR554" s="1"/>
      <c r="BS554" s="1"/>
      <c r="BT554" s="1"/>
      <c r="BU554" s="1"/>
      <c r="BV554" s="1"/>
      <c r="BW554" s="1"/>
      <c r="BX554" s="1"/>
      <c r="BY554" s="1"/>
      <c r="BZ554" s="1"/>
      <c r="CA554" s="1"/>
      <c r="CB554" s="1"/>
    </row>
    <row r="555" spans="1:80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  <c r="BC555" s="1"/>
      <c r="BD555" s="1"/>
      <c r="BE555" s="1"/>
      <c r="BF555" s="1"/>
      <c r="BG555" s="1"/>
      <c r="BH555" s="1"/>
      <c r="BI555" s="1"/>
      <c r="BJ555" s="1"/>
      <c r="BK555" s="1"/>
      <c r="BL555" s="1"/>
      <c r="BM555" s="1"/>
      <c r="BN555" s="1"/>
      <c r="BO555" s="1"/>
      <c r="BP555" s="1"/>
      <c r="BQ555" s="1"/>
      <c r="BR555" s="1"/>
      <c r="BS555" s="1"/>
      <c r="BT555" s="1"/>
      <c r="BU555" s="1"/>
      <c r="BV555" s="1"/>
      <c r="BW555" s="1"/>
      <c r="BX555" s="1"/>
      <c r="BY555" s="1"/>
      <c r="BZ555" s="1"/>
      <c r="CA555" s="1"/>
      <c r="CB555" s="1"/>
    </row>
    <row r="556" spans="1:80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  <c r="BC556" s="1"/>
      <c r="BD556" s="1"/>
      <c r="BE556" s="1"/>
      <c r="BF556" s="1"/>
      <c r="BG556" s="1"/>
      <c r="BH556" s="1"/>
      <c r="BI556" s="1"/>
      <c r="BJ556" s="1"/>
      <c r="BK556" s="1"/>
      <c r="BL556" s="1"/>
      <c r="BM556" s="1"/>
      <c r="BN556" s="1"/>
      <c r="BO556" s="1"/>
      <c r="BP556" s="1"/>
      <c r="BQ556" s="1"/>
      <c r="BR556" s="1"/>
      <c r="BS556" s="1"/>
      <c r="BT556" s="1"/>
      <c r="BU556" s="1"/>
      <c r="BV556" s="1"/>
      <c r="BW556" s="1"/>
      <c r="BX556" s="1"/>
      <c r="BY556" s="1"/>
      <c r="BZ556" s="1"/>
      <c r="CA556" s="1"/>
      <c r="CB556" s="1"/>
    </row>
  </sheetData>
  <mergeCells count="32">
    <mergeCell ref="B24:G24"/>
    <mergeCell ref="Y16:Z16"/>
    <mergeCell ref="Y17:Z17"/>
    <mergeCell ref="A14:X14"/>
    <mergeCell ref="Y15:Z15"/>
    <mergeCell ref="Y18:Z18"/>
    <mergeCell ref="A15:X15"/>
    <mergeCell ref="A16:X16"/>
    <mergeCell ref="A17:X17"/>
    <mergeCell ref="A18:X18"/>
    <mergeCell ref="R5:Z5"/>
    <mergeCell ref="B19:Z20"/>
    <mergeCell ref="P2:Z2"/>
    <mergeCell ref="Y7:Z7"/>
    <mergeCell ref="Y12:Z12"/>
    <mergeCell ref="Y13:Z13"/>
    <mergeCell ref="Y8:Z8"/>
    <mergeCell ref="Y9:Z9"/>
    <mergeCell ref="Y10:Z10"/>
    <mergeCell ref="Y11:Z11"/>
    <mergeCell ref="Y14:Z14"/>
    <mergeCell ref="A8:X8"/>
    <mergeCell ref="A9:X9"/>
    <mergeCell ref="A10:X10"/>
    <mergeCell ref="A11:X11"/>
    <mergeCell ref="A13:X13"/>
    <mergeCell ref="A1:D1"/>
    <mergeCell ref="A2:D2"/>
    <mergeCell ref="A3:D3"/>
    <mergeCell ref="A4:D4"/>
    <mergeCell ref="S3:Z4"/>
    <mergeCell ref="J1:M2"/>
  </mergeCells>
  <pageMargins left="0.23622047244094491" right="0.23622047244094491" top="0.35433070866141736" bottom="0.74803149606299213" header="0" footer="0"/>
  <pageSetup paperSize="9" orientation="portrait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AP54"/>
  <sheetViews>
    <sheetView view="pageLayout" workbookViewId="0"/>
  </sheetViews>
  <sheetFormatPr defaultColWidth="9.140625" defaultRowHeight="15"/>
  <cols>
    <col min="1" max="12" width="2.42578125" customWidth="1"/>
    <col min="13" max="13" width="2.140625" customWidth="1"/>
    <col min="14" max="19" width="2.42578125" customWidth="1"/>
    <col min="20" max="20" width="2.85546875" customWidth="1"/>
    <col min="21" max="22" width="2.42578125" customWidth="1"/>
    <col min="23" max="23" width="1.140625" customWidth="1"/>
    <col min="24" max="24" width="2.42578125" customWidth="1"/>
    <col min="25" max="25" width="2.85546875" customWidth="1"/>
    <col min="26" max="33" width="2.42578125" customWidth="1"/>
    <col min="34" max="34" width="2.85546875" customWidth="1"/>
    <col min="35" max="37" width="2.42578125" customWidth="1"/>
    <col min="38" max="38" width="2.28515625" customWidth="1"/>
    <col min="39" max="41" width="2.42578125" customWidth="1"/>
  </cols>
  <sheetData>
    <row r="1" spans="1:42" ht="15.75">
      <c r="A1" s="39"/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13" t="s">
        <v>4</v>
      </c>
      <c r="U1" s="13"/>
      <c r="V1" s="18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39"/>
      <c r="AN1" s="39"/>
      <c r="AO1" s="39"/>
      <c r="AP1" s="39"/>
    </row>
    <row r="2" spans="1:42" ht="15.75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20" t="s">
        <v>5</v>
      </c>
      <c r="U2" s="124" t="s">
        <v>128</v>
      </c>
      <c r="V2" s="124"/>
      <c r="W2" s="124"/>
      <c r="X2" s="124"/>
      <c r="Y2" s="124"/>
      <c r="Z2" s="124"/>
      <c r="AA2" s="124"/>
      <c r="AB2" s="124"/>
      <c r="AC2" s="124"/>
      <c r="AD2" s="124"/>
      <c r="AE2" s="124"/>
      <c r="AF2" s="124"/>
      <c r="AG2" s="124"/>
      <c r="AH2" s="124"/>
      <c r="AI2" s="124"/>
      <c r="AJ2" s="124"/>
      <c r="AK2" s="124"/>
      <c r="AL2" s="124"/>
      <c r="AM2" s="39"/>
      <c r="AN2" s="39"/>
      <c r="AO2" s="39"/>
      <c r="AP2" s="39"/>
    </row>
    <row r="3" spans="1:42" ht="15.75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13" t="s">
        <v>48</v>
      </c>
      <c r="U3" s="13"/>
      <c r="V3" s="13"/>
      <c r="W3" s="133" t="s">
        <v>129</v>
      </c>
      <c r="X3" s="133"/>
      <c r="Y3" s="133"/>
      <c r="Z3" s="133"/>
      <c r="AA3" s="133"/>
      <c r="AB3" s="133"/>
      <c r="AC3" s="133"/>
      <c r="AD3" s="133"/>
      <c r="AE3" s="133"/>
      <c r="AF3" s="133"/>
      <c r="AG3" s="133"/>
      <c r="AH3" s="133"/>
      <c r="AI3" s="133"/>
      <c r="AJ3" s="133"/>
      <c r="AK3" s="133"/>
      <c r="AL3" s="13"/>
      <c r="AM3" s="39"/>
      <c r="AN3" s="39"/>
      <c r="AO3" s="39"/>
      <c r="AP3" s="39"/>
    </row>
    <row r="4" spans="1:42" ht="15.7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13"/>
      <c r="U4" s="13"/>
      <c r="V4" s="13"/>
      <c r="W4" s="134"/>
      <c r="X4" s="134"/>
      <c r="Y4" s="134"/>
      <c r="Z4" s="134"/>
      <c r="AA4" s="134"/>
      <c r="AB4" s="134"/>
      <c r="AC4" s="134"/>
      <c r="AD4" s="134"/>
      <c r="AE4" s="134"/>
      <c r="AF4" s="134"/>
      <c r="AG4" s="134"/>
      <c r="AH4" s="134"/>
      <c r="AI4" s="134"/>
      <c r="AJ4" s="134"/>
      <c r="AK4" s="134"/>
      <c r="AL4" s="13"/>
      <c r="AM4" s="39"/>
      <c r="AN4" s="39"/>
      <c r="AO4" s="39"/>
      <c r="AP4" s="39"/>
    </row>
    <row r="5" spans="1:42" ht="15.7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124" t="s">
        <v>119</v>
      </c>
      <c r="U5" s="124"/>
      <c r="V5" s="124"/>
      <c r="W5" s="124"/>
      <c r="X5" s="124"/>
      <c r="Y5" s="124"/>
      <c r="Z5" s="123" t="s">
        <v>130</v>
      </c>
      <c r="AA5" s="123"/>
      <c r="AB5" s="123"/>
      <c r="AC5" s="123"/>
      <c r="AD5" s="123"/>
      <c r="AE5" s="123"/>
      <c r="AF5" s="123"/>
      <c r="AG5" s="41" t="s">
        <v>49</v>
      </c>
      <c r="AH5" s="41"/>
      <c r="AI5" s="127" t="s">
        <v>131</v>
      </c>
      <c r="AJ5" s="127"/>
      <c r="AK5" s="127"/>
      <c r="AL5" s="127"/>
      <c r="AM5" s="39"/>
      <c r="AN5" s="39"/>
      <c r="AO5" s="39"/>
      <c r="AP5" s="39"/>
    </row>
    <row r="6" spans="1:42" ht="18" customHeight="1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135" t="s">
        <v>132</v>
      </c>
      <c r="U6" s="135"/>
      <c r="V6" s="135"/>
      <c r="W6" s="135"/>
      <c r="X6" s="135"/>
      <c r="Y6" s="135"/>
      <c r="Z6" s="135"/>
      <c r="AA6" s="135"/>
      <c r="AB6" s="135"/>
      <c r="AC6" s="135"/>
      <c r="AD6" s="135"/>
      <c r="AE6" s="135"/>
      <c r="AF6" s="135"/>
      <c r="AG6" s="135"/>
      <c r="AH6" s="135"/>
      <c r="AI6" s="135"/>
      <c r="AJ6" s="135"/>
      <c r="AK6" s="135"/>
      <c r="AL6" s="135"/>
      <c r="AM6" s="39"/>
      <c r="AN6" s="39"/>
      <c r="AO6" s="39"/>
      <c r="AP6" s="39"/>
    </row>
    <row r="7" spans="1:42" ht="10.5" customHeight="1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136"/>
      <c r="U7" s="136"/>
      <c r="V7" s="136"/>
      <c r="W7" s="136"/>
      <c r="X7" s="136"/>
      <c r="Y7" s="136"/>
      <c r="Z7" s="136"/>
      <c r="AA7" s="136"/>
      <c r="AB7" s="136"/>
      <c r="AC7" s="136"/>
      <c r="AD7" s="136"/>
      <c r="AE7" s="136"/>
      <c r="AF7" s="136"/>
      <c r="AG7" s="136"/>
      <c r="AH7" s="136"/>
      <c r="AI7" s="136"/>
      <c r="AJ7" s="136"/>
      <c r="AK7" s="136"/>
      <c r="AL7" s="136"/>
      <c r="AM7" s="39"/>
      <c r="AN7" s="39"/>
      <c r="AO7" s="39"/>
      <c r="AP7" s="39"/>
    </row>
    <row r="8" spans="1:42" ht="12.75" customHeight="1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42" t="s">
        <v>50</v>
      </c>
      <c r="U8" s="20"/>
      <c r="V8" s="20"/>
      <c r="W8" s="20"/>
      <c r="X8" s="20"/>
      <c r="Y8" s="20"/>
      <c r="Z8" s="124">
        <v>9105166194</v>
      </c>
      <c r="AA8" s="124"/>
      <c r="AB8" s="124"/>
      <c r="AC8" s="124"/>
      <c r="AD8" s="124"/>
      <c r="AE8" s="124"/>
      <c r="AF8" s="124"/>
      <c r="AG8" s="124"/>
      <c r="AH8" s="124"/>
      <c r="AI8" s="20"/>
      <c r="AJ8" s="20"/>
      <c r="AK8" s="20"/>
      <c r="AL8" s="20"/>
      <c r="AM8" s="39"/>
      <c r="AN8" s="39"/>
      <c r="AO8" s="39"/>
      <c r="AP8" s="39"/>
    </row>
    <row r="9" spans="1:42" ht="12" customHeight="1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</row>
    <row r="10" spans="1:42" ht="18.7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43" t="s">
        <v>51</v>
      </c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</row>
    <row r="11" spans="1:42" ht="15.75">
      <c r="A11" s="13"/>
      <c r="B11" s="13"/>
      <c r="C11" s="13" t="s">
        <v>52</v>
      </c>
      <c r="D11" s="13"/>
      <c r="E11" s="13"/>
      <c r="F11" s="13"/>
      <c r="G11" s="13"/>
      <c r="H11" s="13"/>
      <c r="I11" s="13"/>
      <c r="J11" s="13"/>
      <c r="K11" s="13"/>
      <c r="L11" s="13"/>
      <c r="M11" s="124" t="s">
        <v>133</v>
      </c>
      <c r="N11" s="124"/>
      <c r="O11" s="124"/>
      <c r="P11" s="124"/>
      <c r="Q11" s="124"/>
      <c r="R11" s="124"/>
      <c r="S11" s="124"/>
      <c r="T11" s="124"/>
      <c r="U11" s="124"/>
      <c r="V11" s="124"/>
      <c r="W11" s="124"/>
      <c r="X11" s="124"/>
      <c r="Y11" s="124"/>
      <c r="Z11" s="124"/>
      <c r="AA11" s="124"/>
      <c r="AB11" s="124"/>
      <c r="AC11" s="124"/>
      <c r="AD11" s="124"/>
      <c r="AE11" s="124"/>
      <c r="AF11" s="124"/>
      <c r="AG11" s="124"/>
      <c r="AH11" s="124"/>
      <c r="AI11" s="124"/>
      <c r="AJ11" s="124"/>
      <c r="AK11" s="124"/>
      <c r="AL11" s="124"/>
      <c r="AM11" s="39"/>
      <c r="AN11" s="39"/>
      <c r="AO11" s="39"/>
      <c r="AP11" s="39"/>
    </row>
    <row r="12" spans="1:42" ht="15.75">
      <c r="A12" s="13" t="s">
        <v>53</v>
      </c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27" t="s">
        <v>134</v>
      </c>
      <c r="M12" s="127"/>
      <c r="N12" s="127"/>
      <c r="O12" s="127"/>
      <c r="P12" s="127"/>
      <c r="Q12" s="127"/>
      <c r="R12" s="44"/>
      <c r="S12" s="44"/>
      <c r="V12" s="13" t="s">
        <v>54</v>
      </c>
      <c r="W12" s="13"/>
      <c r="X12" s="13"/>
      <c r="Y12" s="13"/>
      <c r="Z12" s="13"/>
      <c r="AA12" s="13"/>
      <c r="AB12" s="13"/>
      <c r="AC12" s="13"/>
      <c r="AD12" s="137" t="s">
        <v>135</v>
      </c>
      <c r="AE12" s="137"/>
      <c r="AF12" s="137"/>
      <c r="AG12" s="137"/>
      <c r="AH12" s="137"/>
      <c r="AI12" s="137"/>
      <c r="AJ12" s="137"/>
      <c r="AK12" s="137"/>
      <c r="AL12" s="137"/>
      <c r="AM12" s="39"/>
      <c r="AN12" s="39"/>
      <c r="AO12" s="39"/>
      <c r="AP12" s="39"/>
    </row>
    <row r="13" spans="1:42" ht="15.75">
      <c r="A13" s="13" t="s">
        <v>55</v>
      </c>
      <c r="B13" s="13"/>
      <c r="C13" s="13"/>
      <c r="D13" s="13"/>
      <c r="E13" s="128">
        <v>860</v>
      </c>
      <c r="F13" s="128"/>
      <c r="G13" s="128"/>
      <c r="H13" s="128"/>
      <c r="I13" s="128"/>
      <c r="J13" s="128"/>
      <c r="K13" s="128"/>
      <c r="L13" s="45" t="s">
        <v>21</v>
      </c>
      <c r="M13" s="132" t="str">
        <f>[1]!СуммаПрописью(E13)</f>
        <v>Восемьсот шестьдесят рублей 00 копеек</v>
      </c>
      <c r="N13" s="132"/>
      <c r="O13" s="132"/>
      <c r="P13" s="132"/>
      <c r="Q13" s="132"/>
      <c r="R13" s="132"/>
      <c r="S13" s="132"/>
      <c r="T13" s="132"/>
      <c r="U13" s="132"/>
      <c r="V13" s="132"/>
      <c r="W13" s="132"/>
      <c r="X13" s="132"/>
      <c r="Y13" s="132"/>
      <c r="Z13" s="132"/>
      <c r="AA13" s="132"/>
      <c r="AB13" s="132"/>
      <c r="AC13" s="132"/>
      <c r="AD13" s="132"/>
      <c r="AE13" s="132"/>
      <c r="AF13" s="132"/>
      <c r="AG13" s="132"/>
      <c r="AH13" s="132"/>
      <c r="AI13" s="132"/>
      <c r="AJ13" s="132"/>
      <c r="AK13" s="132"/>
      <c r="AL13" s="46" t="s">
        <v>56</v>
      </c>
      <c r="AM13" s="39"/>
      <c r="AN13" s="39"/>
      <c r="AO13" s="39"/>
      <c r="AP13" s="39"/>
    </row>
    <row r="14" spans="1:42" ht="15.75">
      <c r="A14" s="13" t="s">
        <v>57</v>
      </c>
      <c r="B14" s="13"/>
      <c r="C14" s="13"/>
      <c r="D14" s="13"/>
      <c r="E14" s="47"/>
      <c r="F14" s="47"/>
      <c r="G14" s="123" t="s">
        <v>117</v>
      </c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3"/>
      <c r="S14" s="123"/>
      <c r="T14" s="123"/>
      <c r="U14" s="123"/>
      <c r="V14" s="123"/>
      <c r="W14" s="123"/>
      <c r="X14" s="123"/>
      <c r="Y14" s="123"/>
      <c r="Z14" s="123"/>
      <c r="AA14" s="123"/>
      <c r="AB14" s="123"/>
      <c r="AC14" s="123"/>
      <c r="AD14" s="123"/>
      <c r="AE14" s="123"/>
      <c r="AF14" s="123"/>
      <c r="AG14" s="123"/>
      <c r="AH14" s="123"/>
      <c r="AI14" s="123"/>
      <c r="AJ14" s="123"/>
      <c r="AK14" s="123"/>
      <c r="AL14" s="123"/>
      <c r="AM14" s="39"/>
      <c r="AN14" s="39"/>
      <c r="AO14" s="39"/>
      <c r="AP14" s="39"/>
    </row>
    <row r="15" spans="1:42" ht="15.75">
      <c r="A15" s="13" t="s">
        <v>124</v>
      </c>
      <c r="B15" s="13"/>
      <c r="C15" s="13"/>
      <c r="D15" s="13"/>
      <c r="E15" s="13"/>
      <c r="F15" s="124" t="s">
        <v>122</v>
      </c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124"/>
      <c r="S15" s="48" t="s">
        <v>58</v>
      </c>
      <c r="T15" s="49"/>
      <c r="U15" s="49"/>
      <c r="V15" s="49"/>
      <c r="W15" s="49"/>
      <c r="X15" s="49"/>
      <c r="Y15" s="49"/>
      <c r="Z15" s="49"/>
      <c r="AA15" s="49"/>
      <c r="AB15" s="49"/>
      <c r="AC15" s="12"/>
      <c r="AD15" s="13"/>
      <c r="AE15" s="13"/>
      <c r="AF15" s="13"/>
      <c r="AG15" s="13"/>
      <c r="AH15" s="13"/>
      <c r="AI15" s="13"/>
      <c r="AJ15" s="13"/>
      <c r="AK15" s="13"/>
      <c r="AL15" s="13"/>
      <c r="AM15" s="39"/>
      <c r="AN15" s="39"/>
      <c r="AO15" s="39"/>
      <c r="AP15" s="39"/>
    </row>
    <row r="16" spans="1:42" ht="15" customHeight="1">
      <c r="A16" s="125" t="s">
        <v>59</v>
      </c>
      <c r="B16" s="125"/>
      <c r="C16" s="125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  <c r="R16" s="125"/>
      <c r="S16" s="125"/>
      <c r="T16" s="125"/>
      <c r="U16" s="125"/>
      <c r="V16" s="125"/>
      <c r="W16" s="125"/>
      <c r="X16" s="125"/>
      <c r="Y16" s="125"/>
      <c r="Z16" s="125"/>
      <c r="AA16" s="125"/>
      <c r="AB16" s="125"/>
      <c r="AC16" s="125"/>
      <c r="AD16" s="125"/>
      <c r="AE16" s="125"/>
      <c r="AF16" s="125"/>
      <c r="AG16" s="125"/>
      <c r="AH16" s="125"/>
      <c r="AI16" s="125"/>
      <c r="AJ16" s="125"/>
      <c r="AK16" s="125"/>
      <c r="AL16" s="125"/>
      <c r="AM16" s="39"/>
      <c r="AN16" s="39"/>
      <c r="AO16" s="39"/>
      <c r="AP16" s="39"/>
    </row>
    <row r="17" spans="1:42" ht="15.75">
      <c r="A17" s="50" t="s">
        <v>60</v>
      </c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26"/>
      <c r="O17" s="126"/>
      <c r="P17" s="126"/>
      <c r="Q17" s="126"/>
      <c r="R17" s="126"/>
      <c r="S17" s="126"/>
      <c r="T17" s="126"/>
      <c r="U17" s="126"/>
      <c r="V17" s="126"/>
      <c r="W17" s="126"/>
      <c r="X17" s="126"/>
      <c r="Y17" s="126"/>
      <c r="Z17" s="126"/>
      <c r="AA17" s="126"/>
      <c r="AB17" s="126"/>
      <c r="AC17" s="126"/>
      <c r="AD17" s="126"/>
      <c r="AE17" s="126"/>
      <c r="AF17" s="126"/>
      <c r="AG17" s="126"/>
      <c r="AH17" s="126"/>
      <c r="AI17" s="126"/>
      <c r="AJ17" s="126"/>
      <c r="AK17" s="126"/>
      <c r="AL17" s="126"/>
      <c r="AM17" s="13"/>
      <c r="AN17" s="13"/>
      <c r="AO17" s="13"/>
      <c r="AP17" s="39"/>
    </row>
    <row r="18" spans="1:42" ht="15.75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26"/>
      <c r="O18" s="126"/>
      <c r="P18" s="126"/>
      <c r="Q18" s="126"/>
      <c r="R18" s="126"/>
      <c r="S18" s="126"/>
      <c r="T18" s="126"/>
      <c r="U18" s="126"/>
      <c r="V18" s="126"/>
      <c r="W18" s="126"/>
      <c r="X18" s="126"/>
      <c r="Y18" s="126"/>
      <c r="Z18" s="126"/>
      <c r="AA18" s="126"/>
      <c r="AB18" s="126"/>
      <c r="AC18" s="126"/>
      <c r="AD18" s="126"/>
      <c r="AE18" s="126"/>
      <c r="AF18" s="126"/>
      <c r="AG18" s="126"/>
      <c r="AH18" s="126"/>
      <c r="AI18" s="126"/>
      <c r="AJ18" s="126"/>
      <c r="AK18" s="126"/>
      <c r="AL18" s="126"/>
      <c r="AM18" s="13"/>
      <c r="AN18" s="13"/>
      <c r="AO18" s="13"/>
      <c r="AP18" s="39"/>
    </row>
    <row r="19" spans="1:42" ht="15.75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27">
        <f ca="1">TODAY()</f>
        <v>45230</v>
      </c>
      <c r="P19" s="127"/>
      <c r="Q19" s="127"/>
      <c r="R19" s="127"/>
      <c r="S19" s="127"/>
      <c r="T19" s="41"/>
      <c r="U19" s="41"/>
      <c r="V19" s="41"/>
      <c r="W19" s="41"/>
      <c r="X19" s="41"/>
      <c r="Y19" s="41"/>
      <c r="Z19" s="41"/>
      <c r="AA19" s="41"/>
      <c r="AB19" s="41" t="s">
        <v>21</v>
      </c>
      <c r="AC19" s="40"/>
      <c r="AD19" s="40"/>
      <c r="AE19" s="40"/>
      <c r="AF19" s="40"/>
      <c r="AG19" s="40"/>
      <c r="AH19" s="40"/>
      <c r="AI19" s="40"/>
      <c r="AJ19" s="20"/>
      <c r="AK19" s="20"/>
      <c r="AL19" s="46" t="s">
        <v>21</v>
      </c>
      <c r="AM19" s="13"/>
      <c r="AN19" s="13"/>
      <c r="AO19" s="13"/>
      <c r="AP19" s="39"/>
    </row>
    <row r="20" spans="1:42" ht="15.75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51" t="s">
        <v>61</v>
      </c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39"/>
    </row>
    <row r="21" spans="1:42" ht="15.75">
      <c r="A21" s="13"/>
      <c r="B21" s="13" t="s">
        <v>62</v>
      </c>
      <c r="D21" s="13"/>
      <c r="E21" s="13"/>
      <c r="F21" s="13"/>
      <c r="G21" s="13"/>
      <c r="H21" s="128">
        <f>E13</f>
        <v>860</v>
      </c>
      <c r="I21" s="128"/>
      <c r="J21" s="128"/>
      <c r="K21" s="128"/>
      <c r="L21" s="128"/>
      <c r="M21" s="128"/>
      <c r="N21" s="128"/>
      <c r="O21" s="46" t="s">
        <v>21</v>
      </c>
      <c r="P21" s="124" t="str">
        <f>[1]!СуммаПрописью(E13)</f>
        <v>Восемьсот шестьдесят рублей 00 копеек</v>
      </c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46" t="s">
        <v>21</v>
      </c>
      <c r="AM21" s="13"/>
      <c r="AN21" s="13"/>
      <c r="AO21" s="13"/>
      <c r="AP21" s="39"/>
    </row>
    <row r="22" spans="1:42" ht="15.75">
      <c r="A22" s="13" t="s">
        <v>63</v>
      </c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39"/>
    </row>
    <row r="23" spans="1:42" ht="15.75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52" t="s">
        <v>64</v>
      </c>
      <c r="L23" s="20"/>
      <c r="M23" s="52" t="s">
        <v>65</v>
      </c>
      <c r="N23" s="5"/>
      <c r="O23" s="20"/>
      <c r="P23" s="5"/>
      <c r="Q23" s="20"/>
      <c r="R23" s="20"/>
      <c r="S23" s="40" t="s">
        <v>66</v>
      </c>
      <c r="T23" s="53"/>
      <c r="U23" s="5"/>
      <c r="V23" s="40"/>
      <c r="W23" s="40"/>
      <c r="X23" s="40"/>
      <c r="Y23" s="20"/>
      <c r="Z23" s="20"/>
      <c r="AA23" s="20"/>
      <c r="AB23" s="20" t="s">
        <v>21</v>
      </c>
      <c r="AC23" s="20"/>
      <c r="AD23" s="20"/>
      <c r="AE23" s="20"/>
      <c r="AF23" s="20"/>
      <c r="AG23" s="20"/>
      <c r="AH23" s="20"/>
      <c r="AI23" s="20"/>
      <c r="AJ23" s="20"/>
      <c r="AK23" s="20"/>
      <c r="AL23" s="46" t="s">
        <v>21</v>
      </c>
      <c r="AM23" s="13"/>
      <c r="AN23" s="13"/>
      <c r="AO23" s="13"/>
      <c r="AP23" s="39"/>
    </row>
    <row r="24" spans="1:42" ht="15.75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51" t="s">
        <v>61</v>
      </c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39"/>
    </row>
    <row r="25" spans="1:42" ht="18.75" customHeight="1">
      <c r="A25" s="54"/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 t="s">
        <v>67</v>
      </c>
      <c r="Q25" s="54"/>
      <c r="R25" s="54"/>
      <c r="S25" s="54"/>
      <c r="T25" s="54"/>
      <c r="U25" s="54"/>
      <c r="V25" s="54"/>
      <c r="W25" s="54"/>
      <c r="X25" s="54"/>
      <c r="Y25" s="54"/>
      <c r="Z25" s="54"/>
      <c r="AA25" s="54"/>
      <c r="AB25" s="54"/>
      <c r="AC25" s="54"/>
      <c r="AD25" s="54"/>
      <c r="AE25" s="54"/>
      <c r="AF25" s="54"/>
      <c r="AG25" s="54"/>
      <c r="AH25" s="54"/>
      <c r="AI25" s="54"/>
      <c r="AJ25" s="54"/>
      <c r="AK25" s="54"/>
      <c r="AL25" s="54"/>
      <c r="AM25" s="13"/>
      <c r="AN25" s="13"/>
      <c r="AO25" s="13"/>
      <c r="AP25" s="39"/>
    </row>
    <row r="26" spans="1:42" ht="30.75" customHeight="1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39"/>
    </row>
    <row r="27" spans="1:42" ht="15" customHeight="1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P27" s="55" t="s">
        <v>68</v>
      </c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39"/>
    </row>
    <row r="28" spans="1:42" ht="11.25" customHeight="1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29" t="s">
        <v>69</v>
      </c>
      <c r="P28" s="129"/>
      <c r="Q28" s="129"/>
      <c r="R28" s="129"/>
      <c r="S28" s="129"/>
      <c r="T28" s="129"/>
      <c r="U28" s="129"/>
      <c r="V28" s="129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39"/>
    </row>
    <row r="29" spans="1:42" ht="15.75">
      <c r="A29" s="13"/>
      <c r="B29" s="13"/>
      <c r="C29" s="13" t="s">
        <v>70</v>
      </c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0">
        <f ca="1">TODAY()</f>
        <v>45230</v>
      </c>
      <c r="P29" s="130"/>
      <c r="Q29" s="130"/>
      <c r="R29" s="130"/>
      <c r="S29" s="130"/>
      <c r="T29" s="130"/>
      <c r="U29" s="131"/>
      <c r="V29" s="48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39"/>
    </row>
    <row r="30" spans="1:42" ht="15.75">
      <c r="A30" s="13" t="s">
        <v>71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23" t="str">
        <f>AD12</f>
        <v>649193</v>
      </c>
      <c r="O30" s="123"/>
      <c r="P30" s="123"/>
      <c r="Q30" s="123"/>
      <c r="R30" s="123"/>
      <c r="S30" s="123"/>
      <c r="T30" s="123"/>
      <c r="U30" s="103"/>
      <c r="V30" s="49" t="s">
        <v>72</v>
      </c>
      <c r="W30" s="103"/>
      <c r="Y30" s="103"/>
      <c r="Z30" s="128">
        <f>E13</f>
        <v>860</v>
      </c>
      <c r="AA30" s="128"/>
      <c r="AB30" s="128"/>
      <c r="AC30" s="128"/>
      <c r="AD30" s="128"/>
      <c r="AE30" s="128"/>
      <c r="AF30" s="128"/>
      <c r="AG30" s="13" t="s">
        <v>73</v>
      </c>
      <c r="AI30" s="13"/>
      <c r="AJ30" s="13"/>
      <c r="AK30" s="13"/>
      <c r="AL30" s="13"/>
      <c r="AM30" s="13"/>
      <c r="AN30" s="13"/>
      <c r="AO30" s="13"/>
      <c r="AP30" s="39"/>
    </row>
    <row r="31" spans="1:42" ht="15.75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39"/>
    </row>
    <row r="32" spans="1:42" ht="15.75">
      <c r="A32" s="22" t="s">
        <v>74</v>
      </c>
      <c r="C32" s="22"/>
      <c r="D32" s="22"/>
      <c r="E32" s="22"/>
      <c r="F32" s="20"/>
      <c r="G32" s="20"/>
      <c r="H32" s="20"/>
      <c r="I32" s="20"/>
      <c r="J32" s="46" t="s">
        <v>21</v>
      </c>
      <c r="K32" s="132" t="s">
        <v>114</v>
      </c>
      <c r="L32" s="132"/>
      <c r="M32" s="132"/>
      <c r="N32" s="132"/>
      <c r="O32" s="132"/>
      <c r="P32" s="132"/>
      <c r="Q32" s="56" t="s">
        <v>21</v>
      </c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39"/>
    </row>
    <row r="33" spans="1:42" ht="6.75" customHeight="1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39"/>
    </row>
    <row r="34" spans="1:42" ht="29.25" customHeight="1">
      <c r="A34" s="122" t="s">
        <v>75</v>
      </c>
      <c r="B34" s="122"/>
      <c r="C34" s="122"/>
      <c r="D34" s="122"/>
      <c r="E34" s="122"/>
      <c r="F34" s="122"/>
      <c r="G34" s="122"/>
      <c r="H34" s="122"/>
      <c r="I34" s="122"/>
      <c r="J34" s="122"/>
      <c r="K34" s="122"/>
      <c r="L34" s="122"/>
      <c r="M34" s="122"/>
      <c r="N34" s="122"/>
      <c r="O34" s="122"/>
      <c r="P34" s="122"/>
      <c r="Q34" s="122"/>
      <c r="R34" s="122"/>
      <c r="S34" s="122"/>
      <c r="T34" s="122"/>
      <c r="U34" s="122"/>
      <c r="V34" s="122"/>
      <c r="W34" s="122"/>
      <c r="X34" s="122"/>
      <c r="Y34" s="122"/>
      <c r="Z34" s="122"/>
      <c r="AA34" s="122"/>
      <c r="AB34" s="122"/>
      <c r="AC34" s="122"/>
      <c r="AD34" s="122"/>
      <c r="AE34" s="122"/>
      <c r="AF34" s="122"/>
      <c r="AG34" s="122"/>
      <c r="AH34" s="122"/>
      <c r="AI34" s="122"/>
      <c r="AJ34" s="122"/>
      <c r="AK34" s="122"/>
      <c r="AL34" s="122"/>
      <c r="AM34" s="13"/>
      <c r="AN34" s="13"/>
      <c r="AO34" s="13"/>
      <c r="AP34" s="39"/>
    </row>
    <row r="35" spans="1:42" ht="15.7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39"/>
    </row>
    <row r="36" spans="1:42" ht="15.7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39"/>
    </row>
    <row r="37" spans="1:42" ht="15.7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39"/>
    </row>
    <row r="38" spans="1:42" ht="15.7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39"/>
    </row>
    <row r="39" spans="1:42" ht="15.7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39"/>
    </row>
    <row r="40" spans="1:42" ht="15.7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39"/>
    </row>
    <row r="41" spans="1:42" ht="15.7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39"/>
    </row>
    <row r="42" spans="1:42" ht="15.7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39"/>
    </row>
    <row r="43" spans="1:42" ht="15.7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39"/>
    </row>
    <row r="44" spans="1:42" ht="15.7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39"/>
    </row>
    <row r="45" spans="1:42" ht="15.7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39"/>
    </row>
    <row r="46" spans="1:42" ht="15.7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39"/>
    </row>
    <row r="47" spans="1:42" ht="15.7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39"/>
    </row>
    <row r="48" spans="1:42" ht="15.7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39"/>
    </row>
    <row r="49" spans="1:42" ht="15.75">
      <c r="A49" s="39"/>
      <c r="B49" s="39"/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</row>
    <row r="50" spans="1:42" ht="15.75">
      <c r="A50" s="39"/>
      <c r="B50" s="39"/>
      <c r="C50" s="39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</row>
    <row r="51" spans="1:42" ht="15.75">
      <c r="A51" s="39"/>
      <c r="B51" s="39"/>
      <c r="C51" s="39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</row>
    <row r="52" spans="1:42" ht="15.75">
      <c r="A52" s="39"/>
      <c r="B52" s="39"/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</row>
    <row r="53" spans="1:42" ht="15.75">
      <c r="A53" s="39"/>
      <c r="B53" s="39"/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</row>
    <row r="54" spans="1:42" ht="15.75">
      <c r="A54" s="39"/>
      <c r="B54" s="39"/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</row>
  </sheetData>
  <mergeCells count="25">
    <mergeCell ref="E13:K13"/>
    <mergeCell ref="M13:AK13"/>
    <mergeCell ref="M11:AL11"/>
    <mergeCell ref="L12:Q12"/>
    <mergeCell ref="AD12:AL12"/>
    <mergeCell ref="U2:AL2"/>
    <mergeCell ref="W3:AK4"/>
    <mergeCell ref="AI5:AL5"/>
    <mergeCell ref="T6:AL7"/>
    <mergeCell ref="Z8:AH8"/>
    <mergeCell ref="T5:Y5"/>
    <mergeCell ref="Z5:AF5"/>
    <mergeCell ref="A34:AL34"/>
    <mergeCell ref="G14:AL14"/>
    <mergeCell ref="F15:R15"/>
    <mergeCell ref="A16:AL16"/>
    <mergeCell ref="N17:AL18"/>
    <mergeCell ref="O19:S19"/>
    <mergeCell ref="H21:N21"/>
    <mergeCell ref="P21:AK21"/>
    <mergeCell ref="O28:V28"/>
    <mergeCell ref="O29:U29"/>
    <mergeCell ref="K32:P32"/>
    <mergeCell ref="N30:T30"/>
    <mergeCell ref="Z30:AF30"/>
  </mergeCells>
  <printOptions horizontalCentered="1"/>
  <pageMargins left="0.62992125984251968" right="0.43307086614173229" top="0.55118110236220474" bottom="0.74803149606299213" header="0" footer="0"/>
  <pageSetup paperSize="9" orientation="portrait" horizontalDpi="180" verticalDpi="18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5"/>
  <dimension ref="A1:Q32"/>
  <sheetViews>
    <sheetView view="pageLayout" workbookViewId="0"/>
  </sheetViews>
  <sheetFormatPr defaultRowHeight="15"/>
  <cols>
    <col min="3" max="3" width="1.42578125" customWidth="1"/>
    <col min="4" max="4" width="9.85546875" customWidth="1"/>
    <col min="5" max="5" width="5.7109375" customWidth="1"/>
    <col min="6" max="6" width="3.7109375" customWidth="1"/>
    <col min="7" max="7" width="4.85546875" customWidth="1"/>
    <col min="8" max="8" width="5.7109375" customWidth="1"/>
    <col min="9" max="9" width="6.7109375" customWidth="1"/>
    <col min="10" max="10" width="5.28515625" customWidth="1"/>
    <col min="11" max="11" width="4" customWidth="1"/>
    <col min="12" max="12" width="5.7109375" customWidth="1"/>
    <col min="13" max="13" width="4.28515625" customWidth="1"/>
    <col min="14" max="14" width="5.140625" customWidth="1"/>
    <col min="15" max="15" width="4.28515625" customWidth="1"/>
    <col min="16" max="16" width="4.7109375" customWidth="1"/>
    <col min="17" max="17" width="6" customWidth="1"/>
    <col min="18" max="18" width="4.85546875" customWidth="1"/>
  </cols>
  <sheetData>
    <row r="1" spans="1:17" ht="15.75">
      <c r="I1" s="60" t="s">
        <v>76</v>
      </c>
      <c r="J1" s="60"/>
    </row>
    <row r="2" spans="1:17" ht="15.75">
      <c r="I2" s="60" t="s">
        <v>77</v>
      </c>
      <c r="J2" s="60"/>
    </row>
    <row r="3" spans="1:17" ht="15.75">
      <c r="I3" s="138"/>
      <c r="J3" s="138"/>
      <c r="K3" s="138"/>
      <c r="L3" s="138"/>
      <c r="M3" s="138"/>
      <c r="N3" s="138"/>
      <c r="O3" s="138"/>
      <c r="P3" s="138"/>
      <c r="Q3" s="138"/>
    </row>
    <row r="4" spans="1:17" ht="15.75">
      <c r="I4" s="104"/>
      <c r="J4" s="64"/>
      <c r="K4" s="143"/>
      <c r="L4" s="143"/>
      <c r="M4" s="143"/>
      <c r="N4" s="143"/>
      <c r="O4" s="143"/>
      <c r="P4" s="61" t="s">
        <v>49</v>
      </c>
    </row>
    <row r="5" spans="1:17" ht="17.25" customHeight="1">
      <c r="I5" s="63" t="s">
        <v>81</v>
      </c>
      <c r="J5" s="139"/>
      <c r="K5" s="139"/>
      <c r="L5" s="139"/>
      <c r="M5" s="139"/>
      <c r="N5" s="139"/>
      <c r="O5" s="139"/>
      <c r="P5" s="139"/>
      <c r="Q5" s="139"/>
    </row>
    <row r="6" spans="1:17" ht="15" customHeight="1">
      <c r="I6" s="12"/>
      <c r="J6" s="139"/>
      <c r="K6" s="139"/>
      <c r="L6" s="139"/>
      <c r="M6" s="139"/>
      <c r="N6" s="139"/>
      <c r="O6" s="139"/>
      <c r="P6" s="139"/>
      <c r="Q6" s="139"/>
    </row>
    <row r="7" spans="1:17" ht="15.75">
      <c r="I7" s="61" t="s">
        <v>82</v>
      </c>
      <c r="J7" s="140"/>
      <c r="K7" s="140"/>
      <c r="L7" s="140"/>
      <c r="M7" s="62"/>
      <c r="N7" s="62"/>
    </row>
    <row r="8" spans="1:17" ht="15.75" customHeight="1">
      <c r="I8" s="60" t="s">
        <v>79</v>
      </c>
      <c r="J8" s="141"/>
      <c r="K8" s="141"/>
      <c r="L8" s="141"/>
      <c r="M8" s="141"/>
      <c r="N8" s="141"/>
      <c r="O8" s="141"/>
      <c r="P8" s="141"/>
      <c r="Q8" s="141"/>
    </row>
    <row r="9" spans="1:17" ht="15.75">
      <c r="I9" s="60"/>
      <c r="J9" s="141"/>
      <c r="K9" s="141"/>
      <c r="L9" s="141"/>
      <c r="M9" s="141"/>
      <c r="N9" s="141"/>
      <c r="O9" s="141"/>
      <c r="P9" s="141"/>
      <c r="Q9" s="141"/>
    </row>
    <row r="10" spans="1:17" ht="15.75">
      <c r="I10" s="60" t="s">
        <v>80</v>
      </c>
      <c r="J10" s="142"/>
      <c r="K10" s="142"/>
      <c r="L10" s="142"/>
      <c r="M10" s="142"/>
      <c r="N10" s="75"/>
    </row>
    <row r="11" spans="1:17" ht="18.75">
      <c r="A11" s="57"/>
    </row>
    <row r="12" spans="1:17" ht="18.75">
      <c r="A12" s="57"/>
    </row>
    <row r="13" spans="1:17" ht="18.75">
      <c r="A13" s="57"/>
    </row>
    <row r="14" spans="1:17" ht="18.75">
      <c r="A14" s="57"/>
    </row>
    <row r="15" spans="1:17" ht="18.75">
      <c r="A15" s="57"/>
      <c r="H15" s="85" t="s">
        <v>78</v>
      </c>
    </row>
    <row r="17" spans="1:17" ht="60.75" customHeight="1">
      <c r="B17" s="144" t="s">
        <v>90</v>
      </c>
      <c r="C17" s="144"/>
      <c r="D17" s="144"/>
      <c r="E17" s="144"/>
      <c r="F17" s="144"/>
      <c r="G17" s="144"/>
      <c r="H17" s="144"/>
      <c r="I17" s="144"/>
      <c r="J17" s="144"/>
      <c r="K17" s="144"/>
      <c r="L17" s="144"/>
      <c r="M17" s="144"/>
      <c r="N17" s="144"/>
      <c r="O17" s="144"/>
      <c r="P17" s="144"/>
      <c r="Q17" s="144"/>
    </row>
    <row r="18" spans="1:17" ht="16.5" customHeight="1">
      <c r="B18" s="69" t="s">
        <v>83</v>
      </c>
      <c r="C18" s="5"/>
      <c r="D18" s="5"/>
      <c r="E18" s="5"/>
      <c r="F18" s="5"/>
      <c r="G18" s="5"/>
      <c r="H18" s="149"/>
      <c r="I18" s="149"/>
      <c r="J18" s="149"/>
      <c r="K18" s="149"/>
      <c r="L18" s="149"/>
      <c r="M18" s="149"/>
      <c r="N18" s="5"/>
      <c r="O18" s="5"/>
      <c r="P18" s="5"/>
      <c r="Q18" s="5"/>
    </row>
    <row r="19" spans="1:17" ht="18.75" customHeight="1">
      <c r="A19" s="65"/>
      <c r="B19" s="78" t="s">
        <v>86</v>
      </c>
      <c r="C19" s="79"/>
      <c r="D19" s="148"/>
      <c r="E19" s="148"/>
      <c r="F19" s="79"/>
      <c r="G19" s="79"/>
      <c r="H19" s="79"/>
      <c r="I19" s="79"/>
      <c r="J19" s="79"/>
      <c r="K19" s="79"/>
      <c r="L19" s="77"/>
      <c r="M19" s="77"/>
      <c r="N19" s="77"/>
      <c r="O19" s="77"/>
      <c r="P19" s="77"/>
      <c r="Q19" s="77"/>
    </row>
    <row r="20" spans="1:17" ht="18.75">
      <c r="A20" s="58"/>
      <c r="B20" s="80" t="s">
        <v>87</v>
      </c>
      <c r="C20" s="77"/>
      <c r="D20" s="77"/>
      <c r="E20" s="150"/>
      <c r="F20" s="150"/>
      <c r="G20" s="150"/>
      <c r="H20" s="77"/>
      <c r="I20" s="77"/>
      <c r="J20" s="77"/>
      <c r="K20" s="77"/>
      <c r="L20" s="77"/>
      <c r="M20" s="77"/>
      <c r="N20" s="77"/>
      <c r="O20" s="77"/>
      <c r="P20" s="77"/>
      <c r="Q20" s="77"/>
    </row>
    <row r="21" spans="1:17" ht="18.75">
      <c r="A21" s="66"/>
      <c r="B21" s="78" t="s">
        <v>125</v>
      </c>
      <c r="C21" s="78"/>
      <c r="D21" s="81"/>
      <c r="E21" s="150"/>
      <c r="F21" s="150"/>
      <c r="G21" s="78" t="s">
        <v>5</v>
      </c>
      <c r="H21" s="147"/>
      <c r="I21" s="148"/>
      <c r="J21" s="148"/>
      <c r="K21" s="78"/>
      <c r="L21" s="77"/>
      <c r="M21" s="77"/>
      <c r="N21" s="77"/>
      <c r="O21" s="77"/>
      <c r="P21" s="77"/>
      <c r="Q21" s="77"/>
    </row>
    <row r="22" spans="1:17">
      <c r="A22" s="59"/>
    </row>
    <row r="23" spans="1:17">
      <c r="A23" s="59"/>
    </row>
    <row r="31" spans="1:17" ht="18.75">
      <c r="B31" s="145">
        <f ca="1">TODAY()</f>
        <v>45230</v>
      </c>
      <c r="C31" s="145"/>
      <c r="D31" s="145"/>
      <c r="E31" s="145"/>
      <c r="H31" s="5"/>
      <c r="I31" s="5"/>
      <c r="J31" s="5"/>
      <c r="K31" s="5" t="s">
        <v>21</v>
      </c>
      <c r="L31" s="5"/>
      <c r="M31" s="5"/>
      <c r="N31" s="5"/>
      <c r="O31" s="5"/>
      <c r="P31" s="5"/>
      <c r="Q31" s="83" t="s">
        <v>21</v>
      </c>
    </row>
    <row r="32" spans="1:17">
      <c r="I32" s="4" t="s">
        <v>88</v>
      </c>
      <c r="L32" s="146" t="s">
        <v>89</v>
      </c>
      <c r="M32" s="146"/>
      <c r="N32" s="146"/>
      <c r="O32" s="146"/>
      <c r="P32" s="146"/>
    </row>
  </sheetData>
  <mergeCells count="14">
    <mergeCell ref="B17:Q17"/>
    <mergeCell ref="B31:E31"/>
    <mergeCell ref="L32:P32"/>
    <mergeCell ref="H21:J21"/>
    <mergeCell ref="H18:M18"/>
    <mergeCell ref="D19:E19"/>
    <mergeCell ref="E20:G20"/>
    <mergeCell ref="E21:F21"/>
    <mergeCell ref="I3:Q3"/>
    <mergeCell ref="J5:Q6"/>
    <mergeCell ref="J7:L7"/>
    <mergeCell ref="J8:Q9"/>
    <mergeCell ref="J10:M10"/>
    <mergeCell ref="K4:O4"/>
  </mergeCells>
  <pageMargins left="0.23622047244094491" right="0.23622047244094491" top="0.59055118110236227" bottom="0.59055118110236227" header="0" footer="0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6"/>
  <dimension ref="A1:R32"/>
  <sheetViews>
    <sheetView view="pageLayout" zoomScale="90" zoomScalePageLayoutView="90" workbookViewId="0"/>
  </sheetViews>
  <sheetFormatPr defaultRowHeight="15"/>
  <cols>
    <col min="1" max="1" width="4.28515625" customWidth="1"/>
    <col min="2" max="2" width="6" customWidth="1"/>
    <col min="3" max="3" width="9.140625" customWidth="1"/>
    <col min="4" max="4" width="1.42578125" customWidth="1"/>
    <col min="6" max="6" width="5.7109375" customWidth="1"/>
    <col min="7" max="7" width="5" customWidth="1"/>
    <col min="8" max="8" width="3.28515625" customWidth="1"/>
    <col min="9" max="9" width="8.85546875" customWidth="1"/>
    <col min="10" max="10" width="6.7109375" customWidth="1"/>
    <col min="11" max="11" width="5.28515625" customWidth="1"/>
    <col min="12" max="12" width="4" customWidth="1"/>
    <col min="13" max="13" width="5.7109375" customWidth="1"/>
    <col min="14" max="14" width="4.28515625" customWidth="1"/>
    <col min="15" max="15" width="5.140625" customWidth="1"/>
    <col min="16" max="16" width="4.28515625" customWidth="1"/>
    <col min="17" max="17" width="4.7109375" customWidth="1"/>
    <col min="18" max="18" width="6" customWidth="1"/>
    <col min="19" max="19" width="4.85546875" customWidth="1"/>
  </cols>
  <sheetData>
    <row r="1" spans="2:18" ht="15.75">
      <c r="J1" s="60" t="s">
        <v>76</v>
      </c>
      <c r="K1" s="60"/>
    </row>
    <row r="2" spans="2:18" ht="15.75">
      <c r="J2" s="60" t="s">
        <v>77</v>
      </c>
      <c r="K2" s="60"/>
    </row>
    <row r="3" spans="2:18" ht="15.75">
      <c r="J3" s="104"/>
      <c r="K3" s="64"/>
      <c r="L3" s="64"/>
      <c r="M3" s="64"/>
      <c r="N3" s="64"/>
      <c r="O3" s="64"/>
      <c r="P3" s="64"/>
      <c r="Q3" s="64"/>
      <c r="R3" s="64"/>
    </row>
    <row r="4" spans="2:18" ht="15.75">
      <c r="J4" s="104"/>
      <c r="K4" s="64"/>
      <c r="L4" s="143"/>
      <c r="M4" s="143"/>
      <c r="N4" s="143"/>
      <c r="O4" s="143"/>
      <c r="P4" s="143"/>
      <c r="Q4" s="61" t="s">
        <v>49</v>
      </c>
    </row>
    <row r="5" spans="2:18" ht="17.25" customHeight="1">
      <c r="J5" s="63" t="s">
        <v>81</v>
      </c>
      <c r="K5" s="139"/>
      <c r="L5" s="139"/>
      <c r="M5" s="139"/>
      <c r="N5" s="139"/>
      <c r="O5" s="139"/>
      <c r="P5" s="139"/>
      <c r="Q5" s="139"/>
      <c r="R5" s="139"/>
    </row>
    <row r="6" spans="2:18" ht="15" customHeight="1">
      <c r="J6" s="12"/>
      <c r="K6" s="139"/>
      <c r="L6" s="139"/>
      <c r="M6" s="139"/>
      <c r="N6" s="139"/>
      <c r="O6" s="139"/>
      <c r="P6" s="139"/>
      <c r="Q6" s="139"/>
      <c r="R6" s="139"/>
    </row>
    <row r="7" spans="2:18" ht="15.75">
      <c r="J7" s="61" t="s">
        <v>82</v>
      </c>
      <c r="K7" s="140"/>
      <c r="L7" s="140"/>
      <c r="M7" s="140"/>
      <c r="N7" s="62"/>
      <c r="O7" s="62"/>
    </row>
    <row r="8" spans="2:18" ht="15.75" customHeight="1">
      <c r="J8" s="60" t="s">
        <v>79</v>
      </c>
      <c r="K8" s="141"/>
      <c r="L8" s="141"/>
      <c r="M8" s="141"/>
      <c r="N8" s="141"/>
      <c r="O8" s="141"/>
      <c r="P8" s="141"/>
      <c r="Q8" s="141"/>
      <c r="R8" s="141"/>
    </row>
    <row r="9" spans="2:18" ht="15.75">
      <c r="J9" s="60"/>
      <c r="K9" s="141"/>
      <c r="L9" s="141"/>
      <c r="M9" s="141"/>
      <c r="N9" s="141"/>
      <c r="O9" s="141"/>
      <c r="P9" s="141"/>
      <c r="Q9" s="141"/>
      <c r="R9" s="141"/>
    </row>
    <row r="10" spans="2:18" ht="15.75">
      <c r="J10" s="60" t="s">
        <v>80</v>
      </c>
      <c r="K10" s="142"/>
      <c r="L10" s="142"/>
      <c r="M10" s="142"/>
      <c r="N10" s="142"/>
      <c r="O10" s="75"/>
    </row>
    <row r="11" spans="2:18" ht="18.75">
      <c r="B11" s="57"/>
    </row>
    <row r="12" spans="2:18" ht="18.75">
      <c r="B12" s="57"/>
    </row>
    <row r="13" spans="2:18" ht="18.75">
      <c r="B13" s="57"/>
    </row>
    <row r="14" spans="2:18" ht="18.75">
      <c r="B14" s="57"/>
    </row>
    <row r="15" spans="2:18" ht="18.75">
      <c r="B15" s="57"/>
      <c r="I15" s="85" t="s">
        <v>78</v>
      </c>
    </row>
    <row r="17" spans="1:18" ht="20.25" customHeight="1">
      <c r="B17" s="89" t="s">
        <v>91</v>
      </c>
      <c r="C17" s="154" t="str">
        <f>LEFT(J3,100)</f>
        <v/>
      </c>
      <c r="D17" s="154"/>
      <c r="E17" s="154"/>
      <c r="F17" s="154"/>
      <c r="G17" s="154"/>
      <c r="H17" s="154"/>
      <c r="I17" s="154"/>
      <c r="J17" s="154"/>
      <c r="K17" s="154"/>
      <c r="L17" s="84" t="s">
        <v>92</v>
      </c>
      <c r="M17" s="153"/>
      <c r="N17" s="153"/>
      <c r="O17" s="153"/>
      <c r="P17" s="153"/>
      <c r="Q17" s="153"/>
      <c r="R17" s="87" t="s">
        <v>93</v>
      </c>
    </row>
    <row r="18" spans="1:18" ht="16.5" customHeight="1">
      <c r="A18" s="151" t="s">
        <v>94</v>
      </c>
      <c r="B18" s="151"/>
      <c r="C18" s="151"/>
      <c r="D18" s="151"/>
      <c r="E18" s="151"/>
      <c r="F18" s="151"/>
      <c r="G18" s="151"/>
      <c r="H18" s="151"/>
      <c r="I18" s="151"/>
      <c r="J18" s="151"/>
      <c r="K18" s="151"/>
      <c r="L18" s="151"/>
      <c r="M18" s="151"/>
      <c r="N18" s="151"/>
      <c r="O18" s="151"/>
      <c r="P18" s="151"/>
      <c r="Q18" s="151"/>
      <c r="R18" s="151"/>
    </row>
    <row r="19" spans="1:18" ht="18.75" customHeight="1">
      <c r="A19" s="86" t="s">
        <v>95</v>
      </c>
      <c r="C19" s="72"/>
      <c r="D19" s="72"/>
      <c r="E19" s="72"/>
      <c r="F19" s="72"/>
      <c r="G19" s="72"/>
      <c r="H19" s="72"/>
      <c r="I19" s="72"/>
      <c r="J19" s="155"/>
      <c r="K19" s="155"/>
      <c r="L19" s="155"/>
      <c r="M19" s="155"/>
      <c r="N19" s="155"/>
      <c r="O19" s="155"/>
      <c r="P19" s="155"/>
      <c r="Q19" s="155"/>
      <c r="R19" s="90" t="s">
        <v>92</v>
      </c>
    </row>
    <row r="20" spans="1:18" ht="18.75" customHeight="1">
      <c r="A20" s="86" t="s">
        <v>84</v>
      </c>
      <c r="C20" s="149"/>
      <c r="D20" s="149"/>
      <c r="E20" s="149"/>
      <c r="F20" s="86" t="s">
        <v>102</v>
      </c>
      <c r="G20" s="86"/>
      <c r="H20" s="86"/>
      <c r="I20" s="70"/>
      <c r="J20" s="156"/>
      <c r="K20" s="157"/>
      <c r="L20" s="86" t="s">
        <v>97</v>
      </c>
      <c r="M20" s="70"/>
      <c r="N20" s="70"/>
      <c r="O20" s="70"/>
      <c r="P20" s="70"/>
      <c r="Q20" s="70"/>
      <c r="R20" s="70"/>
    </row>
    <row r="21" spans="1:18" ht="18.75">
      <c r="B21" s="152">
        <f ca="1">TODAY()-1</f>
        <v>45229</v>
      </c>
      <c r="C21" s="152"/>
      <c r="D21" s="152"/>
      <c r="E21" s="152"/>
      <c r="F21" s="73" t="s">
        <v>98</v>
      </c>
      <c r="G21" s="73"/>
      <c r="H21" s="71"/>
      <c r="I21" s="71"/>
      <c r="J21" s="71"/>
      <c r="K21" s="71"/>
      <c r="L21" s="71"/>
      <c r="M21" s="70"/>
      <c r="N21" s="70"/>
      <c r="O21" s="70"/>
      <c r="P21" s="70"/>
      <c r="Q21" s="70"/>
      <c r="R21" s="70"/>
    </row>
    <row r="22" spans="1:18" ht="18.75">
      <c r="A22" s="149"/>
      <c r="B22" s="149"/>
      <c r="C22" s="149"/>
      <c r="D22" s="149"/>
      <c r="E22" s="149"/>
      <c r="F22" s="149"/>
      <c r="G22" s="149"/>
      <c r="H22" s="149"/>
      <c r="I22" s="149"/>
      <c r="J22" s="149"/>
      <c r="K22" s="149"/>
      <c r="L22" s="149"/>
      <c r="M22" s="149"/>
      <c r="N22" s="149"/>
      <c r="O22" s="149"/>
      <c r="P22" s="149"/>
      <c r="Q22" s="149"/>
      <c r="R22" s="149"/>
    </row>
    <row r="23" spans="1:18" ht="18.75">
      <c r="B23" s="86" t="s">
        <v>99</v>
      </c>
    </row>
    <row r="24" spans="1:18" ht="18.75">
      <c r="B24" s="86" t="s">
        <v>100</v>
      </c>
    </row>
    <row r="25" spans="1:18" ht="18.75">
      <c r="A25" s="86" t="s">
        <v>101</v>
      </c>
    </row>
    <row r="31" spans="1:18" ht="18.75">
      <c r="C31" s="145">
        <f ca="1">TODAY()</f>
        <v>45230</v>
      </c>
      <c r="D31" s="145"/>
      <c r="E31" s="145"/>
      <c r="F31" s="145"/>
      <c r="I31" s="5"/>
      <c r="J31" s="5"/>
      <c r="K31" s="5"/>
      <c r="L31" s="5" t="s">
        <v>21</v>
      </c>
      <c r="M31" s="5"/>
      <c r="N31" s="5"/>
      <c r="O31" s="5"/>
      <c r="P31" s="5"/>
      <c r="Q31" s="5"/>
      <c r="R31" s="83" t="s">
        <v>21</v>
      </c>
    </row>
    <row r="32" spans="1:18">
      <c r="J32" s="4" t="s">
        <v>88</v>
      </c>
      <c r="M32" s="146" t="s">
        <v>89</v>
      </c>
      <c r="N32" s="146"/>
      <c r="O32" s="146"/>
      <c r="P32" s="146"/>
      <c r="Q32" s="146"/>
    </row>
  </sheetData>
  <mergeCells count="15">
    <mergeCell ref="A18:R18"/>
    <mergeCell ref="B21:E21"/>
    <mergeCell ref="A22:R22"/>
    <mergeCell ref="M32:Q32"/>
    <mergeCell ref="M17:Q17"/>
    <mergeCell ref="C17:K17"/>
    <mergeCell ref="C31:F31"/>
    <mergeCell ref="J19:Q19"/>
    <mergeCell ref="C20:E20"/>
    <mergeCell ref="J20:K20"/>
    <mergeCell ref="K10:N10"/>
    <mergeCell ref="K5:R6"/>
    <mergeCell ref="K7:M7"/>
    <mergeCell ref="K8:R9"/>
    <mergeCell ref="L4:P4"/>
  </mergeCells>
  <pageMargins left="0.23622047244094491" right="0.23622047244094491" top="0.59055118110236227" bottom="0.59055118110236227" header="0" footer="0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7"/>
  <dimension ref="A1:R33"/>
  <sheetViews>
    <sheetView view="pageLayout" workbookViewId="0"/>
  </sheetViews>
  <sheetFormatPr defaultRowHeight="15"/>
  <cols>
    <col min="1" max="1" width="4.28515625" customWidth="1"/>
    <col min="2" max="2" width="6" customWidth="1"/>
    <col min="3" max="3" width="9.140625" customWidth="1"/>
    <col min="4" max="4" width="1.42578125" customWidth="1"/>
    <col min="5" max="5" width="9.140625" customWidth="1"/>
    <col min="6" max="6" width="3.140625" customWidth="1"/>
    <col min="7" max="7" width="5" customWidth="1"/>
    <col min="8" max="8" width="3.28515625" customWidth="1"/>
    <col min="9" max="9" width="8.85546875" customWidth="1"/>
    <col min="10" max="10" width="6.7109375" customWidth="1"/>
    <col min="11" max="11" width="5.28515625" customWidth="1"/>
    <col min="12" max="12" width="4" customWidth="1"/>
    <col min="13" max="13" width="5.7109375" customWidth="1"/>
    <col min="14" max="14" width="4.28515625" customWidth="1"/>
    <col min="15" max="15" width="5.140625" customWidth="1"/>
    <col min="16" max="16" width="4.28515625" customWidth="1"/>
    <col min="17" max="17" width="4.7109375" customWidth="1"/>
    <col min="18" max="18" width="8.42578125" customWidth="1"/>
    <col min="19" max="19" width="4.28515625" customWidth="1"/>
  </cols>
  <sheetData>
    <row r="1" spans="2:18" ht="15.75">
      <c r="J1" s="60" t="s">
        <v>76</v>
      </c>
      <c r="K1" s="60"/>
    </row>
    <row r="2" spans="2:18" ht="15.75">
      <c r="J2" s="60" t="s">
        <v>77</v>
      </c>
      <c r="K2" s="60"/>
    </row>
    <row r="3" spans="2:18" ht="15.75">
      <c r="J3" s="105"/>
      <c r="K3" s="64"/>
      <c r="L3" s="64"/>
      <c r="M3" s="64"/>
      <c r="N3" s="64"/>
      <c r="O3" s="64"/>
      <c r="P3" s="64"/>
      <c r="Q3" s="64"/>
      <c r="R3" s="64"/>
    </row>
    <row r="4" spans="2:18" ht="15.75">
      <c r="J4" s="105"/>
      <c r="K4" s="64"/>
      <c r="L4" s="143"/>
      <c r="M4" s="143"/>
      <c r="N4" s="143"/>
      <c r="O4" s="143"/>
      <c r="P4" s="143"/>
      <c r="Q4" s="61" t="s">
        <v>49</v>
      </c>
    </row>
    <row r="5" spans="2:18" ht="17.25" customHeight="1">
      <c r="J5" s="63" t="s">
        <v>81</v>
      </c>
      <c r="K5" s="139"/>
      <c r="L5" s="139"/>
      <c r="M5" s="139"/>
      <c r="N5" s="139"/>
      <c r="O5" s="139"/>
      <c r="P5" s="139"/>
      <c r="Q5" s="139"/>
      <c r="R5" s="139"/>
    </row>
    <row r="6" spans="2:18" ht="15" customHeight="1">
      <c r="J6" s="12"/>
      <c r="K6" s="139"/>
      <c r="L6" s="139"/>
      <c r="M6" s="139"/>
      <c r="N6" s="139"/>
      <c r="O6" s="139"/>
      <c r="P6" s="139"/>
      <c r="Q6" s="139"/>
      <c r="R6" s="139"/>
    </row>
    <row r="7" spans="2:18" ht="15.75">
      <c r="J7" s="61" t="s">
        <v>82</v>
      </c>
      <c r="K7" s="140"/>
      <c r="L7" s="140"/>
      <c r="M7" s="140"/>
      <c r="N7" s="62"/>
      <c r="O7" s="62"/>
    </row>
    <row r="8" spans="2:18" ht="15.75" customHeight="1">
      <c r="J8" s="60" t="s">
        <v>79</v>
      </c>
      <c r="K8" s="141"/>
      <c r="L8" s="141"/>
      <c r="M8" s="141"/>
      <c r="N8" s="141"/>
      <c r="O8" s="141"/>
      <c r="P8" s="141"/>
      <c r="Q8" s="141"/>
      <c r="R8" s="141"/>
    </row>
    <row r="9" spans="2:18" ht="15.75">
      <c r="J9" s="60"/>
      <c r="K9" s="141"/>
      <c r="L9" s="141"/>
      <c r="M9" s="141"/>
      <c r="N9" s="141"/>
      <c r="O9" s="141"/>
      <c r="P9" s="141"/>
      <c r="Q9" s="141"/>
      <c r="R9" s="141"/>
    </row>
    <row r="10" spans="2:18" ht="15.75">
      <c r="J10" s="60" t="s">
        <v>80</v>
      </c>
      <c r="K10" s="142"/>
      <c r="L10" s="142"/>
      <c r="M10" s="142"/>
      <c r="N10" s="142"/>
      <c r="O10" s="75"/>
    </row>
    <row r="11" spans="2:18" ht="18.75">
      <c r="B11" s="57"/>
    </row>
    <row r="12" spans="2:18" ht="18.75">
      <c r="B12" s="57"/>
    </row>
    <row r="13" spans="2:18" ht="18.75">
      <c r="B13" s="57"/>
    </row>
    <row r="14" spans="2:18" ht="18.75">
      <c r="B14" s="57"/>
    </row>
    <row r="15" spans="2:18" ht="18.75">
      <c r="B15" s="57"/>
      <c r="I15" s="85" t="s">
        <v>78</v>
      </c>
    </row>
    <row r="17" spans="1:18" ht="20.25" customHeight="1">
      <c r="B17" s="89" t="s">
        <v>91</v>
      </c>
      <c r="C17" s="154" t="str">
        <f>LEFT(J3,100)</f>
        <v/>
      </c>
      <c r="D17" s="154"/>
      <c r="E17" s="154"/>
      <c r="F17" s="154"/>
      <c r="G17" s="154"/>
      <c r="H17" s="154"/>
      <c r="I17" s="154"/>
      <c r="J17" s="154"/>
      <c r="K17" s="154"/>
      <c r="L17" s="84" t="s">
        <v>92</v>
      </c>
      <c r="M17" s="153"/>
      <c r="N17" s="153"/>
      <c r="O17" s="153"/>
      <c r="P17" s="153"/>
      <c r="Q17" s="153"/>
      <c r="R17" s="87" t="s">
        <v>93</v>
      </c>
    </row>
    <row r="18" spans="1:18" ht="16.5" customHeight="1">
      <c r="A18" s="154"/>
      <c r="B18" s="154"/>
      <c r="C18" s="154"/>
      <c r="D18" s="154"/>
      <c r="E18" s="154"/>
      <c r="F18" s="154"/>
      <c r="G18" s="154"/>
      <c r="H18" s="154"/>
      <c r="I18" s="154"/>
      <c r="J18" s="154"/>
      <c r="K18" s="154"/>
      <c r="L18" s="86" t="s">
        <v>104</v>
      </c>
      <c r="M18" s="68"/>
      <c r="N18" s="68"/>
      <c r="O18" s="68"/>
      <c r="P18" s="68"/>
      <c r="Q18" s="68"/>
      <c r="R18" s="92"/>
    </row>
    <row r="19" spans="1:18" ht="16.5" customHeight="1">
      <c r="A19" s="148"/>
      <c r="B19" s="148"/>
      <c r="C19" s="148"/>
      <c r="D19" s="148"/>
      <c r="E19" s="148"/>
      <c r="F19" s="148"/>
      <c r="G19" s="148"/>
      <c r="H19" s="148"/>
      <c r="I19" s="148"/>
      <c r="J19" s="148"/>
      <c r="K19" s="148"/>
      <c r="L19" s="148"/>
      <c r="M19" s="148"/>
      <c r="N19" s="148"/>
      <c r="O19" s="148"/>
      <c r="P19" s="148"/>
      <c r="Q19" s="148"/>
      <c r="R19" s="148"/>
    </row>
    <row r="20" spans="1:18" ht="18.75" customHeight="1">
      <c r="A20" s="86" t="s">
        <v>103</v>
      </c>
      <c r="C20" s="72"/>
      <c r="D20" s="72"/>
      <c r="E20" s="72"/>
      <c r="F20" s="72"/>
      <c r="G20" s="72"/>
      <c r="H20" s="149"/>
      <c r="I20" s="149"/>
      <c r="J20" s="149"/>
      <c r="K20" s="149"/>
      <c r="L20" s="149"/>
      <c r="M20" s="149"/>
      <c r="N20" s="149"/>
      <c r="O20" s="149"/>
      <c r="P20" s="149"/>
      <c r="Q20" s="149"/>
      <c r="R20" s="90" t="s">
        <v>92</v>
      </c>
    </row>
    <row r="21" spans="1:18" ht="18.75" customHeight="1">
      <c r="A21" s="86" t="s">
        <v>84</v>
      </c>
      <c r="C21" s="149"/>
      <c r="D21" s="149"/>
      <c r="E21" s="149"/>
      <c r="F21" s="86" t="s">
        <v>96</v>
      </c>
      <c r="G21" s="86"/>
      <c r="H21" s="86"/>
      <c r="I21" s="70"/>
      <c r="J21" s="158" t="s">
        <v>126</v>
      </c>
      <c r="K21" s="159"/>
      <c r="L21" s="86" t="s">
        <v>97</v>
      </c>
      <c r="M21" s="70"/>
      <c r="N21" s="70"/>
      <c r="O21" s="70"/>
      <c r="P21" s="70"/>
      <c r="Q21" s="70"/>
      <c r="R21" s="70"/>
    </row>
    <row r="22" spans="1:18" ht="18.75">
      <c r="B22" s="160">
        <f ca="1">TODAY()-1</f>
        <v>45229</v>
      </c>
      <c r="C22" s="160"/>
      <c r="D22" s="160"/>
      <c r="E22" s="160"/>
      <c r="F22" s="73" t="s">
        <v>98</v>
      </c>
      <c r="G22" s="73"/>
      <c r="H22" s="71"/>
      <c r="I22" s="71"/>
      <c r="J22" s="71"/>
      <c r="K22" s="86"/>
      <c r="L22" s="71"/>
      <c r="M22" s="70"/>
      <c r="N22" s="70"/>
      <c r="O22" s="70"/>
      <c r="P22" s="70"/>
      <c r="Q22" s="70"/>
      <c r="R22" s="70"/>
    </row>
    <row r="23" spans="1:18" ht="18.75">
      <c r="A23" s="149"/>
      <c r="B23" s="149"/>
      <c r="C23" s="149"/>
      <c r="D23" s="149"/>
      <c r="E23" s="149"/>
      <c r="F23" s="149"/>
      <c r="G23" s="149"/>
      <c r="H23" s="149"/>
      <c r="I23" s="149"/>
      <c r="J23" s="149"/>
      <c r="K23" s="149"/>
      <c r="L23" s="149"/>
      <c r="M23" s="149"/>
      <c r="N23" s="149"/>
      <c r="O23" s="149"/>
      <c r="P23" s="149"/>
      <c r="Q23" s="149"/>
      <c r="R23" s="149"/>
    </row>
    <row r="24" spans="1:18" ht="18.75">
      <c r="B24" s="86" t="s">
        <v>99</v>
      </c>
    </row>
    <row r="25" spans="1:18" ht="18.75">
      <c r="B25" s="86" t="s">
        <v>100</v>
      </c>
    </row>
    <row r="26" spans="1:18" ht="18.75">
      <c r="A26" s="86" t="s">
        <v>101</v>
      </c>
    </row>
    <row r="32" spans="1:18" ht="18.75">
      <c r="C32" s="145">
        <f ca="1">TODAY()</f>
        <v>45230</v>
      </c>
      <c r="D32" s="145"/>
      <c r="E32" s="145"/>
      <c r="F32" s="145"/>
      <c r="I32" s="5"/>
      <c r="J32" s="5"/>
      <c r="K32" s="5"/>
      <c r="L32" s="5" t="s">
        <v>21</v>
      </c>
      <c r="M32" s="5"/>
      <c r="N32" s="5"/>
      <c r="O32" s="5"/>
      <c r="P32" s="5"/>
      <c r="Q32" s="5"/>
      <c r="R32" s="83" t="s">
        <v>21</v>
      </c>
    </row>
    <row r="33" spans="10:17">
      <c r="J33" s="4" t="s">
        <v>88</v>
      </c>
      <c r="M33" s="146" t="s">
        <v>89</v>
      </c>
      <c r="N33" s="146"/>
      <c r="O33" s="146"/>
      <c r="P33" s="146"/>
      <c r="Q33" s="146"/>
    </row>
  </sheetData>
  <mergeCells count="16">
    <mergeCell ref="B22:E22"/>
    <mergeCell ref="A23:R23"/>
    <mergeCell ref="C32:F32"/>
    <mergeCell ref="M33:Q33"/>
    <mergeCell ref="H20:Q20"/>
    <mergeCell ref="A19:R19"/>
    <mergeCell ref="C17:K17"/>
    <mergeCell ref="M17:Q17"/>
    <mergeCell ref="C21:E21"/>
    <mergeCell ref="J21:K21"/>
    <mergeCell ref="A18:K18"/>
    <mergeCell ref="K10:N10"/>
    <mergeCell ref="K5:R6"/>
    <mergeCell ref="K7:M7"/>
    <mergeCell ref="K8:R9"/>
    <mergeCell ref="L4:P4"/>
  </mergeCells>
  <pageMargins left="0.23622047244094491" right="0.23622047244094491" top="0.59055118110236227" bottom="0.59055118110236227" header="0" footer="0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8"/>
  <dimension ref="A1:U32"/>
  <sheetViews>
    <sheetView view="pageLayout" workbookViewId="0"/>
  </sheetViews>
  <sheetFormatPr defaultRowHeight="15"/>
  <cols>
    <col min="1" max="1" width="5.140625" customWidth="1"/>
    <col min="2" max="2" width="4.140625" customWidth="1"/>
    <col min="4" max="4" width="1.42578125" customWidth="1"/>
    <col min="6" max="6" width="5.7109375" customWidth="1"/>
    <col min="7" max="7" width="4" customWidth="1"/>
    <col min="8" max="8" width="4.42578125" customWidth="1"/>
    <col min="9" max="9" width="5.7109375" customWidth="1"/>
    <col min="10" max="10" width="6.7109375" customWidth="1"/>
    <col min="11" max="11" width="5.28515625" customWidth="1"/>
    <col min="12" max="12" width="4" customWidth="1"/>
    <col min="13" max="13" width="5.7109375" customWidth="1"/>
    <col min="14" max="15" width="5.140625" customWidth="1"/>
    <col min="16" max="16" width="4.28515625" customWidth="1"/>
    <col min="17" max="17" width="4.7109375" customWidth="1"/>
    <col min="18" max="18" width="6" customWidth="1"/>
    <col min="19" max="19" width="3.140625" customWidth="1"/>
  </cols>
  <sheetData>
    <row r="1" spans="1:21" ht="15.75">
      <c r="J1" s="60" t="s">
        <v>76</v>
      </c>
      <c r="K1" s="60"/>
    </row>
    <row r="2" spans="1:21" ht="15.75">
      <c r="J2" s="60" t="s">
        <v>77</v>
      </c>
      <c r="K2" s="60"/>
    </row>
    <row r="3" spans="1:21" ht="15.75">
      <c r="J3" s="104"/>
      <c r="K3" s="64"/>
      <c r="L3" s="64"/>
      <c r="M3" s="64"/>
      <c r="N3" s="64"/>
      <c r="O3" s="64"/>
      <c r="P3" s="64"/>
      <c r="Q3" s="64"/>
      <c r="R3" s="64"/>
    </row>
    <row r="4" spans="1:21" ht="15.75">
      <c r="J4" s="104"/>
      <c r="K4" s="64"/>
      <c r="L4" s="143"/>
      <c r="M4" s="143"/>
      <c r="N4" s="143"/>
      <c r="O4" s="143"/>
      <c r="P4" s="143"/>
      <c r="Q4" s="61" t="s">
        <v>49</v>
      </c>
    </row>
    <row r="5" spans="1:21" ht="17.25" customHeight="1">
      <c r="J5" s="63" t="s">
        <v>81</v>
      </c>
      <c r="K5" s="139"/>
      <c r="L5" s="139"/>
      <c r="M5" s="139"/>
      <c r="N5" s="139"/>
      <c r="O5" s="139"/>
      <c r="P5" s="139"/>
      <c r="Q5" s="139"/>
      <c r="R5" s="139"/>
    </row>
    <row r="6" spans="1:21" ht="15" customHeight="1">
      <c r="J6" s="12"/>
      <c r="K6" s="139"/>
      <c r="L6" s="139"/>
      <c r="M6" s="139"/>
      <c r="N6" s="139"/>
      <c r="O6" s="139"/>
      <c r="P6" s="139"/>
      <c r="Q6" s="139"/>
      <c r="R6" s="139"/>
    </row>
    <row r="7" spans="1:21" ht="15.75">
      <c r="J7" s="61" t="s">
        <v>82</v>
      </c>
      <c r="K7" s="140"/>
      <c r="L7" s="140"/>
      <c r="M7" s="140"/>
      <c r="N7" s="62"/>
      <c r="O7" s="62"/>
    </row>
    <row r="8" spans="1:21" ht="15.75" customHeight="1">
      <c r="J8" s="60" t="s">
        <v>79</v>
      </c>
      <c r="K8" s="141"/>
      <c r="L8" s="141"/>
      <c r="M8" s="141"/>
      <c r="N8" s="141"/>
      <c r="O8" s="141"/>
      <c r="P8" s="141"/>
      <c r="Q8" s="141"/>
      <c r="R8" s="141"/>
    </row>
    <row r="9" spans="1:21" ht="15.75">
      <c r="J9" s="60"/>
      <c r="K9" s="141"/>
      <c r="L9" s="141"/>
      <c r="M9" s="141"/>
      <c r="N9" s="141"/>
      <c r="O9" s="141"/>
      <c r="P9" s="141"/>
      <c r="Q9" s="141"/>
      <c r="R9" s="141"/>
    </row>
    <row r="10" spans="1:21" ht="15.75">
      <c r="J10" s="60" t="s">
        <v>80</v>
      </c>
      <c r="K10" s="142"/>
      <c r="L10" s="142"/>
      <c r="M10" s="142"/>
      <c r="N10" s="142"/>
      <c r="O10" s="75"/>
    </row>
    <row r="11" spans="1:21" ht="18.75">
      <c r="B11" s="57"/>
    </row>
    <row r="12" spans="1:21" ht="18.75">
      <c r="B12" s="57"/>
    </row>
    <row r="13" spans="1:21" ht="18.75">
      <c r="B13" s="57"/>
    </row>
    <row r="14" spans="1:21" ht="18.75">
      <c r="B14" s="57"/>
    </row>
    <row r="15" spans="1:21" ht="18.75">
      <c r="B15" s="57"/>
      <c r="I15" s="85" t="s">
        <v>78</v>
      </c>
    </row>
    <row r="16" spans="1:21" ht="18.75">
      <c r="A16" s="67"/>
      <c r="B16" s="67"/>
      <c r="C16" s="67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</row>
    <row r="17" spans="1:21" ht="18" customHeight="1">
      <c r="A17" s="67"/>
      <c r="B17" s="84" t="s">
        <v>91</v>
      </c>
      <c r="C17" s="161" t="str">
        <f>LEFT(J3,100)</f>
        <v/>
      </c>
      <c r="D17" s="161"/>
      <c r="E17" s="161"/>
      <c r="F17" s="161"/>
      <c r="G17" s="161"/>
      <c r="H17" s="161"/>
      <c r="I17" s="161"/>
      <c r="J17" s="161"/>
      <c r="K17" s="161"/>
      <c r="L17" s="161"/>
      <c r="M17" s="95" t="s">
        <v>105</v>
      </c>
      <c r="N17" s="82"/>
      <c r="O17" s="82"/>
      <c r="P17" s="82"/>
      <c r="Q17" s="82"/>
      <c r="R17" s="82"/>
      <c r="S17" s="67"/>
      <c r="T17" s="67"/>
      <c r="U17" s="67"/>
    </row>
    <row r="18" spans="1:21" ht="16.5" customHeight="1">
      <c r="A18" s="67" t="s">
        <v>106</v>
      </c>
      <c r="B18" s="67"/>
      <c r="C18" s="70"/>
      <c r="D18" s="148"/>
      <c r="E18" s="148"/>
      <c r="F18" s="148"/>
      <c r="G18" s="148"/>
      <c r="H18" s="148"/>
      <c r="I18" s="148"/>
      <c r="J18" s="148"/>
      <c r="K18" s="148"/>
      <c r="L18" s="148"/>
      <c r="M18" s="71" t="s">
        <v>107</v>
      </c>
      <c r="N18" s="71"/>
      <c r="O18" s="154"/>
      <c r="P18" s="154"/>
      <c r="Q18" s="154"/>
      <c r="R18" s="154"/>
      <c r="S18" s="68" t="s">
        <v>92</v>
      </c>
      <c r="T18" s="67"/>
      <c r="U18" s="67"/>
    </row>
    <row r="19" spans="1:21" ht="18.75" customHeight="1">
      <c r="A19" s="67" t="s">
        <v>85</v>
      </c>
      <c r="B19" s="65"/>
      <c r="C19" s="71"/>
      <c r="D19" s="72"/>
      <c r="E19" s="150"/>
      <c r="F19" s="150"/>
      <c r="G19" s="150"/>
      <c r="H19" s="71" t="s">
        <v>108</v>
      </c>
      <c r="I19" s="72"/>
      <c r="J19" s="72"/>
      <c r="K19" s="72"/>
      <c r="L19" s="72"/>
      <c r="M19" s="70"/>
      <c r="N19" s="70"/>
      <c r="O19" s="70"/>
      <c r="P19" s="70"/>
      <c r="Q19" s="70"/>
      <c r="R19" s="70"/>
      <c r="S19" s="67"/>
      <c r="T19" s="67"/>
      <c r="U19" s="67"/>
    </row>
    <row r="20" spans="1:21" ht="18.75">
      <c r="A20" s="67" t="s">
        <v>109</v>
      </c>
      <c r="B20" s="58"/>
      <c r="C20" s="70"/>
      <c r="D20" s="70"/>
      <c r="E20" s="70"/>
      <c r="F20" s="71"/>
      <c r="G20" s="71"/>
      <c r="H20" s="71"/>
      <c r="I20" s="70"/>
      <c r="J20" s="70"/>
      <c r="K20" s="158"/>
      <c r="L20" s="158"/>
      <c r="M20" s="74" t="s">
        <v>5</v>
      </c>
      <c r="N20" s="162"/>
      <c r="O20" s="162"/>
      <c r="P20" s="162"/>
      <c r="Q20" s="71" t="s">
        <v>97</v>
      </c>
      <c r="R20" s="70"/>
      <c r="S20" s="67"/>
      <c r="T20" s="67"/>
      <c r="U20" s="67"/>
    </row>
    <row r="21" spans="1:21" ht="18.75">
      <c r="A21" s="67"/>
      <c r="B21" s="66"/>
      <c r="C21" s="71"/>
      <c r="D21" s="71"/>
      <c r="E21" s="73"/>
      <c r="F21" s="93"/>
      <c r="G21" s="93"/>
      <c r="H21" s="71"/>
      <c r="I21" s="94"/>
      <c r="J21" s="71"/>
      <c r="K21" s="71"/>
      <c r="L21" s="71"/>
      <c r="M21" s="70"/>
      <c r="N21" s="70"/>
      <c r="O21" s="70"/>
      <c r="P21" s="70"/>
      <c r="Q21" s="70"/>
      <c r="R21" s="70"/>
      <c r="S21" s="67"/>
      <c r="T21" s="67"/>
      <c r="U21" s="67"/>
    </row>
    <row r="22" spans="1:21" ht="18.75">
      <c r="A22" s="67"/>
      <c r="B22" s="58"/>
      <c r="C22" s="70"/>
      <c r="D22" s="70"/>
      <c r="E22" s="70"/>
      <c r="F22" s="70"/>
      <c r="G22" s="70"/>
      <c r="H22" s="70"/>
      <c r="I22" s="70"/>
      <c r="J22" s="70"/>
      <c r="K22" s="70"/>
      <c r="L22" s="70"/>
      <c r="M22" s="70"/>
      <c r="N22" s="70"/>
      <c r="O22" s="70"/>
      <c r="P22" s="70"/>
      <c r="Q22" s="70"/>
      <c r="R22" s="70"/>
      <c r="S22" s="67"/>
      <c r="T22" s="67"/>
      <c r="U22" s="67"/>
    </row>
    <row r="23" spans="1:21" ht="18.75">
      <c r="A23" s="67"/>
      <c r="B23" s="58"/>
      <c r="C23" s="67"/>
      <c r="D23" s="67"/>
      <c r="E23" s="67"/>
      <c r="F23" s="67"/>
      <c r="G23" s="67"/>
      <c r="H23" s="67"/>
      <c r="I23" s="67"/>
      <c r="J23" s="67"/>
      <c r="K23" s="67"/>
      <c r="L23" s="67"/>
      <c r="M23" s="67"/>
      <c r="N23" s="67"/>
      <c r="O23" s="67"/>
      <c r="P23" s="67"/>
      <c r="Q23" s="67"/>
      <c r="R23" s="67"/>
      <c r="S23" s="67"/>
      <c r="T23" s="67"/>
      <c r="U23" s="67"/>
    </row>
    <row r="24" spans="1:21" ht="18.75">
      <c r="A24" s="67"/>
      <c r="B24" s="67"/>
      <c r="C24" s="67"/>
      <c r="D24" s="67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7"/>
      <c r="T24" s="67"/>
      <c r="U24" s="67"/>
    </row>
    <row r="25" spans="1:21" ht="18.75">
      <c r="A25" s="67"/>
      <c r="B25" s="67"/>
      <c r="C25" s="67"/>
      <c r="D25" s="67"/>
      <c r="E25" s="67"/>
      <c r="F25" s="67"/>
      <c r="G25" s="67"/>
      <c r="H25" s="67"/>
      <c r="I25" s="67"/>
      <c r="J25" s="67"/>
      <c r="K25" s="67"/>
      <c r="L25" s="67"/>
      <c r="M25" s="67"/>
      <c r="N25" s="67"/>
      <c r="O25" s="67"/>
      <c r="P25" s="67"/>
      <c r="Q25" s="67"/>
      <c r="R25" s="67"/>
      <c r="S25" s="67"/>
      <c r="T25" s="67"/>
      <c r="U25" s="67"/>
    </row>
    <row r="26" spans="1:21" ht="18.75">
      <c r="A26" s="67"/>
      <c r="B26" s="67"/>
      <c r="C26" s="67"/>
      <c r="D26" s="67"/>
      <c r="E26" s="67"/>
      <c r="F26" s="67"/>
      <c r="G26" s="67"/>
      <c r="H26" s="67"/>
      <c r="I26" s="67"/>
      <c r="J26" s="67"/>
      <c r="K26" s="67"/>
      <c r="L26" s="67"/>
      <c r="M26" s="67"/>
      <c r="N26" s="67"/>
      <c r="O26" s="67"/>
      <c r="P26" s="67"/>
      <c r="Q26" s="67"/>
      <c r="R26" s="67"/>
      <c r="S26" s="67"/>
      <c r="T26" s="67"/>
      <c r="U26" s="67"/>
    </row>
    <row r="27" spans="1:21" ht="18.75">
      <c r="A27" s="67"/>
      <c r="B27" s="67"/>
      <c r="C27" s="67"/>
      <c r="D27" s="67"/>
      <c r="E27" s="67"/>
      <c r="F27" s="67"/>
      <c r="G27" s="67"/>
      <c r="H27" s="67"/>
      <c r="I27" s="67"/>
      <c r="J27" s="67"/>
      <c r="K27" s="67"/>
      <c r="L27" s="67"/>
      <c r="M27" s="67"/>
      <c r="N27" s="67"/>
      <c r="O27" s="67"/>
      <c r="P27" s="67"/>
      <c r="Q27" s="67"/>
      <c r="R27" s="67"/>
      <c r="S27" s="67"/>
      <c r="T27" s="67"/>
      <c r="U27" s="67"/>
    </row>
    <row r="28" spans="1:21" ht="18.75">
      <c r="A28" s="67"/>
      <c r="B28" s="67"/>
      <c r="C28" s="67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</row>
    <row r="29" spans="1:21" ht="18.75">
      <c r="A29" s="67"/>
      <c r="B29" s="67"/>
      <c r="C29" s="67"/>
      <c r="D29" s="67"/>
      <c r="E29" s="67"/>
      <c r="F29" s="67"/>
      <c r="G29" s="67"/>
      <c r="H29" s="67"/>
      <c r="I29" s="67"/>
      <c r="J29" s="67"/>
      <c r="K29" s="67"/>
      <c r="L29" s="67"/>
      <c r="M29" s="67"/>
      <c r="N29" s="67"/>
      <c r="O29" s="67"/>
      <c r="P29" s="67"/>
      <c r="Q29" s="67"/>
      <c r="R29" s="67"/>
      <c r="S29" s="67"/>
      <c r="T29" s="67"/>
      <c r="U29" s="67"/>
    </row>
    <row r="30" spans="1:21" ht="18.75">
      <c r="A30" s="67"/>
      <c r="B30" s="67"/>
      <c r="C30" s="67"/>
      <c r="D30" s="67"/>
      <c r="E30" s="67"/>
      <c r="F30" s="67"/>
      <c r="G30" s="67"/>
      <c r="H30" s="67"/>
      <c r="I30" s="67"/>
      <c r="J30" s="67"/>
      <c r="K30" s="67"/>
      <c r="L30" s="67"/>
      <c r="M30" s="67"/>
      <c r="N30" s="67"/>
      <c r="O30" s="67"/>
      <c r="P30" s="67"/>
      <c r="Q30" s="67"/>
      <c r="R30" s="67"/>
      <c r="S30" s="67"/>
      <c r="T30" s="67"/>
      <c r="U30" s="67"/>
    </row>
    <row r="31" spans="1:21" ht="18.75">
      <c r="C31" s="145">
        <f ca="1">TODAY()</f>
        <v>45230</v>
      </c>
      <c r="D31" s="145"/>
      <c r="E31" s="145"/>
      <c r="F31" s="145"/>
      <c r="I31" s="5"/>
      <c r="J31" s="5"/>
      <c r="K31" s="5"/>
      <c r="L31" s="5" t="s">
        <v>21</v>
      </c>
      <c r="M31" s="5"/>
      <c r="N31" s="5"/>
      <c r="O31" s="5"/>
      <c r="P31" s="5"/>
      <c r="Q31" s="5"/>
      <c r="R31" s="83" t="s">
        <v>21</v>
      </c>
    </row>
    <row r="32" spans="1:21">
      <c r="J32" s="4" t="s">
        <v>88</v>
      </c>
      <c r="M32" s="146" t="s">
        <v>89</v>
      </c>
      <c r="N32" s="146"/>
      <c r="O32" s="146"/>
      <c r="P32" s="146"/>
      <c r="Q32" s="146"/>
    </row>
  </sheetData>
  <mergeCells count="13">
    <mergeCell ref="M32:Q32"/>
    <mergeCell ref="C17:L17"/>
    <mergeCell ref="O18:R18"/>
    <mergeCell ref="E19:G19"/>
    <mergeCell ref="D18:L18"/>
    <mergeCell ref="K20:L20"/>
    <mergeCell ref="C31:F31"/>
    <mergeCell ref="N20:P20"/>
    <mergeCell ref="K10:N10"/>
    <mergeCell ref="K5:R6"/>
    <mergeCell ref="K7:M7"/>
    <mergeCell ref="K8:R9"/>
    <mergeCell ref="L4:P4"/>
  </mergeCells>
  <pageMargins left="0.23622047244094491" right="0.23622047244094491" top="0.59055118110236227" bottom="0.59055118110236227" header="0" footer="0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9"/>
  <dimension ref="A1:U32"/>
  <sheetViews>
    <sheetView view="pageLayout" workbookViewId="0"/>
  </sheetViews>
  <sheetFormatPr defaultRowHeight="15"/>
  <cols>
    <col min="1" max="1" width="5.140625" customWidth="1"/>
    <col min="2" max="2" width="4.140625" customWidth="1"/>
    <col min="4" max="4" width="1.42578125" customWidth="1"/>
    <col min="6" max="6" width="5.7109375" customWidth="1"/>
    <col min="7" max="7" width="4" customWidth="1"/>
    <col min="8" max="8" width="4.42578125" customWidth="1"/>
    <col min="9" max="9" width="5.7109375" customWidth="1"/>
    <col min="10" max="10" width="6.7109375" customWidth="1"/>
    <col min="11" max="11" width="5.28515625" customWidth="1"/>
    <col min="12" max="12" width="4" customWidth="1"/>
    <col min="13" max="13" width="5.7109375" customWidth="1"/>
    <col min="14" max="14" width="5.140625" customWidth="1"/>
    <col min="15" max="15" width="4" customWidth="1"/>
    <col min="16" max="16" width="4.28515625" customWidth="1"/>
    <col min="17" max="17" width="4.7109375" customWidth="1"/>
    <col min="18" max="18" width="6" customWidth="1"/>
    <col min="19" max="19" width="2.5703125" customWidth="1"/>
    <col min="20" max="20" width="2" customWidth="1"/>
  </cols>
  <sheetData>
    <row r="1" spans="1:21" ht="15.75">
      <c r="J1" s="60" t="s">
        <v>76</v>
      </c>
      <c r="K1" s="60"/>
    </row>
    <row r="2" spans="1:21" ht="15.75">
      <c r="J2" s="60" t="s">
        <v>77</v>
      </c>
      <c r="K2" s="60"/>
    </row>
    <row r="3" spans="1:21" ht="15.75">
      <c r="J3" s="104"/>
      <c r="K3" s="64"/>
      <c r="L3" s="64"/>
      <c r="M3" s="64"/>
      <c r="N3" s="64"/>
      <c r="O3" s="64"/>
      <c r="P3" s="64"/>
      <c r="Q3" s="64"/>
      <c r="R3" s="64"/>
    </row>
    <row r="4" spans="1:21" ht="15.75">
      <c r="J4" s="104"/>
      <c r="K4" s="64"/>
      <c r="L4" s="143"/>
      <c r="M4" s="143"/>
      <c r="N4" s="143"/>
      <c r="O4" s="143"/>
      <c r="P4" s="143"/>
      <c r="Q4" s="61" t="s">
        <v>49</v>
      </c>
    </row>
    <row r="5" spans="1:21" ht="17.25" customHeight="1">
      <c r="J5" s="63" t="s">
        <v>81</v>
      </c>
      <c r="K5" s="139"/>
      <c r="L5" s="139"/>
      <c r="M5" s="139"/>
      <c r="N5" s="139"/>
      <c r="O5" s="139"/>
      <c r="P5" s="139"/>
      <c r="Q5" s="139"/>
      <c r="R5" s="139"/>
      <c r="S5" s="139"/>
      <c r="T5" s="139"/>
    </row>
    <row r="6" spans="1:21" ht="15" customHeight="1">
      <c r="J6" s="12"/>
      <c r="K6" s="139"/>
      <c r="L6" s="139"/>
      <c r="M6" s="139"/>
      <c r="N6" s="139"/>
      <c r="O6" s="139"/>
      <c r="P6" s="139"/>
      <c r="Q6" s="139"/>
      <c r="R6" s="139"/>
      <c r="S6" s="139"/>
      <c r="T6" s="139"/>
    </row>
    <row r="7" spans="1:21" ht="15.75">
      <c r="J7" s="61" t="s">
        <v>82</v>
      </c>
      <c r="K7" s="140"/>
      <c r="L7" s="140"/>
      <c r="M7" s="140"/>
      <c r="N7" s="62"/>
      <c r="O7" s="62"/>
    </row>
    <row r="8" spans="1:21" ht="15.75" customHeight="1">
      <c r="J8" s="60" t="s">
        <v>79</v>
      </c>
      <c r="K8" s="167"/>
      <c r="L8" s="167"/>
      <c r="M8" s="167"/>
      <c r="N8" s="167"/>
      <c r="O8" s="167"/>
      <c r="P8" s="167"/>
      <c r="Q8" s="167"/>
      <c r="R8" s="167"/>
      <c r="S8" s="167"/>
      <c r="T8" s="167"/>
    </row>
    <row r="9" spans="1:21" ht="15.75">
      <c r="J9" s="60"/>
      <c r="K9" s="167"/>
      <c r="L9" s="167"/>
      <c r="M9" s="167"/>
      <c r="N9" s="167"/>
      <c r="O9" s="167"/>
      <c r="P9" s="167"/>
      <c r="Q9" s="167"/>
      <c r="R9" s="167"/>
      <c r="S9" s="167"/>
      <c r="T9" s="167"/>
    </row>
    <row r="10" spans="1:21" ht="15.75">
      <c r="J10" s="60" t="s">
        <v>80</v>
      </c>
      <c r="K10" s="142"/>
      <c r="L10" s="142"/>
      <c r="M10" s="142"/>
      <c r="N10" s="142"/>
      <c r="O10" s="75"/>
    </row>
    <row r="11" spans="1:21" ht="18.75">
      <c r="B11" s="57"/>
    </row>
    <row r="12" spans="1:21" ht="18.75">
      <c r="B12" s="57"/>
    </row>
    <row r="13" spans="1:21" ht="18.75">
      <c r="B13" s="57"/>
    </row>
    <row r="14" spans="1:21" ht="18.75">
      <c r="B14" s="57"/>
    </row>
    <row r="15" spans="1:21" ht="18.75">
      <c r="B15" s="57"/>
      <c r="I15" s="85" t="s">
        <v>78</v>
      </c>
    </row>
    <row r="16" spans="1:21" ht="18.75">
      <c r="A16" s="67"/>
      <c r="B16" s="67"/>
      <c r="C16" s="67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</row>
    <row r="17" spans="1:21" ht="18" customHeight="1">
      <c r="A17" s="67"/>
      <c r="B17" s="84" t="s">
        <v>91</v>
      </c>
      <c r="C17" s="161" t="str">
        <f>LEFT(J3,100)</f>
        <v/>
      </c>
      <c r="D17" s="161"/>
      <c r="E17" s="161"/>
      <c r="F17" s="161"/>
      <c r="G17" s="161"/>
      <c r="H17" s="161"/>
      <c r="I17" s="161"/>
      <c r="J17" s="161"/>
      <c r="K17" s="161"/>
      <c r="L17" s="161"/>
      <c r="M17" s="95" t="s">
        <v>110</v>
      </c>
      <c r="N17" s="82"/>
      <c r="O17" s="82"/>
      <c r="P17" s="82"/>
      <c r="Q17" s="82"/>
      <c r="R17" s="82"/>
      <c r="S17" s="67"/>
      <c r="T17" s="67"/>
      <c r="U17" s="67"/>
    </row>
    <row r="18" spans="1:21" ht="16.5" customHeight="1">
      <c r="A18" s="67" t="s">
        <v>111</v>
      </c>
      <c r="B18" s="67"/>
      <c r="C18" s="70"/>
      <c r="D18" s="96"/>
      <c r="E18" s="96"/>
      <c r="F18" s="96"/>
      <c r="G18" s="96"/>
      <c r="H18" s="96"/>
      <c r="I18" s="96"/>
      <c r="J18" s="96"/>
      <c r="K18" s="96"/>
      <c r="L18" s="96"/>
      <c r="M18" s="71"/>
      <c r="N18" s="71"/>
      <c r="O18" s="71"/>
      <c r="P18" s="71"/>
      <c r="Q18" s="71"/>
      <c r="R18" s="71"/>
      <c r="S18" s="71"/>
      <c r="T18" s="67"/>
      <c r="U18" s="67"/>
    </row>
    <row r="19" spans="1:21" ht="18.75" customHeight="1">
      <c r="A19" s="67" t="s">
        <v>112</v>
      </c>
      <c r="B19" s="65"/>
      <c r="C19" s="71"/>
      <c r="D19" s="88"/>
      <c r="E19" s="71"/>
      <c r="F19" s="71"/>
      <c r="G19" s="71"/>
      <c r="H19" s="71"/>
      <c r="I19" s="88"/>
      <c r="J19" s="88"/>
      <c r="K19" s="163"/>
      <c r="L19" s="163"/>
      <c r="M19" s="163"/>
      <c r="N19" s="163"/>
      <c r="O19" s="163"/>
      <c r="P19" s="97" t="s">
        <v>5</v>
      </c>
      <c r="Q19" s="164"/>
      <c r="R19" s="164"/>
      <c r="S19" s="164"/>
      <c r="T19" s="76" t="s">
        <v>97</v>
      </c>
      <c r="U19" s="67"/>
    </row>
    <row r="20" spans="1:21" ht="18.75">
      <c r="A20" s="67"/>
      <c r="B20" s="58"/>
      <c r="C20" s="70"/>
      <c r="D20" s="70"/>
      <c r="E20" s="70"/>
      <c r="F20" s="71"/>
      <c r="G20" s="71"/>
      <c r="H20" s="71"/>
      <c r="I20" s="70"/>
      <c r="J20" s="70"/>
      <c r="K20" s="165"/>
      <c r="L20" s="165"/>
      <c r="M20" s="74"/>
      <c r="N20" s="166"/>
      <c r="O20" s="166"/>
      <c r="P20" s="166"/>
      <c r="Q20" s="71"/>
      <c r="R20" s="70"/>
      <c r="S20" s="70"/>
      <c r="T20" s="67"/>
      <c r="U20" s="67"/>
    </row>
    <row r="21" spans="1:21" ht="18.75">
      <c r="A21" s="67"/>
      <c r="B21" s="66"/>
      <c r="C21" s="71"/>
      <c r="D21" s="71"/>
      <c r="E21" s="73"/>
      <c r="F21" s="93"/>
      <c r="G21" s="93"/>
      <c r="H21" s="71"/>
      <c r="I21" s="94"/>
      <c r="J21" s="71"/>
      <c r="K21" s="71"/>
      <c r="L21" s="71"/>
      <c r="M21" s="70"/>
      <c r="N21" s="70"/>
      <c r="O21" s="70"/>
      <c r="P21" s="70"/>
      <c r="Q21" s="70"/>
      <c r="R21" s="70"/>
      <c r="S21" s="70"/>
      <c r="T21" s="67"/>
      <c r="U21" s="67"/>
    </row>
    <row r="22" spans="1:21" ht="18.75">
      <c r="A22" s="67"/>
      <c r="B22" s="58"/>
      <c r="C22" s="70"/>
      <c r="D22" s="70"/>
      <c r="E22" s="70"/>
      <c r="F22" s="70"/>
      <c r="G22" s="70"/>
      <c r="H22" s="70"/>
      <c r="I22" s="70"/>
      <c r="J22" s="70"/>
      <c r="K22" s="70"/>
      <c r="L22" s="70"/>
      <c r="M22" s="70"/>
      <c r="N22" s="70"/>
      <c r="O22" s="70"/>
      <c r="P22" s="70"/>
      <c r="Q22" s="70"/>
      <c r="R22" s="70"/>
      <c r="S22" s="67"/>
      <c r="T22" s="67"/>
      <c r="U22" s="67"/>
    </row>
    <row r="23" spans="1:21" ht="18.75">
      <c r="A23" s="67"/>
      <c r="B23" s="58"/>
      <c r="C23" s="67"/>
      <c r="D23" s="67"/>
      <c r="E23" s="67"/>
      <c r="F23" s="67"/>
      <c r="G23" s="67"/>
      <c r="H23" s="67"/>
      <c r="I23" s="67"/>
      <c r="J23" s="67"/>
      <c r="K23" s="67"/>
      <c r="L23" s="67"/>
      <c r="M23" s="67"/>
      <c r="N23" s="67"/>
      <c r="O23" s="67"/>
      <c r="P23" s="67"/>
      <c r="Q23" s="67"/>
      <c r="R23" s="67"/>
      <c r="S23" s="67"/>
      <c r="T23" s="67"/>
      <c r="U23" s="67"/>
    </row>
    <row r="24" spans="1:21" ht="18.75">
      <c r="A24" s="67"/>
      <c r="B24" s="67"/>
      <c r="C24" s="67"/>
      <c r="D24" s="67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7"/>
      <c r="T24" s="67"/>
      <c r="U24" s="67"/>
    </row>
    <row r="25" spans="1:21" ht="18.75">
      <c r="A25" s="67"/>
      <c r="B25" s="67"/>
      <c r="C25" s="67"/>
      <c r="D25" s="67"/>
      <c r="E25" s="67"/>
      <c r="F25" s="67"/>
      <c r="G25" s="67"/>
      <c r="H25" s="67"/>
      <c r="I25" s="67"/>
      <c r="J25" s="67"/>
      <c r="K25" s="67"/>
      <c r="L25" s="67"/>
      <c r="M25" s="67"/>
      <c r="N25" s="67"/>
      <c r="O25" s="67"/>
      <c r="P25" s="67"/>
      <c r="Q25" s="67"/>
      <c r="R25" s="67"/>
      <c r="S25" s="67"/>
      <c r="T25" s="67"/>
      <c r="U25" s="67"/>
    </row>
    <row r="26" spans="1:21" ht="18.75">
      <c r="A26" s="67"/>
      <c r="B26" s="67"/>
      <c r="C26" s="67"/>
      <c r="D26" s="67"/>
      <c r="E26" s="67"/>
      <c r="F26" s="67"/>
      <c r="G26" s="67"/>
      <c r="H26" s="67"/>
      <c r="I26" s="67"/>
      <c r="J26" s="67"/>
      <c r="K26" s="67"/>
      <c r="L26" s="67"/>
      <c r="M26" s="67"/>
      <c r="N26" s="67"/>
      <c r="O26" s="67"/>
      <c r="P26" s="67"/>
      <c r="Q26" s="67"/>
      <c r="R26" s="67"/>
      <c r="S26" s="67"/>
      <c r="T26" s="67"/>
      <c r="U26" s="67"/>
    </row>
    <row r="27" spans="1:21" ht="18.75">
      <c r="A27" s="67"/>
      <c r="B27" s="67"/>
      <c r="C27" s="67"/>
      <c r="D27" s="67"/>
      <c r="E27" s="67"/>
      <c r="F27" s="67"/>
      <c r="G27" s="67"/>
      <c r="H27" s="67"/>
      <c r="I27" s="67"/>
      <c r="J27" s="67"/>
      <c r="K27" s="67"/>
      <c r="L27" s="67"/>
      <c r="M27" s="67"/>
      <c r="N27" s="67"/>
      <c r="O27" s="67"/>
      <c r="P27" s="67"/>
      <c r="Q27" s="67"/>
      <c r="R27" s="67"/>
      <c r="S27" s="67"/>
      <c r="T27" s="67"/>
      <c r="U27" s="67"/>
    </row>
    <row r="28" spans="1:21" ht="18.75">
      <c r="A28" s="67"/>
      <c r="B28" s="67"/>
      <c r="C28" s="67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</row>
    <row r="29" spans="1:21" ht="18.75">
      <c r="A29" s="67"/>
      <c r="B29" s="67"/>
      <c r="C29" s="67"/>
      <c r="D29" s="67"/>
      <c r="E29" s="67"/>
      <c r="F29" s="67"/>
      <c r="G29" s="67"/>
      <c r="H29" s="67"/>
      <c r="I29" s="67"/>
      <c r="J29" s="67"/>
      <c r="K29" s="67"/>
      <c r="L29" s="67"/>
      <c r="M29" s="67"/>
      <c r="N29" s="67"/>
      <c r="O29" s="67"/>
      <c r="P29" s="67"/>
      <c r="Q29" s="67"/>
      <c r="R29" s="67"/>
      <c r="S29" s="67"/>
      <c r="T29" s="67"/>
      <c r="U29" s="67"/>
    </row>
    <row r="30" spans="1:21" ht="18.75">
      <c r="A30" s="67"/>
      <c r="B30" s="67"/>
      <c r="C30" s="67"/>
      <c r="D30" s="67"/>
      <c r="E30" s="67"/>
      <c r="F30" s="67"/>
      <c r="G30" s="67"/>
      <c r="H30" s="67"/>
      <c r="I30" s="67"/>
      <c r="J30" s="67"/>
      <c r="K30" s="67"/>
      <c r="L30" s="67"/>
      <c r="M30" s="67"/>
      <c r="N30" s="67"/>
      <c r="O30" s="67"/>
      <c r="P30" s="67"/>
      <c r="Q30" s="67"/>
      <c r="R30" s="67"/>
      <c r="S30" s="67"/>
      <c r="T30" s="67"/>
      <c r="U30" s="67"/>
    </row>
    <row r="31" spans="1:21" ht="18.75">
      <c r="C31" s="145">
        <f ca="1">TODAY()</f>
        <v>45230</v>
      </c>
      <c r="D31" s="145"/>
      <c r="E31" s="145"/>
      <c r="F31" s="145"/>
      <c r="I31" s="91"/>
      <c r="J31" s="91"/>
      <c r="K31" s="91"/>
      <c r="L31" s="91" t="s">
        <v>21</v>
      </c>
      <c r="M31" s="91"/>
      <c r="N31" s="91"/>
      <c r="O31" s="91"/>
      <c r="P31" s="91"/>
      <c r="Q31" s="91"/>
      <c r="R31" s="83" t="s">
        <v>21</v>
      </c>
    </row>
    <row r="32" spans="1:21">
      <c r="J32" s="4" t="s">
        <v>88</v>
      </c>
      <c r="M32" s="146" t="s">
        <v>89</v>
      </c>
      <c r="N32" s="146"/>
      <c r="O32" s="146"/>
      <c r="P32" s="146"/>
      <c r="Q32" s="146"/>
    </row>
  </sheetData>
  <mergeCells count="12">
    <mergeCell ref="K7:M7"/>
    <mergeCell ref="K10:N10"/>
    <mergeCell ref="K5:T6"/>
    <mergeCell ref="K8:T9"/>
    <mergeCell ref="L4:P4"/>
    <mergeCell ref="C31:F31"/>
    <mergeCell ref="M32:Q32"/>
    <mergeCell ref="K19:O19"/>
    <mergeCell ref="Q19:S19"/>
    <mergeCell ref="C17:L17"/>
    <mergeCell ref="K20:L20"/>
    <mergeCell ref="N20:P20"/>
  </mergeCells>
  <pageMargins left="0.23622047244094491" right="0.23622047244094491" top="0.59055118110236227" bottom="0.59055118110236227" header="0" footer="0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6</vt:i4>
      </vt:variant>
    </vt:vector>
  </HeadingPairs>
  <TitlesOfParts>
    <vt:vector size="15" baseType="lpstr">
      <vt:lpstr>Лист1</vt:lpstr>
      <vt:lpstr>Данные</vt:lpstr>
      <vt:lpstr>Услуги</vt:lpstr>
      <vt:lpstr>Возврат</vt:lpstr>
      <vt:lpstr>Утеря</vt:lpstr>
      <vt:lpstr>РемонтКЦ</vt:lpstr>
      <vt:lpstr>РемонтДР</vt:lpstr>
      <vt:lpstr>Отказ</vt:lpstr>
      <vt:lpstr>Подмена</vt:lpstr>
      <vt:lpstr>Документ</vt:lpstr>
      <vt:lpstr>Материалы</vt:lpstr>
      <vt:lpstr>Причина</vt:lpstr>
      <vt:lpstr>Сотрудники</vt:lpstr>
      <vt:lpstr>Требование</vt:lpstr>
      <vt:lpstr>Услуги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2023-10-31T06:38:19Z</dcterms:modified>
</cp:coreProperties>
</file>