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60" yWindow="45" windowWidth="12645" windowHeight="9855"/>
  </bookViews>
  <sheets>
    <sheet name="Лист1" sheetId="1" r:id="rId1"/>
    <sheet name="Количество" sheetId="2" r:id="rId2"/>
  </sheets>
  <definedNames>
    <definedName name="_xlnm._FilterDatabase" localSheetId="1" hidden="1">Количество!$B$2:$D$300</definedName>
    <definedName name="_xlnm._FilterDatabase" localSheetId="0" hidden="1">Лист1!$A$53:$A$63</definedName>
    <definedName name="_xlnm.Extract" localSheetId="0">Лист1!$N$7</definedName>
    <definedName name="Сотрудники">Лист1!$A$3:$A$5</definedName>
  </definedNames>
  <calcPr calcId="124519"/>
</workbook>
</file>

<file path=xl/calcChain.xml><?xml version="1.0" encoding="utf-8"?>
<calcChain xmlns="http://schemas.openxmlformats.org/spreadsheetml/2006/main">
  <c r="C173" i="2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C50" i="1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B36" i="2"/>
  <c r="C3" l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3"/>
  <c r="A1" i="1" l="1"/>
  <c r="J54" l="1"/>
  <c r="E6" s="1"/>
  <c r="G6"/>
  <c r="J52"/>
  <c r="E4" s="1"/>
  <c r="G4"/>
  <c r="J50"/>
  <c r="A50" s="1"/>
  <c r="J48"/>
  <c r="A48" s="1"/>
  <c r="J46"/>
  <c r="A46" s="1"/>
  <c r="J44"/>
  <c r="A44" s="1"/>
  <c r="J42"/>
  <c r="A42" s="1"/>
  <c r="J40"/>
  <c r="A40" s="1"/>
  <c r="J38"/>
  <c r="A38" s="1"/>
  <c r="J36"/>
  <c r="A36" s="1"/>
  <c r="J34"/>
  <c r="A34" s="1"/>
  <c r="J32"/>
  <c r="A32" s="1"/>
  <c r="J30"/>
  <c r="A30" s="1"/>
  <c r="J28"/>
  <c r="A28" s="1"/>
  <c r="J26"/>
  <c r="A26" s="1"/>
  <c r="J24"/>
  <c r="A24" s="1"/>
  <c r="J22"/>
  <c r="A22" s="1"/>
  <c r="J20"/>
  <c r="A20" s="1"/>
  <c r="J18"/>
  <c r="A18" s="1"/>
  <c r="J16"/>
  <c r="A16" s="1"/>
  <c r="J14"/>
  <c r="A14" s="1"/>
  <c r="J12"/>
  <c r="A12" s="1"/>
  <c r="J10"/>
  <c r="A10" s="1"/>
  <c r="J8"/>
  <c r="A8" s="1"/>
  <c r="J6"/>
  <c r="A6" s="1"/>
  <c r="J4"/>
  <c r="A4" s="1"/>
  <c r="J3"/>
  <c r="A3" s="1"/>
  <c r="J98"/>
  <c r="E50" s="1"/>
  <c r="G50"/>
  <c r="J96"/>
  <c r="E48" s="1"/>
  <c r="G48"/>
  <c r="J94"/>
  <c r="E46" s="1"/>
  <c r="G46"/>
  <c r="J92"/>
  <c r="E44" s="1"/>
  <c r="G44"/>
  <c r="J90"/>
  <c r="E42" s="1"/>
  <c r="G42"/>
  <c r="J88"/>
  <c r="E40" s="1"/>
  <c r="G40"/>
  <c r="J86"/>
  <c r="E38" s="1"/>
  <c r="G38"/>
  <c r="J84"/>
  <c r="E36" s="1"/>
  <c r="G36"/>
  <c r="J82"/>
  <c r="E34" s="1"/>
  <c r="G34"/>
  <c r="J80"/>
  <c r="E32" s="1"/>
  <c r="G32"/>
  <c r="J78"/>
  <c r="E30" s="1"/>
  <c r="G30"/>
  <c r="J76"/>
  <c r="E28" s="1"/>
  <c r="G28"/>
  <c r="J74"/>
  <c r="E26" s="1"/>
  <c r="G26"/>
  <c r="J72"/>
  <c r="E24" s="1"/>
  <c r="G24"/>
  <c r="J70"/>
  <c r="E22" s="1"/>
  <c r="G22"/>
  <c r="J68"/>
  <c r="E20" s="1"/>
  <c r="G20"/>
  <c r="J66"/>
  <c r="E18" s="1"/>
  <c r="G18"/>
  <c r="J64"/>
  <c r="E16" s="1"/>
  <c r="G16"/>
  <c r="J62"/>
  <c r="E14" s="1"/>
  <c r="G14"/>
  <c r="J60"/>
  <c r="E12" s="1"/>
  <c r="G12"/>
  <c r="J58"/>
  <c r="E10" s="1"/>
  <c r="G10"/>
  <c r="J56"/>
  <c r="E8" s="1"/>
  <c r="G8"/>
  <c r="J97"/>
  <c r="E49" s="1"/>
  <c r="G49"/>
  <c r="J95"/>
  <c r="E47" s="1"/>
  <c r="G47"/>
  <c r="J93"/>
  <c r="E45" s="1"/>
  <c r="G45"/>
  <c r="J91"/>
  <c r="E43" s="1"/>
  <c r="G43"/>
  <c r="J89"/>
  <c r="E41" s="1"/>
  <c r="G41"/>
  <c r="J87"/>
  <c r="E39" s="1"/>
  <c r="G39"/>
  <c r="J85"/>
  <c r="E37" s="1"/>
  <c r="G37"/>
  <c r="J83"/>
  <c r="E35" s="1"/>
  <c r="G35"/>
  <c r="J81"/>
  <c r="E33" s="1"/>
  <c r="G33"/>
  <c r="J79"/>
  <c r="E31" s="1"/>
  <c r="G31"/>
  <c r="J77"/>
  <c r="E29" s="1"/>
  <c r="G29"/>
  <c r="J75"/>
  <c r="E27" s="1"/>
  <c r="G27"/>
  <c r="J73"/>
  <c r="E25" s="1"/>
  <c r="G25"/>
  <c r="J71"/>
  <c r="E23" s="1"/>
  <c r="G23"/>
  <c r="J69"/>
  <c r="E21" s="1"/>
  <c r="G21"/>
  <c r="J67"/>
  <c r="E19" s="1"/>
  <c r="G19"/>
  <c r="J65"/>
  <c r="E17" s="1"/>
  <c r="G17"/>
  <c r="J63"/>
  <c r="E15" s="1"/>
  <c r="G15"/>
  <c r="J61"/>
  <c r="E13" s="1"/>
  <c r="G13"/>
  <c r="J59"/>
  <c r="E11" s="1"/>
  <c r="G11"/>
  <c r="J57"/>
  <c r="E9" s="1"/>
  <c r="G9"/>
  <c r="J55"/>
  <c r="E7" s="1"/>
  <c r="G7"/>
  <c r="J53"/>
  <c r="E5" s="1"/>
  <c r="G5"/>
  <c r="J51"/>
  <c r="E3" s="1"/>
  <c r="G3"/>
  <c r="J49"/>
  <c r="A49" s="1"/>
  <c r="J47"/>
  <c r="A47" s="1"/>
  <c r="J45"/>
  <c r="A45" s="1"/>
  <c r="J43"/>
  <c r="A43" s="1"/>
  <c r="J41"/>
  <c r="A41" s="1"/>
  <c r="J39"/>
  <c r="A39" s="1"/>
  <c r="J37"/>
  <c r="A37" s="1"/>
  <c r="J35"/>
  <c r="A35" s="1"/>
  <c r="J33"/>
  <c r="A33" s="1"/>
  <c r="J31"/>
  <c r="A31" s="1"/>
  <c r="J29"/>
  <c r="A29" s="1"/>
  <c r="J27"/>
  <c r="A27" s="1"/>
  <c r="J25"/>
  <c r="A25" s="1"/>
  <c r="J23"/>
  <c r="A23" s="1"/>
  <c r="J21"/>
  <c r="A21" s="1"/>
  <c r="J19"/>
  <c r="A19" s="1"/>
  <c r="J17"/>
  <c r="A17" s="1"/>
  <c r="J15"/>
  <c r="A15" s="1"/>
  <c r="J13"/>
  <c r="A13" s="1"/>
  <c r="J11"/>
  <c r="A11" s="1"/>
  <c r="J9"/>
  <c r="A9" s="1"/>
  <c r="J7"/>
  <c r="A7" s="1"/>
  <c r="J5"/>
  <c r="A5" s="1"/>
  <c r="D299" i="2" l="1"/>
  <c r="D295"/>
  <c r="D291"/>
  <c r="D287"/>
  <c r="D283"/>
  <c r="D279"/>
  <c r="D275"/>
  <c r="D271"/>
  <c r="D267"/>
  <c r="D263"/>
  <c r="D259"/>
  <c r="D255"/>
  <c r="D251"/>
  <c r="D247"/>
  <c r="D243"/>
  <c r="D239"/>
  <c r="D235"/>
  <c r="D231"/>
  <c r="D227"/>
  <c r="D223"/>
  <c r="D219"/>
  <c r="D215"/>
  <c r="D211"/>
  <c r="D207"/>
  <c r="D203"/>
  <c r="D199"/>
  <c r="D195"/>
  <c r="D191"/>
  <c r="D187"/>
  <c r="D183"/>
  <c r="D179"/>
  <c r="D175"/>
  <c r="D300"/>
  <c r="D296"/>
  <c r="D292"/>
  <c r="D288"/>
  <c r="D284"/>
  <c r="D280"/>
  <c r="D276"/>
  <c r="D272"/>
  <c r="D268"/>
  <c r="D264"/>
  <c r="D260"/>
  <c r="D256"/>
  <c r="D252"/>
  <c r="D248"/>
  <c r="D244"/>
  <c r="D240"/>
  <c r="D236"/>
  <c r="D232"/>
  <c r="D228"/>
  <c r="D224"/>
  <c r="D220"/>
  <c r="D216"/>
  <c r="D212"/>
  <c r="D208"/>
  <c r="D204"/>
  <c r="D200"/>
  <c r="D196"/>
  <c r="D192"/>
  <c r="D188"/>
  <c r="D184"/>
  <c r="D180"/>
  <c r="D176"/>
  <c r="D36"/>
  <c r="D297"/>
  <c r="D293"/>
  <c r="D289"/>
  <c r="D285"/>
  <c r="D281"/>
  <c r="D277"/>
  <c r="D273"/>
  <c r="D269"/>
  <c r="D265"/>
  <c r="D261"/>
  <c r="D257"/>
  <c r="D253"/>
  <c r="D249"/>
  <c r="D245"/>
  <c r="D241"/>
  <c r="D237"/>
  <c r="D233"/>
  <c r="D229"/>
  <c r="D225"/>
  <c r="D221"/>
  <c r="D217"/>
  <c r="D213"/>
  <c r="D209"/>
  <c r="D205"/>
  <c r="D201"/>
  <c r="D197"/>
  <c r="D193"/>
  <c r="D189"/>
  <c r="D185"/>
  <c r="D181"/>
  <c r="D177"/>
  <c r="D173"/>
  <c r="D298"/>
  <c r="D294"/>
  <c r="D290"/>
  <c r="D286"/>
  <c r="D282"/>
  <c r="D278"/>
  <c r="D274"/>
  <c r="D270"/>
  <c r="D266"/>
  <c r="D262"/>
  <c r="D258"/>
  <c r="D254"/>
  <c r="D250"/>
  <c r="D246"/>
  <c r="D242"/>
  <c r="D238"/>
  <c r="D234"/>
  <c r="D230"/>
  <c r="D226"/>
  <c r="D222"/>
  <c r="D218"/>
  <c r="D214"/>
  <c r="D210"/>
  <c r="D206"/>
  <c r="D202"/>
  <c r="D198"/>
  <c r="D194"/>
  <c r="D190"/>
  <c r="D186"/>
  <c r="D182"/>
  <c r="D178"/>
  <c r="D174"/>
  <c r="D171"/>
  <c r="D163"/>
  <c r="D155"/>
  <c r="D172"/>
  <c r="D168"/>
  <c r="D164"/>
  <c r="D160"/>
  <c r="D156"/>
  <c r="D152"/>
  <c r="D148"/>
  <c r="D144"/>
  <c r="D140"/>
  <c r="D136"/>
  <c r="D132"/>
  <c r="D128"/>
  <c r="D124"/>
  <c r="D120"/>
  <c r="D116"/>
  <c r="D112"/>
  <c r="D108"/>
  <c r="D104"/>
  <c r="D100"/>
  <c r="D96"/>
  <c r="D92"/>
  <c r="D88"/>
  <c r="D84"/>
  <c r="D80"/>
  <c r="D76"/>
  <c r="D72"/>
  <c r="D68"/>
  <c r="D64"/>
  <c r="D60"/>
  <c r="D56"/>
  <c r="D52"/>
  <c r="D48"/>
  <c r="D44"/>
  <c r="D40"/>
  <c r="D35"/>
  <c r="D31"/>
  <c r="D27"/>
  <c r="D23"/>
  <c r="D19"/>
  <c r="D15"/>
  <c r="D11"/>
  <c r="D7"/>
  <c r="D169"/>
  <c r="D161"/>
  <c r="D153"/>
  <c r="D147"/>
  <c r="D143"/>
  <c r="D139"/>
  <c r="D135"/>
  <c r="D131"/>
  <c r="D127"/>
  <c r="D123"/>
  <c r="D119"/>
  <c r="D115"/>
  <c r="D111"/>
  <c r="D107"/>
  <c r="D103"/>
  <c r="D99"/>
  <c r="D95"/>
  <c r="D91"/>
  <c r="D87"/>
  <c r="D83"/>
  <c r="D79"/>
  <c r="D75"/>
  <c r="D71"/>
  <c r="D67"/>
  <c r="D63"/>
  <c r="D59"/>
  <c r="D55"/>
  <c r="D51"/>
  <c r="D47"/>
  <c r="D43"/>
  <c r="D39"/>
  <c r="D30"/>
  <c r="D22"/>
  <c r="D14"/>
  <c r="D6"/>
  <c r="D3"/>
  <c r="D167"/>
  <c r="D159"/>
  <c r="D151"/>
  <c r="D170"/>
  <c r="D166"/>
  <c r="D162"/>
  <c r="D158"/>
  <c r="D154"/>
  <c r="D150"/>
  <c r="D146"/>
  <c r="D142"/>
  <c r="D138"/>
  <c r="D134"/>
  <c r="D130"/>
  <c r="D126"/>
  <c r="D122"/>
  <c r="D118"/>
  <c r="D114"/>
  <c r="D110"/>
  <c r="D106"/>
  <c r="D102"/>
  <c r="D98"/>
  <c r="D94"/>
  <c r="D90"/>
  <c r="D86"/>
  <c r="D82"/>
  <c r="D78"/>
  <c r="D74"/>
  <c r="D70"/>
  <c r="D66"/>
  <c r="D62"/>
  <c r="D58"/>
  <c r="D54"/>
  <c r="D50"/>
  <c r="D46"/>
  <c r="D42"/>
  <c r="D38"/>
  <c r="D33"/>
  <c r="D29"/>
  <c r="D25"/>
  <c r="D21"/>
  <c r="D17"/>
  <c r="D13"/>
  <c r="D9"/>
  <c r="D5"/>
  <c r="D165"/>
  <c r="D157"/>
  <c r="D149"/>
  <c r="D145"/>
  <c r="D141"/>
  <c r="D137"/>
  <c r="D133"/>
  <c r="D129"/>
  <c r="D125"/>
  <c r="D121"/>
  <c r="D117"/>
  <c r="D113"/>
  <c r="D109"/>
  <c r="D105"/>
  <c r="D101"/>
  <c r="D97"/>
  <c r="D93"/>
  <c r="D89"/>
  <c r="D85"/>
  <c r="D81"/>
  <c r="D77"/>
  <c r="D73"/>
  <c r="D69"/>
  <c r="D65"/>
  <c r="D61"/>
  <c r="D57"/>
  <c r="D53"/>
  <c r="D49"/>
  <c r="D45"/>
  <c r="D41"/>
  <c r="D37"/>
  <c r="D32"/>
  <c r="D28"/>
  <c r="D24"/>
  <c r="D20"/>
  <c r="D16"/>
  <c r="D12"/>
  <c r="D8"/>
  <c r="D4"/>
  <c r="D34"/>
  <c r="D26"/>
  <c r="D18"/>
  <c r="D10"/>
  <c r="B33" i="1"/>
  <c r="B41"/>
  <c r="B49"/>
  <c r="B27"/>
  <c r="B31"/>
  <c r="B35"/>
  <c r="B39"/>
  <c r="B43"/>
  <c r="B47"/>
  <c r="B30"/>
  <c r="B34"/>
  <c r="B38"/>
  <c r="B42"/>
  <c r="B46"/>
  <c r="B50"/>
  <c r="B29"/>
  <c r="B37"/>
  <c r="B45"/>
  <c r="B28"/>
  <c r="B32"/>
  <c r="B36"/>
  <c r="B40"/>
  <c r="B44"/>
  <c r="B48"/>
  <c r="B5"/>
  <c r="B13"/>
  <c r="B21"/>
  <c r="B4"/>
  <c r="B7"/>
  <c r="B11"/>
  <c r="B15"/>
  <c r="B19"/>
  <c r="B23"/>
  <c r="B3"/>
  <c r="B6"/>
  <c r="B10"/>
  <c r="B14"/>
  <c r="B18"/>
  <c r="B22"/>
  <c r="B26"/>
  <c r="B9"/>
  <c r="B17"/>
  <c r="B25"/>
  <c r="B8"/>
  <c r="B12"/>
  <c r="B16"/>
  <c r="B20"/>
  <c r="B24"/>
  <c r="F3"/>
  <c r="F5"/>
  <c r="F7"/>
  <c r="F9"/>
  <c r="F11"/>
  <c r="F13"/>
  <c r="F15"/>
  <c r="F17"/>
  <c r="F19"/>
  <c r="F21"/>
  <c r="F23"/>
  <c r="F25"/>
  <c r="F27"/>
  <c r="F29"/>
  <c r="F31"/>
  <c r="F33"/>
  <c r="F35"/>
  <c r="F37"/>
  <c r="F39"/>
  <c r="F41"/>
  <c r="F43"/>
  <c r="F45"/>
  <c r="F47"/>
  <c r="F49"/>
  <c r="F8"/>
  <c r="F10"/>
  <c r="F12"/>
  <c r="F14"/>
  <c r="F16"/>
  <c r="F18"/>
  <c r="F20"/>
  <c r="F22"/>
  <c r="F24"/>
  <c r="F26"/>
  <c r="F28"/>
  <c r="F30"/>
  <c r="F32"/>
  <c r="F34"/>
  <c r="F36"/>
  <c r="F38"/>
  <c r="F40"/>
  <c r="F42"/>
  <c r="F44"/>
  <c r="F46"/>
  <c r="F48"/>
  <c r="F50"/>
  <c r="F4"/>
  <c r="F6"/>
</calcChain>
</file>

<file path=xl/sharedStrings.xml><?xml version="1.0" encoding="utf-8"?>
<sst xmlns="http://schemas.openxmlformats.org/spreadsheetml/2006/main" count="190" uniqueCount="183">
  <si>
    <t>Наименование</t>
  </si>
  <si>
    <t>Артикул</t>
  </si>
  <si>
    <t>Серийный номер</t>
  </si>
  <si>
    <t>Скан</t>
  </si>
  <si>
    <t>База</t>
  </si>
  <si>
    <t>K5 Compact</t>
  </si>
  <si>
    <t>Артикул из скана</t>
  </si>
  <si>
    <t>K3</t>
  </si>
  <si>
    <t>K4 Compact Home</t>
  </si>
  <si>
    <t>K4 Compact</t>
  </si>
  <si>
    <t>K5 Compact Home</t>
  </si>
  <si>
    <t>K7 Compact Home</t>
  </si>
  <si>
    <t>K7 Compact</t>
  </si>
  <si>
    <t>HD5/15 C</t>
  </si>
  <si>
    <t>HD9/20-4 Classic</t>
  </si>
  <si>
    <t>HD9/20-4M</t>
  </si>
  <si>
    <t>HD10/23-4S</t>
  </si>
  <si>
    <t>HD10/21-4S</t>
  </si>
  <si>
    <t>SC1</t>
  </si>
  <si>
    <t>BP1 Barrel</t>
  </si>
  <si>
    <t>BP1 Barrel Set</t>
  </si>
  <si>
    <t>T7/1 Classic</t>
  </si>
  <si>
    <t>T8/1 L</t>
  </si>
  <si>
    <t>T10/1 Adv</t>
  </si>
  <si>
    <t>NT65/2 Ap</t>
  </si>
  <si>
    <t>NT70/2 Me Classic</t>
  </si>
  <si>
    <t>NT90/2 Me Classic</t>
  </si>
  <si>
    <t>PUZZI 8/1 C</t>
  </si>
  <si>
    <t>PUZZI 10/1</t>
  </si>
  <si>
    <t>VC3</t>
  </si>
  <si>
    <t>Пароль для снятия защиты: 0000.</t>
  </si>
  <si>
    <t>SC3 Easy Fix Premium</t>
  </si>
  <si>
    <t>SC2 EasyFix Premium</t>
  </si>
  <si>
    <t>HD6/15 M</t>
  </si>
  <si>
    <t>NT 22/1 Ap Te</t>
  </si>
  <si>
    <t>NT 22/1 Ap</t>
  </si>
  <si>
    <t>BP3 Home&amp;Garden</t>
  </si>
  <si>
    <t>SC2 EasyFix</t>
  </si>
  <si>
    <t>SC2 Deluxe EasyFix</t>
  </si>
  <si>
    <t>T14/1 Classic</t>
  </si>
  <si>
    <t>SC1 EasyFix Floorkit</t>
  </si>
  <si>
    <t>HD6/15 M Cage</t>
  </si>
  <si>
    <t>HD7/17 M Cage</t>
  </si>
  <si>
    <t>VC5 Cordless Premium</t>
  </si>
  <si>
    <t>VC2 Premium</t>
  </si>
  <si>
    <t>SC5 EasyFix Iron Plug</t>
  </si>
  <si>
    <t>Количество</t>
  </si>
  <si>
    <t>SC3 Upright EF Prem</t>
  </si>
  <si>
    <t>K2 Compact</t>
  </si>
  <si>
    <t>KB5 Premium</t>
  </si>
  <si>
    <t>K4 Universal</t>
  </si>
  <si>
    <t>T8/1 Classic</t>
  </si>
  <si>
    <t>HD 5/12C</t>
  </si>
  <si>
    <t>LTR 36-33 Battery</t>
  </si>
  <si>
    <t>LBL 4 Battery</t>
  </si>
  <si>
    <t>SC2 Upright Easy Fix</t>
  </si>
  <si>
    <t>NT30/1 Ap L</t>
  </si>
  <si>
    <t>SC5 Premium Iron Kit</t>
  </si>
  <si>
    <t>NT 30/1 Me Classic</t>
  </si>
  <si>
    <t>HD 10/21-4S</t>
  </si>
  <si>
    <t>K2 Classic</t>
  </si>
  <si>
    <t>AD4 Premium</t>
  </si>
  <si>
    <t>K4 Compact UM</t>
  </si>
  <si>
    <t>HD9/18 Cage Classic</t>
  </si>
  <si>
    <t>K3 Compact</t>
  </si>
  <si>
    <t>FC 5 Cordless Premium</t>
  </si>
  <si>
    <t>HD5/11 P</t>
  </si>
  <si>
    <t>K2 Power Control</t>
  </si>
  <si>
    <t>DS6 Premium Plus</t>
  </si>
  <si>
    <t>WD 3 S V-17/4/20</t>
  </si>
  <si>
    <t>WD 2 PLUS V-12/4/18</t>
  </si>
  <si>
    <t>WD 5 S V-25/5/22</t>
  </si>
  <si>
    <t>LTR 18-33 Battery Set</t>
  </si>
  <si>
    <t>WD2 Plus V-12/4/18/C</t>
  </si>
  <si>
    <t>WD3 P S V-17/4/20</t>
  </si>
  <si>
    <t>WD3 V-15/4/20</t>
  </si>
  <si>
    <t>WD4 S V-20/5/22</t>
  </si>
  <si>
    <t>WD6 P V-25/8/22/T</t>
  </si>
  <si>
    <t>VC4 Cordless myHome</t>
  </si>
  <si>
    <t>VC6 Cordless ourFamily</t>
  </si>
  <si>
    <t>WD6 P S V-30/6/22/T</t>
  </si>
  <si>
    <t>K4 Basic</t>
  </si>
  <si>
    <t>LMO 18-36 Battery Set</t>
  </si>
  <si>
    <t>BLV 18-200 Battery</t>
  </si>
  <si>
    <t>K7 Power</t>
  </si>
  <si>
    <t>CVH 2</t>
  </si>
  <si>
    <t>K7 Premium Power</t>
  </si>
  <si>
    <t>GSH 18-20 Battery</t>
  </si>
  <si>
    <t>BP2 Garden</t>
  </si>
  <si>
    <t>K5 Premium Power Control</t>
  </si>
  <si>
    <t>VC4 Cordless Prem myHome</t>
  </si>
  <si>
    <t>VC6 Cord. Prem. ourFamily</t>
  </si>
  <si>
    <t>SC3 Deluxe EasyFix</t>
  </si>
  <si>
    <t>SC3 Deluxe EasyFix Premium</t>
  </si>
  <si>
    <t>SC4 Deluxe EasyFix Prem Iron</t>
  </si>
  <si>
    <t>SP1 Dirt</t>
  </si>
  <si>
    <t>WD3 V-17/4/35 +Nozzles</t>
  </si>
  <si>
    <t>EDI 4</t>
  </si>
  <si>
    <t>WD3 S V-19/4/20 Suct. Brush</t>
  </si>
  <si>
    <t>VC2</t>
  </si>
  <si>
    <t>KWD3 V-17/4/20 Suct.Brush</t>
  </si>
  <si>
    <t>PSU 4-18</t>
  </si>
  <si>
    <t>PCL 4</t>
  </si>
  <si>
    <t>SP 3 Dirt House Set</t>
  </si>
  <si>
    <t>K 4 WCM Premium</t>
  </si>
  <si>
    <t>K 4 WCM</t>
  </si>
  <si>
    <t>HGE 18-45 Battery Set</t>
  </si>
  <si>
    <t>BD 50/50 C Classic Bp</t>
  </si>
  <si>
    <t>WD3 S V-17/6/20 Car</t>
  </si>
  <si>
    <t>KWD3 S V-15/4/20 L E</t>
  </si>
  <si>
    <t>NT 22/1 Ap Te L + мешки</t>
  </si>
  <si>
    <t>BLV 36-240 Battery</t>
  </si>
  <si>
    <t>К 6 Special</t>
  </si>
  <si>
    <t>HGE 18-50 Battery</t>
  </si>
  <si>
    <t>VC 6 Cordless ourFamily Extra</t>
  </si>
  <si>
    <t>VC 6 Cordless ourFamily Car</t>
  </si>
  <si>
    <t>EWM2</t>
  </si>
  <si>
    <t xml:space="preserve">FC 4-4 BatterySet </t>
  </si>
  <si>
    <t>WD 3 P V-17/4/20 (YYY)</t>
  </si>
  <si>
    <t>FC7 Cordless</t>
  </si>
  <si>
    <t>FC 2-4 BatterySet</t>
  </si>
  <si>
    <t>SC 2 Deluxe</t>
  </si>
  <si>
    <t>FC7 Signature Line</t>
  </si>
  <si>
    <t>SC4 Easy Fix Plus</t>
  </si>
  <si>
    <t xml:space="preserve">SV7 </t>
  </si>
  <si>
    <t>SC4 Deluxe</t>
  </si>
  <si>
    <t>BP5.000 Garden</t>
  </si>
  <si>
    <t>BP4.500 Garden</t>
  </si>
  <si>
    <t>SC5 Deluxe Signature Line</t>
  </si>
  <si>
    <t>BP4.500 Garden Set</t>
  </si>
  <si>
    <t xml:space="preserve">K 4 Classic </t>
  </si>
  <si>
    <t>SC 3 EasyFix Plus</t>
  </si>
  <si>
    <t>SC 4 EasyFix</t>
  </si>
  <si>
    <t>HD 4/10 X Classic</t>
  </si>
  <si>
    <t>WV 2 Plus</t>
  </si>
  <si>
    <t xml:space="preserve">WD 4 P S V-20/5/22 </t>
  </si>
  <si>
    <t>VC 7 Signature Line</t>
  </si>
  <si>
    <t>K4 Basic Car</t>
  </si>
  <si>
    <t>T 12/1</t>
  </si>
  <si>
    <t xml:space="preserve">SP 11.000 Dirt </t>
  </si>
  <si>
    <t>SP 9.000</t>
  </si>
  <si>
    <t>WV 1</t>
  </si>
  <si>
    <t>SC1 EasyFix</t>
  </si>
  <si>
    <t>SC 2 EasyFix Plus</t>
  </si>
  <si>
    <t>K7 WCM</t>
  </si>
  <si>
    <t>VC 4 Cordless myHome Pet</t>
  </si>
  <si>
    <t>VC3 Plus</t>
  </si>
  <si>
    <t>WD4 V-20/5/22</t>
  </si>
  <si>
    <t>RCV2</t>
  </si>
  <si>
    <t>WD3 V-19/4/20</t>
  </si>
  <si>
    <t xml:space="preserve">KHB6 Battery Set </t>
  </si>
  <si>
    <t>BP 3.200 Home</t>
  </si>
  <si>
    <t>DS 6 Plus</t>
  </si>
  <si>
    <t xml:space="preserve">BD 50/50 C Bp Classic </t>
  </si>
  <si>
    <t>SE6 Signature Line</t>
  </si>
  <si>
    <t>SP 9.500 Dirt</t>
  </si>
  <si>
    <t>SP 22.000 Dirt Level Sensor</t>
  </si>
  <si>
    <t>SP 16.000 Dual</t>
  </si>
  <si>
    <t>KST 1 Upright</t>
  </si>
  <si>
    <t>WV 2 Plus N</t>
  </si>
  <si>
    <t>WV 5 Plus N</t>
  </si>
  <si>
    <t>KB 5</t>
  </si>
  <si>
    <t>AF 30</t>
  </si>
  <si>
    <t>WD 5 P V-25/5/22</t>
  </si>
  <si>
    <t>AF 20</t>
  </si>
  <si>
    <t>SP5 Dirt</t>
  </si>
  <si>
    <t>SE4 Plus</t>
  </si>
  <si>
    <t>SE4 Plus Special</t>
  </si>
  <si>
    <t>CVH 3</t>
  </si>
  <si>
    <t>WD 6 P S V-30/6/22/T+DDC</t>
  </si>
  <si>
    <t>SE 3 Compact Home Floor</t>
  </si>
  <si>
    <t>HD 7/20 G Classic</t>
  </si>
  <si>
    <t>HD 6/15-4 M Classic</t>
  </si>
  <si>
    <t>SC3 Deluxe</t>
  </si>
  <si>
    <t>WD3 V-17/4/20</t>
  </si>
  <si>
    <t>KWD3 S V-17/4/20 Anniver.Ed.</t>
  </si>
  <si>
    <t>WD5 P V-25/8/35 Car</t>
  </si>
  <si>
    <t>SC4 Deluxe Iron</t>
  </si>
  <si>
    <t>FC 7 Cordless Plus</t>
  </si>
  <si>
    <t>DS 6 Plus Anniversary Edition</t>
  </si>
  <si>
    <t>SE 5 *EU Anniversary Edition</t>
  </si>
  <si>
    <t>FC 7 Cordless Anniv. Edition</t>
  </si>
  <si>
    <t>T 11/1 Classic Re!Plast Anniv.</t>
  </si>
</sst>
</file>

<file path=xl/styles.xml><?xml version="1.0" encoding="utf-8"?>
<styleSheet xmlns="http://schemas.openxmlformats.org/spreadsheetml/2006/main">
  <numFmts count="3">
    <numFmt numFmtId="164" formatCode="[$-F800]dddd\,\ mmmm\ dd\,\ yyyy"/>
    <numFmt numFmtId="165" formatCode="#&quot;.&quot;###&quot;-&quot;###&quot;.0&quot;"/>
    <numFmt numFmtId="166" formatCode="#&quot;.&quot;###&quot;-&quot;###&quot;.&quot;#"/>
  </numFmts>
  <fonts count="13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8"/>
      <color rgb="FF000000"/>
      <name val="Calibri"/>
      <family val="2"/>
      <charset val="204"/>
      <scheme val="minor"/>
    </font>
    <font>
      <b/>
      <sz val="16"/>
      <color rgb="FF00000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24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BFF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1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Border="1"/>
    <xf numFmtId="49" fontId="1" fillId="0" borderId="1" xfId="0" applyNumberFormat="1" applyFont="1" applyBorder="1" applyAlignment="1">
      <alignment horizontal="center" vertical="center"/>
    </xf>
    <xf numFmtId="0" fontId="0" fillId="2" borderId="6" xfId="0" applyNumberFormat="1" applyFill="1" applyBorder="1" applyAlignment="1">
      <alignment horizontal="left"/>
    </xf>
    <xf numFmtId="0" fontId="0" fillId="2" borderId="11" xfId="0" applyNumberFormat="1" applyFill="1" applyBorder="1" applyAlignment="1">
      <alignment horizontal="left"/>
    </xf>
    <xf numFmtId="0" fontId="0" fillId="2" borderId="8" xfId="0" applyNumberFormat="1" applyFill="1" applyBorder="1" applyAlignment="1">
      <alignment horizontal="left"/>
    </xf>
    <xf numFmtId="0" fontId="2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left"/>
    </xf>
    <xf numFmtId="49" fontId="5" fillId="3" borderId="5" xfId="0" applyNumberFormat="1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5" borderId="0" xfId="0" applyNumberFormat="1" applyFill="1"/>
    <xf numFmtId="0" fontId="0" fillId="5" borderId="0" xfId="0" applyFill="1"/>
    <xf numFmtId="1" fontId="0" fillId="5" borderId="0" xfId="0" applyNumberFormat="1" applyFill="1"/>
    <xf numFmtId="0" fontId="8" fillId="6" borderId="6" xfId="0" applyFont="1" applyFill="1" applyBorder="1" applyAlignment="1">
      <alignment horizontal="left"/>
    </xf>
    <xf numFmtId="0" fontId="8" fillId="6" borderId="11" xfId="0" applyFont="1" applyFill="1" applyBorder="1" applyAlignment="1">
      <alignment horizontal="left"/>
    </xf>
    <xf numFmtId="0" fontId="9" fillId="0" borderId="0" xfId="0" applyFont="1"/>
    <xf numFmtId="49" fontId="1" fillId="0" borderId="0" xfId="0" applyNumberFormat="1" applyFont="1"/>
    <xf numFmtId="0" fontId="0" fillId="0" borderId="14" xfId="0" applyBorder="1"/>
    <xf numFmtId="0" fontId="10" fillId="0" borderId="16" xfId="0" applyFont="1" applyBorder="1"/>
    <xf numFmtId="0" fontId="10" fillId="0" borderId="15" xfId="0" applyFont="1" applyBorder="1" applyAlignment="1">
      <alignment horizontal="center" vertical="center"/>
    </xf>
    <xf numFmtId="0" fontId="0" fillId="4" borderId="16" xfId="0" applyFill="1" applyBorder="1"/>
    <xf numFmtId="0" fontId="0" fillId="4" borderId="18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10" fillId="0" borderId="15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</xf>
    <xf numFmtId="0" fontId="12" fillId="2" borderId="6" xfId="0" applyNumberFormat="1" applyFont="1" applyFill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165" fontId="1" fillId="0" borderId="2" xfId="0" applyNumberFormat="1" applyFont="1" applyBorder="1" applyAlignment="1">
      <alignment horizontal="center" vertical="center"/>
    </xf>
    <xf numFmtId="0" fontId="0" fillId="2" borderId="20" xfId="0" applyNumberFormat="1" applyFill="1" applyBorder="1" applyAlignment="1">
      <alignment horizontal="left"/>
    </xf>
    <xf numFmtId="0" fontId="1" fillId="0" borderId="1" xfId="0" applyNumberFormat="1" applyFont="1" applyBorder="1" applyAlignment="1">
      <alignment horizontal="left" vertical="center"/>
    </xf>
    <xf numFmtId="0" fontId="12" fillId="0" borderId="0" xfId="0" applyFont="1"/>
    <xf numFmtId="0" fontId="0" fillId="2" borderId="5" xfId="0" applyNumberFormat="1" applyFill="1" applyBorder="1" applyAlignment="1">
      <alignment horizontal="right"/>
    </xf>
    <xf numFmtId="0" fontId="12" fillId="2" borderId="5" xfId="0" applyNumberFormat="1" applyFont="1" applyFill="1" applyBorder="1" applyAlignment="1">
      <alignment horizontal="right"/>
    </xf>
    <xf numFmtId="0" fontId="0" fillId="2" borderId="10" xfId="0" applyNumberFormat="1" applyFill="1" applyBorder="1" applyAlignment="1">
      <alignment horizontal="right"/>
    </xf>
    <xf numFmtId="0" fontId="8" fillId="6" borderId="5" xfId="0" applyNumberFormat="1" applyFont="1" applyFill="1" applyBorder="1" applyAlignment="1">
      <alignment horizontal="right"/>
    </xf>
    <xf numFmtId="0" fontId="8" fillId="6" borderId="10" xfId="0" applyNumberFormat="1" applyFont="1" applyFill="1" applyBorder="1" applyAlignment="1">
      <alignment horizontal="right"/>
    </xf>
    <xf numFmtId="0" fontId="0" fillId="2" borderId="19" xfId="0" applyNumberFormat="1" applyFill="1" applyBorder="1" applyAlignment="1">
      <alignment horizontal="right"/>
    </xf>
    <xf numFmtId="166" fontId="0" fillId="0" borderId="14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0" fontId="0" fillId="2" borderId="7" xfId="0" applyNumberFormat="1" applyFill="1" applyBorder="1" applyAlignment="1">
      <alignment horizontal="right"/>
    </xf>
    <xf numFmtId="49" fontId="0" fillId="4" borderId="9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49" fontId="0" fillId="4" borderId="9" xfId="0" applyNumberFormat="1" applyFill="1" applyBorder="1" applyAlignment="1" applyProtection="1">
      <alignment horizontal="center"/>
      <protection locked="0"/>
    </xf>
    <xf numFmtId="1" fontId="0" fillId="3" borderId="23" xfId="0" applyNumberFormat="1" applyFill="1" applyBorder="1" applyAlignment="1">
      <alignment horizontal="right"/>
    </xf>
    <xf numFmtId="0" fontId="0" fillId="5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49" fontId="3" fillId="3" borderId="12" xfId="0" applyNumberFormat="1" applyFont="1" applyFill="1" applyBorder="1" applyAlignment="1">
      <alignment horizontal="center" vertical="center"/>
    </xf>
    <xf numFmtId="49" fontId="3" fillId="3" borderId="13" xfId="0" applyNumberFormat="1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</dxf>
  </dxfs>
  <tableStyles count="0" defaultTableStyle="TableStyleMedium9" defaultPivotStyle="PivotStyleLight16"/>
  <colors>
    <mruColors>
      <color rgb="FF9BFFC8"/>
      <color rgb="FFFFFFC1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0</xdr:row>
      <xdr:rowOff>0</xdr:rowOff>
    </xdr:from>
    <xdr:to>
      <xdr:col>7</xdr:col>
      <xdr:colOff>16875</xdr:colOff>
      <xdr:row>0</xdr:row>
      <xdr:rowOff>419100</xdr:rowOff>
    </xdr:to>
    <xdr:pic>
      <xdr:nvPicPr>
        <xdr:cNvPr id="2" name="Рисунок 1" descr="1398.jp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 l="18163" t="17285" r="18663" b="18207"/>
        <a:stretch>
          <a:fillRect/>
        </a:stretch>
      </xdr:blipFill>
      <xdr:spPr>
        <a:xfrm>
          <a:off x="5191125" y="0"/>
          <a:ext cx="1445625" cy="419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P300"/>
  <sheetViews>
    <sheetView tabSelected="1" workbookViewId="0">
      <selection activeCell="I3" sqref="I3"/>
    </sheetView>
  </sheetViews>
  <sheetFormatPr defaultColWidth="9.140625" defaultRowHeight="15"/>
  <cols>
    <col min="1" max="1" width="27.140625" style="1" customWidth="1"/>
    <col min="2" max="2" width="11.28515625" style="34" customWidth="1"/>
    <col min="3" max="3" width="10.28515625" style="1" customWidth="1"/>
    <col min="4" max="4" width="1.140625" style="1" customWidth="1"/>
    <col min="5" max="5" width="27.140625" style="1" customWidth="1"/>
    <col min="6" max="6" width="11.28515625" style="34" customWidth="1"/>
    <col min="7" max="7" width="10.28515625" style="1" customWidth="1"/>
    <col min="8" max="8" width="4.42578125" style="6" customWidth="1"/>
    <col min="9" max="9" width="17.42578125" style="49" customWidth="1"/>
    <col min="10" max="10" width="13.140625" customWidth="1"/>
    <col min="11" max="11" width="12.140625" customWidth="1"/>
    <col min="12" max="12" width="27.140625" style="5" customWidth="1"/>
    <col min="13" max="13" width="10" style="5" customWidth="1"/>
    <col min="14" max="14" width="12.5703125" customWidth="1"/>
    <col min="15" max="15" width="10.85546875" customWidth="1"/>
    <col min="16" max="16" width="9.28515625" customWidth="1"/>
  </cols>
  <sheetData>
    <row r="1" spans="1:16" ht="37.5" customHeight="1">
      <c r="A1" s="13">
        <f ca="1">TODAY()</f>
        <v>45742</v>
      </c>
      <c r="I1" s="56" t="s">
        <v>3</v>
      </c>
      <c r="J1" s="58" t="s">
        <v>6</v>
      </c>
      <c r="K1" s="54" t="s">
        <v>4</v>
      </c>
      <c r="L1" s="55"/>
      <c r="M1" s="17"/>
      <c r="N1" s="18"/>
      <c r="O1" s="18"/>
      <c r="P1" s="18"/>
    </row>
    <row r="2" spans="1:16" ht="30">
      <c r="A2" s="2" t="s">
        <v>0</v>
      </c>
      <c r="B2" s="33" t="s">
        <v>1</v>
      </c>
      <c r="C2" s="16" t="s">
        <v>2</v>
      </c>
      <c r="D2" s="3"/>
      <c r="E2" s="2" t="s">
        <v>0</v>
      </c>
      <c r="F2" s="33" t="s">
        <v>1</v>
      </c>
      <c r="G2" s="16" t="s">
        <v>2</v>
      </c>
      <c r="I2" s="57"/>
      <c r="J2" s="59"/>
      <c r="K2" s="14" t="s">
        <v>1</v>
      </c>
      <c r="L2" s="15" t="s">
        <v>0</v>
      </c>
      <c r="M2" s="17"/>
      <c r="N2" s="18"/>
      <c r="O2" s="18"/>
      <c r="P2" s="18"/>
    </row>
    <row r="3" spans="1:16">
      <c r="A3" s="37" t="e">
        <f>VLOOKUP(J3,$K$3:$L$300,2,0)</f>
        <v>#VALUE!</v>
      </c>
      <c r="B3" s="35" t="e">
        <f>VALUE(MID(J3,1,7))</f>
        <v>#VALUE!</v>
      </c>
      <c r="C3" s="8" t="str">
        <f>RIGHT(I3,6)</f>
        <v/>
      </c>
      <c r="E3" s="37" t="e">
        <f>VLOOKUP(J51,$K$3:$L$300,2,0)</f>
        <v>#VALUE!</v>
      </c>
      <c r="F3" s="35" t="e">
        <f>VALUE(MID(J51,1,7))</f>
        <v>#VALUE!</v>
      </c>
      <c r="G3" s="8" t="str">
        <f>RIGHT(I51,6)</f>
        <v/>
      </c>
      <c r="H3" s="12">
        <v>1</v>
      </c>
      <c r="I3" s="50"/>
      <c r="J3" s="51" t="e">
        <f>IF(LEN(I3)=14,VALUE(MID(I3,1,8)),VALUE(MID(I3,3,8)))</f>
        <v>#VALUE!</v>
      </c>
      <c r="K3" s="39">
        <v>11800800</v>
      </c>
      <c r="L3" s="9" t="s">
        <v>81</v>
      </c>
      <c r="M3" s="19"/>
      <c r="N3" s="18"/>
      <c r="O3" s="18"/>
      <c r="P3" s="18"/>
    </row>
    <row r="4" spans="1:16">
      <c r="A4" s="37" t="e">
        <f t="shared" ref="A4:A50" si="0">VLOOKUP(J4,$K$3:$L$300,2,0)</f>
        <v>#VALUE!</v>
      </c>
      <c r="B4" s="35" t="e">
        <f t="shared" ref="B4:B50" si="1">VALUE((MID(J4,1,7)))</f>
        <v>#VALUE!</v>
      </c>
      <c r="C4" s="8" t="str">
        <f t="shared" ref="C4:C50" si="2">RIGHT(I4,6)</f>
        <v/>
      </c>
      <c r="E4" s="37" t="e">
        <f t="shared" ref="E4:E50" si="3">VLOOKUP(J52,$K$3:$L$300,2,0)</f>
        <v>#VALUE!</v>
      </c>
      <c r="F4" s="35" t="e">
        <f t="shared" ref="F4:F50" si="4">VALUE(MID(J52,1,7))</f>
        <v>#VALUE!</v>
      </c>
      <c r="G4" s="8" t="str">
        <f t="shared" ref="G4:G50" si="5">RIGHT(I52,6)</f>
        <v/>
      </c>
      <c r="H4" s="12">
        <v>2</v>
      </c>
      <c r="I4" s="50"/>
      <c r="J4" s="51" t="e">
        <f t="shared" ref="J4:J67" si="6">IF(LEN(I4)=14,VALUE(MID(I4,1,8)),VALUE(MID(I4,3,8)))</f>
        <v>#VALUE!</v>
      </c>
      <c r="K4" s="39">
        <v>16794200</v>
      </c>
      <c r="L4" s="9" t="s">
        <v>130</v>
      </c>
      <c r="M4" s="52" t="s">
        <v>30</v>
      </c>
      <c r="N4" s="53"/>
      <c r="O4" s="53"/>
      <c r="P4" s="53"/>
    </row>
    <row r="5" spans="1:16">
      <c r="A5" s="37" t="e">
        <f t="shared" si="0"/>
        <v>#VALUE!</v>
      </c>
      <c r="B5" s="35" t="e">
        <f t="shared" si="1"/>
        <v>#VALUE!</v>
      </c>
      <c r="C5" s="8" t="str">
        <f t="shared" si="2"/>
        <v/>
      </c>
      <c r="E5" s="37" t="e">
        <f t="shared" si="3"/>
        <v>#VALUE!</v>
      </c>
      <c r="F5" s="35" t="e">
        <f t="shared" si="4"/>
        <v>#VALUE!</v>
      </c>
      <c r="G5" s="8" t="str">
        <f t="shared" si="5"/>
        <v/>
      </c>
      <c r="H5" s="12">
        <v>3</v>
      </c>
      <c r="I5" s="50"/>
      <c r="J5" s="51" t="e">
        <f t="shared" si="6"/>
        <v>#VALUE!</v>
      </c>
      <c r="K5" s="39">
        <v>16793000</v>
      </c>
      <c r="L5" s="9" t="s">
        <v>50</v>
      </c>
    </row>
    <row r="6" spans="1:16">
      <c r="A6" s="37" t="e">
        <f t="shared" si="0"/>
        <v>#VALUE!</v>
      </c>
      <c r="B6" s="35" t="e">
        <f t="shared" si="1"/>
        <v>#VALUE!</v>
      </c>
      <c r="C6" s="8" t="str">
        <f t="shared" si="2"/>
        <v/>
      </c>
      <c r="E6" s="37" t="e">
        <f t="shared" si="3"/>
        <v>#VALUE!</v>
      </c>
      <c r="F6" s="35" t="e">
        <f t="shared" si="4"/>
        <v>#VALUE!</v>
      </c>
      <c r="G6" s="8" t="str">
        <f t="shared" si="5"/>
        <v/>
      </c>
      <c r="H6" s="12">
        <v>4</v>
      </c>
      <c r="I6" s="50"/>
      <c r="J6" s="51" t="e">
        <f t="shared" si="6"/>
        <v>#VALUE!</v>
      </c>
      <c r="K6" s="39">
        <v>16018880</v>
      </c>
      <c r="L6" s="9" t="s">
        <v>7</v>
      </c>
      <c r="M6" s="4"/>
    </row>
    <row r="7" spans="1:16">
      <c r="A7" s="37" t="e">
        <f t="shared" si="0"/>
        <v>#VALUE!</v>
      </c>
      <c r="B7" s="35" t="e">
        <f t="shared" si="1"/>
        <v>#VALUE!</v>
      </c>
      <c r="C7" s="8" t="str">
        <f t="shared" si="2"/>
        <v/>
      </c>
      <c r="E7" s="37" t="e">
        <f t="shared" si="3"/>
        <v>#VALUE!</v>
      </c>
      <c r="F7" s="35" t="e">
        <f t="shared" si="4"/>
        <v>#VALUE!</v>
      </c>
      <c r="G7" s="8" t="str">
        <f t="shared" si="5"/>
        <v/>
      </c>
      <c r="H7" s="12">
        <v>5</v>
      </c>
      <c r="I7" s="50"/>
      <c r="J7" s="51" t="e">
        <f t="shared" si="6"/>
        <v>#VALUE!</v>
      </c>
      <c r="K7" s="39">
        <v>16375030</v>
      </c>
      <c r="L7" s="9" t="s">
        <v>8</v>
      </c>
    </row>
    <row r="8" spans="1:16">
      <c r="A8" s="37" t="e">
        <f t="shared" si="0"/>
        <v>#VALUE!</v>
      </c>
      <c r="B8" s="35" t="e">
        <f t="shared" si="1"/>
        <v>#VALUE!</v>
      </c>
      <c r="C8" s="8" t="str">
        <f t="shared" si="2"/>
        <v/>
      </c>
      <c r="E8" s="37" t="e">
        <f t="shared" si="3"/>
        <v>#VALUE!</v>
      </c>
      <c r="F8" s="35" t="e">
        <f t="shared" si="4"/>
        <v>#VALUE!</v>
      </c>
      <c r="G8" s="8" t="str">
        <f t="shared" si="5"/>
        <v/>
      </c>
      <c r="H8" s="12">
        <v>6</v>
      </c>
      <c r="I8" s="50"/>
      <c r="J8" s="51" t="e">
        <f t="shared" si="6"/>
        <v>#VALUE!</v>
      </c>
      <c r="K8" s="39">
        <v>16336420</v>
      </c>
      <c r="L8" s="9" t="s">
        <v>159</v>
      </c>
    </row>
    <row r="9" spans="1:16">
      <c r="A9" s="37" t="e">
        <f t="shared" si="0"/>
        <v>#VALUE!</v>
      </c>
      <c r="B9" s="35" t="e">
        <f t="shared" si="1"/>
        <v>#VALUE!</v>
      </c>
      <c r="C9" s="8" t="str">
        <f t="shared" si="2"/>
        <v/>
      </c>
      <c r="E9" s="37" t="e">
        <f t="shared" si="3"/>
        <v>#VALUE!</v>
      </c>
      <c r="F9" s="35" t="e">
        <f t="shared" si="4"/>
        <v>#VALUE!</v>
      </c>
      <c r="G9" s="8" t="str">
        <f t="shared" si="5"/>
        <v/>
      </c>
      <c r="H9" s="12">
        <v>7</v>
      </c>
      <c r="I9" s="50"/>
      <c r="J9" s="51" t="e">
        <f t="shared" si="6"/>
        <v>#VALUE!</v>
      </c>
      <c r="K9" s="39">
        <v>16375000</v>
      </c>
      <c r="L9" s="9" t="s">
        <v>9</v>
      </c>
    </row>
    <row r="10" spans="1:16">
      <c r="A10" s="37" t="e">
        <f t="shared" si="0"/>
        <v>#VALUE!</v>
      </c>
      <c r="B10" s="35" t="e">
        <f t="shared" si="1"/>
        <v>#VALUE!</v>
      </c>
      <c r="C10" s="8" t="str">
        <f t="shared" si="2"/>
        <v/>
      </c>
      <c r="E10" s="37" t="e">
        <f t="shared" si="3"/>
        <v>#VALUE!</v>
      </c>
      <c r="F10" s="35" t="e">
        <f t="shared" si="4"/>
        <v>#VALUE!</v>
      </c>
      <c r="G10" s="8" t="str">
        <f t="shared" si="5"/>
        <v/>
      </c>
      <c r="H10" s="12">
        <v>8</v>
      </c>
      <c r="I10" s="50"/>
      <c r="J10" s="51" t="e">
        <f t="shared" si="6"/>
        <v>#VALUE!</v>
      </c>
      <c r="K10" s="39">
        <v>11986700</v>
      </c>
      <c r="L10" s="9" t="s">
        <v>79</v>
      </c>
    </row>
    <row r="11" spans="1:16">
      <c r="A11" s="37" t="e">
        <f t="shared" si="0"/>
        <v>#VALUE!</v>
      </c>
      <c r="B11" s="35" t="e">
        <f t="shared" si="1"/>
        <v>#VALUE!</v>
      </c>
      <c r="C11" s="8" t="str">
        <f t="shared" si="2"/>
        <v/>
      </c>
      <c r="E11" s="37" t="e">
        <f t="shared" si="3"/>
        <v>#VALUE!</v>
      </c>
      <c r="F11" s="35" t="e">
        <f t="shared" si="4"/>
        <v>#VALUE!</v>
      </c>
      <c r="G11" s="8" t="str">
        <f t="shared" si="5"/>
        <v/>
      </c>
      <c r="H11" s="12">
        <v>9</v>
      </c>
      <c r="I11" s="50"/>
      <c r="J11" s="51" t="e">
        <f t="shared" si="6"/>
        <v>#VALUE!</v>
      </c>
      <c r="K11" s="39">
        <v>16009790</v>
      </c>
      <c r="L11" s="9" t="s">
        <v>60</v>
      </c>
    </row>
    <row r="12" spans="1:16">
      <c r="A12" s="37" t="e">
        <f t="shared" si="0"/>
        <v>#VALUE!</v>
      </c>
      <c r="B12" s="35" t="e">
        <f t="shared" si="1"/>
        <v>#VALUE!</v>
      </c>
      <c r="C12" s="8" t="str">
        <f t="shared" si="2"/>
        <v/>
      </c>
      <c r="E12" s="37" t="e">
        <f t="shared" si="3"/>
        <v>#VALUE!</v>
      </c>
      <c r="F12" s="35" t="e">
        <f t="shared" si="4"/>
        <v>#VALUE!</v>
      </c>
      <c r="G12" s="8" t="str">
        <f t="shared" si="5"/>
        <v/>
      </c>
      <c r="H12" s="12">
        <v>10</v>
      </c>
      <c r="I12" s="50"/>
      <c r="J12" s="51" t="e">
        <f t="shared" si="6"/>
        <v>#VALUE!</v>
      </c>
      <c r="K12" s="39">
        <v>16307500</v>
      </c>
      <c r="L12" s="9" t="s">
        <v>5</v>
      </c>
    </row>
    <row r="13" spans="1:16">
      <c r="A13" s="37" t="e">
        <f t="shared" si="0"/>
        <v>#VALUE!</v>
      </c>
      <c r="B13" s="35" t="e">
        <f t="shared" si="1"/>
        <v>#VALUE!</v>
      </c>
      <c r="C13" s="8" t="str">
        <f t="shared" si="2"/>
        <v/>
      </c>
      <c r="E13" s="37" t="e">
        <f t="shared" si="3"/>
        <v>#VALUE!</v>
      </c>
      <c r="F13" s="35" t="e">
        <f t="shared" si="4"/>
        <v>#VALUE!</v>
      </c>
      <c r="G13" s="8" t="str">
        <f t="shared" si="5"/>
        <v/>
      </c>
      <c r="H13" s="12">
        <v>11</v>
      </c>
      <c r="I13" s="50"/>
      <c r="J13" s="51" t="e">
        <f t="shared" si="6"/>
        <v>#VALUE!</v>
      </c>
      <c r="K13" s="39">
        <v>16307530</v>
      </c>
      <c r="L13" s="9" t="s">
        <v>10</v>
      </c>
    </row>
    <row r="14" spans="1:16">
      <c r="A14" s="37" t="e">
        <f t="shared" si="0"/>
        <v>#VALUE!</v>
      </c>
      <c r="B14" s="35" t="e">
        <f t="shared" si="1"/>
        <v>#VALUE!</v>
      </c>
      <c r="C14" s="8" t="str">
        <f t="shared" si="2"/>
        <v/>
      </c>
      <c r="E14" s="37" t="e">
        <f t="shared" si="3"/>
        <v>#VALUE!</v>
      </c>
      <c r="F14" s="35" t="e">
        <f t="shared" si="4"/>
        <v>#VALUE!</v>
      </c>
      <c r="G14" s="8" t="str">
        <f t="shared" si="5"/>
        <v/>
      </c>
      <c r="H14" s="12">
        <v>12</v>
      </c>
      <c r="I14" s="50"/>
      <c r="J14" s="51" t="e">
        <f t="shared" si="6"/>
        <v>#VALUE!</v>
      </c>
      <c r="K14" s="39">
        <v>13245730</v>
      </c>
      <c r="L14" s="9" t="s">
        <v>89</v>
      </c>
    </row>
    <row r="15" spans="1:16">
      <c r="A15" s="37" t="e">
        <f t="shared" si="0"/>
        <v>#VALUE!</v>
      </c>
      <c r="B15" s="35" t="e">
        <f t="shared" si="1"/>
        <v>#VALUE!</v>
      </c>
      <c r="C15" s="8" t="str">
        <f t="shared" si="2"/>
        <v/>
      </c>
      <c r="E15" s="37" t="e">
        <f t="shared" si="3"/>
        <v>#VALUE!</v>
      </c>
      <c r="F15" s="35" t="e">
        <f t="shared" si="4"/>
        <v>#VALUE!</v>
      </c>
      <c r="G15" s="8" t="str">
        <f t="shared" si="5"/>
        <v/>
      </c>
      <c r="H15" s="12">
        <v>13</v>
      </c>
      <c r="I15" s="50"/>
      <c r="J15" s="51" t="e">
        <f t="shared" si="6"/>
        <v>#VALUE!</v>
      </c>
      <c r="K15" s="39">
        <v>14285680</v>
      </c>
      <c r="L15" s="9" t="s">
        <v>58</v>
      </c>
    </row>
    <row r="16" spans="1:16">
      <c r="A16" s="37" t="e">
        <f t="shared" si="0"/>
        <v>#VALUE!</v>
      </c>
      <c r="B16" s="35" t="e">
        <f t="shared" si="1"/>
        <v>#VALUE!</v>
      </c>
      <c r="C16" s="8" t="str">
        <f t="shared" si="2"/>
        <v/>
      </c>
      <c r="E16" s="37" t="e">
        <f t="shared" si="3"/>
        <v>#VALUE!</v>
      </c>
      <c r="F16" s="35" t="e">
        <f t="shared" si="4"/>
        <v>#VALUE!</v>
      </c>
      <c r="G16" s="8" t="str">
        <f t="shared" si="5"/>
        <v/>
      </c>
      <c r="H16" s="12">
        <v>14</v>
      </c>
      <c r="I16" s="50"/>
      <c r="J16" s="51" t="e">
        <f t="shared" si="6"/>
        <v>#VALUE!</v>
      </c>
      <c r="K16" s="39">
        <v>16735000</v>
      </c>
      <c r="L16" s="9" t="s">
        <v>48</v>
      </c>
    </row>
    <row r="17" spans="1:12">
      <c r="A17" s="37" t="e">
        <f t="shared" si="0"/>
        <v>#VALUE!</v>
      </c>
      <c r="B17" s="35" t="e">
        <f t="shared" si="1"/>
        <v>#VALUE!</v>
      </c>
      <c r="C17" s="8" t="str">
        <f t="shared" si="2"/>
        <v/>
      </c>
      <c r="E17" s="37" t="e">
        <f t="shared" si="3"/>
        <v>#VALUE!</v>
      </c>
      <c r="F17" s="35" t="e">
        <f t="shared" si="4"/>
        <v>#VALUE!</v>
      </c>
      <c r="G17" s="8" t="str">
        <f t="shared" si="5"/>
        <v/>
      </c>
      <c r="H17" s="12">
        <v>15</v>
      </c>
      <c r="I17" s="50"/>
      <c r="J17" s="51" t="e">
        <f t="shared" si="6"/>
        <v>#VALUE!</v>
      </c>
      <c r="K17" s="39">
        <v>16337010</v>
      </c>
      <c r="L17" s="9" t="s">
        <v>160</v>
      </c>
    </row>
    <row r="18" spans="1:12">
      <c r="A18" s="37" t="e">
        <f t="shared" si="0"/>
        <v>#VALUE!</v>
      </c>
      <c r="B18" s="35" t="e">
        <f t="shared" si="1"/>
        <v>#VALUE!</v>
      </c>
      <c r="C18" s="8" t="str">
        <f t="shared" si="2"/>
        <v/>
      </c>
      <c r="E18" s="37" t="e">
        <f t="shared" si="3"/>
        <v>#VALUE!</v>
      </c>
      <c r="F18" s="35" t="e">
        <f t="shared" si="4"/>
        <v>#VALUE!</v>
      </c>
      <c r="G18" s="8" t="str">
        <f t="shared" si="5"/>
        <v/>
      </c>
      <c r="H18" s="12">
        <v>16</v>
      </c>
      <c r="I18" s="50"/>
      <c r="J18" s="51" t="e">
        <f t="shared" si="6"/>
        <v>#VALUE!</v>
      </c>
      <c r="K18" s="39">
        <v>15209600</v>
      </c>
      <c r="L18" s="9" t="s">
        <v>66</v>
      </c>
    </row>
    <row r="19" spans="1:12">
      <c r="A19" s="37" t="e">
        <f t="shared" si="0"/>
        <v>#VALUE!</v>
      </c>
      <c r="B19" s="35" t="e">
        <f t="shared" si="1"/>
        <v>#VALUE!</v>
      </c>
      <c r="C19" s="8" t="str">
        <f t="shared" si="2"/>
        <v/>
      </c>
      <c r="E19" s="37" t="e">
        <f t="shared" si="3"/>
        <v>#VALUE!</v>
      </c>
      <c r="F19" s="35" t="e">
        <f t="shared" si="4"/>
        <v>#VALUE!</v>
      </c>
      <c r="G19" s="8" t="str">
        <f t="shared" si="5"/>
        <v/>
      </c>
      <c r="H19" s="12">
        <v>17</v>
      </c>
      <c r="I19" s="50"/>
      <c r="J19" s="51" t="e">
        <f t="shared" si="6"/>
        <v>#VALUE!</v>
      </c>
      <c r="K19" s="39">
        <v>14470530</v>
      </c>
      <c r="L19" s="9" t="s">
        <v>11</v>
      </c>
    </row>
    <row r="20" spans="1:12">
      <c r="A20" s="37" t="e">
        <f t="shared" si="0"/>
        <v>#VALUE!</v>
      </c>
      <c r="B20" s="35" t="e">
        <f t="shared" si="1"/>
        <v>#VALUE!</v>
      </c>
      <c r="C20" s="8" t="str">
        <f t="shared" si="2"/>
        <v/>
      </c>
      <c r="E20" s="37" t="e">
        <f t="shared" si="3"/>
        <v>#VALUE!</v>
      </c>
      <c r="F20" s="35" t="e">
        <f t="shared" si="4"/>
        <v>#VALUE!</v>
      </c>
      <c r="G20" s="8" t="str">
        <f t="shared" si="5"/>
        <v/>
      </c>
      <c r="H20" s="12">
        <v>18</v>
      </c>
      <c r="I20" s="50"/>
      <c r="J20" s="51" t="e">
        <f t="shared" si="6"/>
        <v>#VALUE!</v>
      </c>
      <c r="K20" s="39">
        <v>14470500</v>
      </c>
      <c r="L20" s="9" t="s">
        <v>12</v>
      </c>
    </row>
    <row r="21" spans="1:12">
      <c r="A21" s="37" t="e">
        <f t="shared" si="0"/>
        <v>#VALUE!</v>
      </c>
      <c r="B21" s="35" t="e">
        <f t="shared" si="1"/>
        <v>#VALUE!</v>
      </c>
      <c r="C21" s="8" t="str">
        <f t="shared" si="2"/>
        <v/>
      </c>
      <c r="E21" s="37" t="e">
        <f t="shared" si="3"/>
        <v>#VALUE!</v>
      </c>
      <c r="F21" s="35" t="e">
        <f t="shared" si="4"/>
        <v>#VALUE!</v>
      </c>
      <c r="G21" s="8" t="str">
        <f t="shared" si="5"/>
        <v/>
      </c>
      <c r="H21" s="12">
        <v>19</v>
      </c>
      <c r="I21" s="50"/>
      <c r="J21" s="51" t="e">
        <f t="shared" si="6"/>
        <v>#VALUE!</v>
      </c>
      <c r="K21" s="39">
        <v>12580500</v>
      </c>
      <c r="L21" s="9" t="s">
        <v>161</v>
      </c>
    </row>
    <row r="22" spans="1:12">
      <c r="A22" s="37" t="e">
        <f t="shared" si="0"/>
        <v>#VALUE!</v>
      </c>
      <c r="B22" s="35" t="e">
        <f t="shared" si="1"/>
        <v>#VALUE!</v>
      </c>
      <c r="C22" s="8" t="str">
        <f t="shared" si="2"/>
        <v/>
      </c>
      <c r="E22" s="37" t="e">
        <f t="shared" si="3"/>
        <v>#VALUE!</v>
      </c>
      <c r="F22" s="35" t="e">
        <f t="shared" si="4"/>
        <v>#VALUE!</v>
      </c>
      <c r="G22" s="8" t="str">
        <f t="shared" si="5"/>
        <v/>
      </c>
      <c r="H22" s="12">
        <v>20</v>
      </c>
      <c r="I22" s="50"/>
      <c r="J22" s="51" t="e">
        <f t="shared" si="6"/>
        <v>#VALUE!</v>
      </c>
      <c r="K22" s="39">
        <v>16282090</v>
      </c>
      <c r="L22" s="9" t="s">
        <v>147</v>
      </c>
    </row>
    <row r="23" spans="1:12">
      <c r="A23" s="37" t="e">
        <f t="shared" si="0"/>
        <v>#VALUE!</v>
      </c>
      <c r="B23" s="35" t="e">
        <f t="shared" si="1"/>
        <v>#VALUE!</v>
      </c>
      <c r="C23" s="8" t="str">
        <f t="shared" si="2"/>
        <v/>
      </c>
      <c r="E23" s="37" t="e">
        <f t="shared" si="3"/>
        <v>#VALUE!</v>
      </c>
      <c r="F23" s="35" t="e">
        <f t="shared" si="4"/>
        <v>#VALUE!</v>
      </c>
      <c r="G23" s="8" t="str">
        <f t="shared" si="5"/>
        <v/>
      </c>
      <c r="H23" s="12">
        <v>21</v>
      </c>
      <c r="I23" s="50"/>
      <c r="J23" s="51" t="e">
        <f t="shared" si="6"/>
        <v>#VALUE!</v>
      </c>
      <c r="K23" s="39">
        <v>15209300</v>
      </c>
      <c r="L23" s="9" t="s">
        <v>13</v>
      </c>
    </row>
    <row r="24" spans="1:12">
      <c r="A24" s="37" t="e">
        <f t="shared" si="0"/>
        <v>#VALUE!</v>
      </c>
      <c r="B24" s="35" t="e">
        <f t="shared" si="1"/>
        <v>#VALUE!</v>
      </c>
      <c r="C24" s="8" t="str">
        <f t="shared" si="2"/>
        <v/>
      </c>
      <c r="E24" s="37" t="e">
        <f t="shared" si="3"/>
        <v>#VALUE!</v>
      </c>
      <c r="F24" s="35" t="e">
        <f t="shared" si="4"/>
        <v>#VALUE!</v>
      </c>
      <c r="G24" s="8" t="str">
        <f t="shared" si="5"/>
        <v/>
      </c>
      <c r="H24" s="12">
        <v>22</v>
      </c>
      <c r="I24" s="50"/>
      <c r="J24" s="51" t="e">
        <f t="shared" si="6"/>
        <v>#VALUE!</v>
      </c>
      <c r="K24" s="39">
        <v>14441000</v>
      </c>
      <c r="L24" s="9" t="s">
        <v>83</v>
      </c>
    </row>
    <row r="25" spans="1:12">
      <c r="A25" s="37" t="e">
        <f t="shared" si="0"/>
        <v>#VALUE!</v>
      </c>
      <c r="B25" s="35" t="e">
        <f t="shared" si="1"/>
        <v>#VALUE!</v>
      </c>
      <c r="C25" s="8" t="str">
        <f t="shared" si="2"/>
        <v/>
      </c>
      <c r="E25" s="37" t="e">
        <f t="shared" si="3"/>
        <v>#VALUE!</v>
      </c>
      <c r="F25" s="35" t="e">
        <f t="shared" si="4"/>
        <v>#VALUE!</v>
      </c>
      <c r="G25" s="8" t="str">
        <f t="shared" si="5"/>
        <v/>
      </c>
      <c r="H25" s="12">
        <v>23</v>
      </c>
      <c r="I25" s="50"/>
      <c r="J25" s="51" t="e">
        <f t="shared" si="6"/>
        <v>#VALUE!</v>
      </c>
      <c r="K25" s="39">
        <v>13673080</v>
      </c>
      <c r="L25" s="9" t="s">
        <v>14</v>
      </c>
    </row>
    <row r="26" spans="1:12">
      <c r="A26" s="37" t="e">
        <f t="shared" si="0"/>
        <v>#VALUE!</v>
      </c>
      <c r="B26" s="35" t="e">
        <f t="shared" si="1"/>
        <v>#VALUE!</v>
      </c>
      <c r="C26" s="8" t="str">
        <f t="shared" si="2"/>
        <v/>
      </c>
      <c r="E26" s="37" t="e">
        <f t="shared" si="3"/>
        <v>#VALUE!</v>
      </c>
      <c r="F26" s="35" t="e">
        <f t="shared" si="4"/>
        <v>#VALUE!</v>
      </c>
      <c r="G26" s="8" t="str">
        <f t="shared" si="5"/>
        <v/>
      </c>
      <c r="H26" s="12">
        <v>24</v>
      </c>
      <c r="I26" s="50"/>
      <c r="J26" s="51" t="e">
        <f t="shared" si="6"/>
        <v>#VALUE!</v>
      </c>
      <c r="K26" s="39">
        <v>15249240</v>
      </c>
      <c r="L26" s="9" t="s">
        <v>15</v>
      </c>
    </row>
    <row r="27" spans="1:12">
      <c r="A27" s="37" t="e">
        <f t="shared" si="0"/>
        <v>#VALUE!</v>
      </c>
      <c r="B27" s="35" t="e">
        <f t="shared" si="1"/>
        <v>#VALUE!</v>
      </c>
      <c r="C27" s="8" t="str">
        <f t="shared" si="2"/>
        <v/>
      </c>
      <c r="E27" s="37" t="e">
        <f t="shared" si="3"/>
        <v>#VALUE!</v>
      </c>
      <c r="F27" s="35" t="e">
        <f t="shared" si="4"/>
        <v>#VALUE!</v>
      </c>
      <c r="G27" s="8" t="str">
        <f t="shared" si="5"/>
        <v/>
      </c>
      <c r="H27" s="12">
        <v>25</v>
      </c>
      <c r="I27" s="50"/>
      <c r="J27" s="51" t="e">
        <f t="shared" si="6"/>
        <v>#VALUE!</v>
      </c>
      <c r="K27" s="39">
        <v>12869220</v>
      </c>
      <c r="L27" s="9" t="s">
        <v>16</v>
      </c>
    </row>
    <row r="28" spans="1:12">
      <c r="A28" s="37" t="e">
        <f t="shared" si="0"/>
        <v>#VALUE!</v>
      </c>
      <c r="B28" s="35" t="e">
        <f t="shared" si="1"/>
        <v>#VALUE!</v>
      </c>
      <c r="C28" s="8" t="str">
        <f t="shared" si="2"/>
        <v/>
      </c>
      <c r="E28" s="37" t="e">
        <f t="shared" si="3"/>
        <v>#VALUE!</v>
      </c>
      <c r="F28" s="35" t="e">
        <f t="shared" si="4"/>
        <v>#VALUE!</v>
      </c>
      <c r="G28" s="8" t="str">
        <f t="shared" si="5"/>
        <v/>
      </c>
      <c r="H28" s="12">
        <v>26</v>
      </c>
      <c r="I28" s="50"/>
      <c r="J28" s="51" t="e">
        <f t="shared" si="6"/>
        <v>#VALUE!</v>
      </c>
      <c r="K28" s="39">
        <v>12869160</v>
      </c>
      <c r="L28" s="9" t="s">
        <v>17</v>
      </c>
    </row>
    <row r="29" spans="1:12">
      <c r="A29" s="37" t="e">
        <f t="shared" si="0"/>
        <v>#VALUE!</v>
      </c>
      <c r="B29" s="35" t="e">
        <f t="shared" si="1"/>
        <v>#VALUE!</v>
      </c>
      <c r="C29" s="8" t="str">
        <f t="shared" si="2"/>
        <v/>
      </c>
      <c r="E29" s="37" t="e">
        <f t="shared" si="3"/>
        <v>#VALUE!</v>
      </c>
      <c r="F29" s="35" t="e">
        <f t="shared" si="4"/>
        <v>#VALUE!</v>
      </c>
      <c r="G29" s="8" t="str">
        <f t="shared" si="5"/>
        <v/>
      </c>
      <c r="H29" s="12">
        <v>27</v>
      </c>
      <c r="I29" s="50"/>
      <c r="J29" s="51" t="e">
        <f t="shared" si="6"/>
        <v>#VALUE!</v>
      </c>
      <c r="K29" s="39">
        <v>15164010</v>
      </c>
      <c r="L29" s="9" t="s">
        <v>142</v>
      </c>
    </row>
    <row r="30" spans="1:12">
      <c r="A30" s="37" t="e">
        <f t="shared" si="0"/>
        <v>#VALUE!</v>
      </c>
      <c r="B30" s="35" t="e">
        <f t="shared" si="1"/>
        <v>#VALUE!</v>
      </c>
      <c r="C30" s="8" t="str">
        <f t="shared" si="2"/>
        <v/>
      </c>
      <c r="E30" s="37" t="e">
        <f t="shared" si="3"/>
        <v>#VALUE!</v>
      </c>
      <c r="F30" s="35" t="e">
        <f t="shared" si="4"/>
        <v>#VALUE!</v>
      </c>
      <c r="G30" s="8" t="str">
        <f t="shared" si="5"/>
        <v/>
      </c>
      <c r="H30" s="12">
        <v>28</v>
      </c>
      <c r="I30" s="50"/>
      <c r="J30" s="51" t="e">
        <f t="shared" si="6"/>
        <v>#VALUE!</v>
      </c>
      <c r="K30" s="39">
        <v>15163320</v>
      </c>
      <c r="L30" s="9" t="s">
        <v>40</v>
      </c>
    </row>
    <row r="31" spans="1:12">
      <c r="A31" s="37" t="e">
        <f t="shared" si="0"/>
        <v>#VALUE!</v>
      </c>
      <c r="B31" s="35" t="e">
        <f t="shared" si="1"/>
        <v>#VALUE!</v>
      </c>
      <c r="C31" s="8" t="str">
        <f t="shared" si="2"/>
        <v/>
      </c>
      <c r="E31" s="37" t="e">
        <f t="shared" si="3"/>
        <v>#VALUE!</v>
      </c>
      <c r="F31" s="35" t="e">
        <f t="shared" si="4"/>
        <v>#VALUE!</v>
      </c>
      <c r="G31" s="8" t="str">
        <f t="shared" si="5"/>
        <v/>
      </c>
      <c r="H31" s="12">
        <v>29</v>
      </c>
      <c r="I31" s="50"/>
      <c r="J31" s="51" t="e">
        <f t="shared" si="6"/>
        <v>#VALUE!</v>
      </c>
      <c r="K31" s="39">
        <v>15163000</v>
      </c>
      <c r="L31" s="9" t="s">
        <v>18</v>
      </c>
    </row>
    <row r="32" spans="1:12">
      <c r="A32" s="37" t="e">
        <f t="shared" si="0"/>
        <v>#VALUE!</v>
      </c>
      <c r="B32" s="35" t="e">
        <f t="shared" si="1"/>
        <v>#VALUE!</v>
      </c>
      <c r="C32" s="8" t="str">
        <f t="shared" si="2"/>
        <v/>
      </c>
      <c r="E32" s="37" t="e">
        <f t="shared" si="3"/>
        <v>#VALUE!</v>
      </c>
      <c r="F32" s="35" t="e">
        <f t="shared" si="4"/>
        <v>#VALUE!</v>
      </c>
      <c r="G32" s="8" t="str">
        <f t="shared" si="5"/>
        <v/>
      </c>
      <c r="H32" s="12">
        <v>30</v>
      </c>
      <c r="I32" s="50"/>
      <c r="J32" s="51" t="e">
        <f t="shared" si="6"/>
        <v>#VALUE!</v>
      </c>
      <c r="K32" s="39">
        <v>15134910</v>
      </c>
      <c r="L32" s="9" t="s">
        <v>128</v>
      </c>
    </row>
    <row r="33" spans="1:12">
      <c r="A33" s="37" t="e">
        <f t="shared" si="0"/>
        <v>#VALUE!</v>
      </c>
      <c r="B33" s="35" t="e">
        <f t="shared" si="1"/>
        <v>#VALUE!</v>
      </c>
      <c r="C33" s="8" t="str">
        <f t="shared" si="2"/>
        <v/>
      </c>
      <c r="E33" s="37" t="e">
        <f t="shared" si="3"/>
        <v>#VALUE!</v>
      </c>
      <c r="F33" s="35" t="e">
        <f t="shared" si="4"/>
        <v>#VALUE!</v>
      </c>
      <c r="G33" s="8" t="str">
        <f t="shared" si="5"/>
        <v/>
      </c>
      <c r="H33" s="12">
        <v>31</v>
      </c>
      <c r="I33" s="50"/>
      <c r="J33" s="51" t="e">
        <f t="shared" si="6"/>
        <v>#VALUE!</v>
      </c>
      <c r="K33" s="39">
        <v>15126000</v>
      </c>
      <c r="L33" s="9" t="s">
        <v>37</v>
      </c>
    </row>
    <row r="34" spans="1:12">
      <c r="A34" s="37" t="e">
        <f t="shared" si="0"/>
        <v>#VALUE!</v>
      </c>
      <c r="B34" s="35" t="e">
        <f t="shared" si="1"/>
        <v>#VALUE!</v>
      </c>
      <c r="C34" s="8" t="str">
        <f t="shared" si="2"/>
        <v/>
      </c>
      <c r="E34" s="37" t="e">
        <f t="shared" si="3"/>
        <v>#VALUE!</v>
      </c>
      <c r="F34" s="35" t="e">
        <f t="shared" si="4"/>
        <v>#VALUE!</v>
      </c>
      <c r="G34" s="8" t="str">
        <f t="shared" si="5"/>
        <v/>
      </c>
      <c r="H34" s="12">
        <v>32</v>
      </c>
      <c r="I34" s="50"/>
      <c r="J34" s="51" t="e">
        <f t="shared" si="6"/>
        <v>#VALUE!</v>
      </c>
      <c r="K34" s="39">
        <v>15120900</v>
      </c>
      <c r="L34" s="9" t="s">
        <v>32</v>
      </c>
    </row>
    <row r="35" spans="1:12">
      <c r="A35" s="37" t="e">
        <f t="shared" si="0"/>
        <v>#VALUE!</v>
      </c>
      <c r="B35" s="35" t="e">
        <f t="shared" si="1"/>
        <v>#VALUE!</v>
      </c>
      <c r="C35" s="8" t="str">
        <f t="shared" si="2"/>
        <v/>
      </c>
      <c r="E35" s="37" t="e">
        <f t="shared" si="3"/>
        <v>#VALUE!</v>
      </c>
      <c r="F35" s="35" t="e">
        <f t="shared" si="4"/>
        <v>#VALUE!</v>
      </c>
      <c r="G35" s="8" t="str">
        <f t="shared" si="5"/>
        <v/>
      </c>
      <c r="H35" s="12">
        <v>33</v>
      </c>
      <c r="I35" s="50"/>
      <c r="J35" s="51" t="e">
        <f t="shared" si="6"/>
        <v>#VALUE!</v>
      </c>
      <c r="K35" s="39">
        <v>15134300</v>
      </c>
      <c r="L35" s="9" t="s">
        <v>173</v>
      </c>
    </row>
    <row r="36" spans="1:12">
      <c r="A36" s="37" t="e">
        <f t="shared" si="0"/>
        <v>#VALUE!</v>
      </c>
      <c r="B36" s="35" t="e">
        <f t="shared" si="1"/>
        <v>#VALUE!</v>
      </c>
      <c r="C36" s="8" t="str">
        <f t="shared" si="2"/>
        <v/>
      </c>
      <c r="E36" s="37" t="e">
        <f t="shared" si="3"/>
        <v>#VALUE!</v>
      </c>
      <c r="F36" s="35" t="e">
        <f t="shared" si="4"/>
        <v>#VALUE!</v>
      </c>
      <c r="G36" s="8" t="str">
        <f t="shared" si="5"/>
        <v/>
      </c>
      <c r="H36" s="12">
        <v>34</v>
      </c>
      <c r="I36" s="50"/>
      <c r="J36" s="51" t="e">
        <f t="shared" si="6"/>
        <v>#VALUE!</v>
      </c>
      <c r="K36" s="39">
        <v>15126400</v>
      </c>
      <c r="L36" s="9" t="s">
        <v>123</v>
      </c>
    </row>
    <row r="37" spans="1:12">
      <c r="A37" s="37" t="e">
        <f t="shared" si="0"/>
        <v>#VALUE!</v>
      </c>
      <c r="B37" s="35" t="e">
        <f t="shared" si="1"/>
        <v>#VALUE!</v>
      </c>
      <c r="C37" s="8" t="str">
        <f t="shared" si="2"/>
        <v/>
      </c>
      <c r="E37" s="37" t="e">
        <f t="shared" si="3"/>
        <v>#VALUE!</v>
      </c>
      <c r="F37" s="35" t="e">
        <f t="shared" si="4"/>
        <v>#VALUE!</v>
      </c>
      <c r="G37" s="8" t="str">
        <f t="shared" si="5"/>
        <v/>
      </c>
      <c r="H37" s="12">
        <v>35</v>
      </c>
      <c r="I37" s="50"/>
      <c r="J37" s="51" t="e">
        <f t="shared" si="6"/>
        <v>#VALUE!</v>
      </c>
      <c r="K37" s="39">
        <v>15126300</v>
      </c>
      <c r="L37" s="9" t="s">
        <v>132</v>
      </c>
    </row>
    <row r="38" spans="1:12">
      <c r="A38" s="37" t="e">
        <f t="shared" si="0"/>
        <v>#VALUE!</v>
      </c>
      <c r="B38" s="35" t="e">
        <f t="shared" si="1"/>
        <v>#VALUE!</v>
      </c>
      <c r="C38" s="8" t="str">
        <f t="shared" si="2"/>
        <v/>
      </c>
      <c r="E38" s="37" t="e">
        <f t="shared" si="3"/>
        <v>#VALUE!</v>
      </c>
      <c r="F38" s="35" t="e">
        <f t="shared" si="4"/>
        <v>#VALUE!</v>
      </c>
      <c r="G38" s="8" t="str">
        <f t="shared" si="5"/>
        <v/>
      </c>
      <c r="H38" s="12">
        <v>36</v>
      </c>
      <c r="I38" s="50"/>
      <c r="J38" s="51" t="e">
        <f t="shared" si="6"/>
        <v>#VALUE!</v>
      </c>
      <c r="K38" s="39">
        <v>14394900</v>
      </c>
      <c r="L38" s="9" t="s">
        <v>124</v>
      </c>
    </row>
    <row r="39" spans="1:12">
      <c r="A39" s="37" t="e">
        <f t="shared" si="0"/>
        <v>#VALUE!</v>
      </c>
      <c r="B39" s="35" t="e">
        <f t="shared" si="1"/>
        <v>#VALUE!</v>
      </c>
      <c r="C39" s="8" t="str">
        <f t="shared" si="2"/>
        <v/>
      </c>
      <c r="E39" s="37" t="e">
        <f t="shared" si="3"/>
        <v>#VALUE!</v>
      </c>
      <c r="F39" s="35" t="e">
        <f t="shared" si="4"/>
        <v>#VALUE!</v>
      </c>
      <c r="G39" s="8" t="str">
        <f t="shared" si="5"/>
        <v/>
      </c>
      <c r="H39" s="12">
        <v>37</v>
      </c>
      <c r="I39" s="50"/>
      <c r="J39" s="51" t="e">
        <f t="shared" si="6"/>
        <v>#VALUE!</v>
      </c>
      <c r="K39" s="39">
        <v>15271600</v>
      </c>
      <c r="L39" s="9" t="s">
        <v>51</v>
      </c>
    </row>
    <row r="40" spans="1:12">
      <c r="A40" s="37" t="e">
        <f t="shared" si="0"/>
        <v>#VALUE!</v>
      </c>
      <c r="B40" s="35" t="e">
        <f t="shared" si="1"/>
        <v>#VALUE!</v>
      </c>
      <c r="C40" s="8" t="str">
        <f t="shared" si="2"/>
        <v/>
      </c>
      <c r="E40" s="37" t="e">
        <f t="shared" si="3"/>
        <v>#VALUE!</v>
      </c>
      <c r="F40" s="35" t="e">
        <f t="shared" si="4"/>
        <v>#VALUE!</v>
      </c>
      <c r="G40" s="8" t="str">
        <f t="shared" si="5"/>
        <v/>
      </c>
      <c r="H40" s="12">
        <v>38</v>
      </c>
      <c r="I40" s="50"/>
      <c r="J40" s="51" t="e">
        <f t="shared" si="6"/>
        <v>#VALUE!</v>
      </c>
      <c r="K40" s="39">
        <v>15134620</v>
      </c>
      <c r="L40" s="9" t="s">
        <v>177</v>
      </c>
    </row>
    <row r="41" spans="1:12">
      <c r="A41" s="37" t="e">
        <f t="shared" si="0"/>
        <v>#VALUE!</v>
      </c>
      <c r="B41" s="35" t="e">
        <f t="shared" si="1"/>
        <v>#VALUE!</v>
      </c>
      <c r="C41" s="8" t="str">
        <f t="shared" si="2"/>
        <v/>
      </c>
      <c r="E41" s="37" t="e">
        <f t="shared" si="3"/>
        <v>#VALUE!</v>
      </c>
      <c r="F41" s="35" t="e">
        <f t="shared" si="4"/>
        <v>#VALUE!</v>
      </c>
      <c r="G41" s="8" t="str">
        <f t="shared" si="5"/>
        <v/>
      </c>
      <c r="H41" s="12">
        <v>39</v>
      </c>
      <c r="I41" s="50"/>
      <c r="J41" s="51" t="e">
        <f t="shared" si="6"/>
        <v>#VALUE!</v>
      </c>
      <c r="K41" s="39">
        <v>15126600</v>
      </c>
      <c r="L41" s="9" t="s">
        <v>45</v>
      </c>
    </row>
    <row r="42" spans="1:12">
      <c r="A42" s="37" t="e">
        <f t="shared" si="0"/>
        <v>#VALUE!</v>
      </c>
      <c r="B42" s="35" t="e">
        <f t="shared" si="1"/>
        <v>#VALUE!</v>
      </c>
      <c r="C42" s="8" t="str">
        <f t="shared" si="2"/>
        <v/>
      </c>
      <c r="E42" s="37" t="e">
        <f t="shared" si="3"/>
        <v>#VALUE!</v>
      </c>
      <c r="F42" s="35" t="e">
        <f t="shared" si="4"/>
        <v>#VALUE!</v>
      </c>
      <c r="G42" s="8" t="str">
        <f t="shared" si="5"/>
        <v/>
      </c>
      <c r="H42" s="12">
        <v>40</v>
      </c>
      <c r="I42" s="48"/>
      <c r="J42" s="51" t="e">
        <f t="shared" si="6"/>
        <v>#VALUE!</v>
      </c>
      <c r="K42" s="39">
        <v>10248210</v>
      </c>
      <c r="L42" s="9" t="s">
        <v>162</v>
      </c>
    </row>
    <row r="43" spans="1:12">
      <c r="A43" s="37" t="e">
        <f t="shared" si="0"/>
        <v>#VALUE!</v>
      </c>
      <c r="B43" s="35" t="e">
        <f t="shared" si="1"/>
        <v>#VALUE!</v>
      </c>
      <c r="C43" s="8" t="str">
        <f t="shared" si="2"/>
        <v/>
      </c>
      <c r="E43" s="37" t="e">
        <f t="shared" si="3"/>
        <v>#VALUE!</v>
      </c>
      <c r="F43" s="35" t="e">
        <f t="shared" si="4"/>
        <v>#VALUE!</v>
      </c>
      <c r="G43" s="8" t="str">
        <f t="shared" si="5"/>
        <v/>
      </c>
      <c r="H43" s="12">
        <v>41</v>
      </c>
      <c r="I43" s="48"/>
      <c r="J43" s="51" t="e">
        <f t="shared" si="6"/>
        <v>#VALUE!</v>
      </c>
      <c r="K43" s="39">
        <v>15125570</v>
      </c>
      <c r="L43" s="9" t="s">
        <v>57</v>
      </c>
    </row>
    <row r="44" spans="1:12">
      <c r="A44" s="37" t="e">
        <f t="shared" si="0"/>
        <v>#VALUE!</v>
      </c>
      <c r="B44" s="35" t="e">
        <f t="shared" si="1"/>
        <v>#VALUE!</v>
      </c>
      <c r="C44" s="8" t="str">
        <f t="shared" si="2"/>
        <v/>
      </c>
      <c r="E44" s="37" t="e">
        <f t="shared" si="3"/>
        <v>#VALUE!</v>
      </c>
      <c r="F44" s="35" t="e">
        <f t="shared" si="4"/>
        <v>#VALUE!</v>
      </c>
      <c r="G44" s="8" t="str">
        <f t="shared" si="5"/>
        <v/>
      </c>
      <c r="H44" s="12">
        <v>42</v>
      </c>
      <c r="I44" s="48"/>
      <c r="J44" s="51" t="e">
        <f t="shared" si="6"/>
        <v>#VALUE!</v>
      </c>
      <c r="K44" s="39">
        <v>16281270</v>
      </c>
      <c r="L44" s="9" t="s">
        <v>174</v>
      </c>
    </row>
    <row r="45" spans="1:12">
      <c r="A45" s="37" t="e">
        <f t="shared" si="0"/>
        <v>#VALUE!</v>
      </c>
      <c r="B45" s="35" t="e">
        <f t="shared" si="1"/>
        <v>#VALUE!</v>
      </c>
      <c r="C45" s="8" t="str">
        <f t="shared" si="2"/>
        <v/>
      </c>
      <c r="E45" s="37" t="e">
        <f t="shared" si="3"/>
        <v>#VALUE!</v>
      </c>
      <c r="F45" s="35" t="e">
        <f t="shared" si="4"/>
        <v>#VALUE!</v>
      </c>
      <c r="G45" s="8" t="str">
        <f t="shared" si="5"/>
        <v/>
      </c>
      <c r="H45" s="12">
        <v>43</v>
      </c>
      <c r="I45" s="48"/>
      <c r="J45" s="51" t="e">
        <f t="shared" si="6"/>
        <v>#VALUE!</v>
      </c>
      <c r="K45" s="39">
        <v>16458000</v>
      </c>
      <c r="L45" s="9" t="s">
        <v>155</v>
      </c>
    </row>
    <row r="46" spans="1:12">
      <c r="A46" s="37" t="e">
        <f t="shared" si="0"/>
        <v>#VALUE!</v>
      </c>
      <c r="B46" s="35" t="e">
        <f t="shared" si="1"/>
        <v>#VALUE!</v>
      </c>
      <c r="C46" s="8" t="str">
        <f t="shared" si="2"/>
        <v/>
      </c>
      <c r="E46" s="37" t="e">
        <f t="shared" si="3"/>
        <v>#VALUE!</v>
      </c>
      <c r="F46" s="35" t="e">
        <f t="shared" si="4"/>
        <v>#VALUE!</v>
      </c>
      <c r="G46" s="8" t="str">
        <f t="shared" si="5"/>
        <v/>
      </c>
      <c r="H46" s="12">
        <v>44</v>
      </c>
      <c r="I46" s="48"/>
      <c r="J46" s="51" t="e">
        <f t="shared" si="6"/>
        <v>#VALUE!</v>
      </c>
      <c r="K46" s="39">
        <v>16458510</v>
      </c>
      <c r="L46" s="9" t="s">
        <v>156</v>
      </c>
    </row>
    <row r="47" spans="1:12">
      <c r="A47" s="37" t="e">
        <f t="shared" si="0"/>
        <v>#VALUE!</v>
      </c>
      <c r="B47" s="35" t="e">
        <f t="shared" si="1"/>
        <v>#VALUE!</v>
      </c>
      <c r="C47" s="8" t="str">
        <f t="shared" si="2"/>
        <v/>
      </c>
      <c r="E47" s="37" t="e">
        <f t="shared" si="3"/>
        <v>#VALUE!</v>
      </c>
      <c r="F47" s="35" t="e">
        <f t="shared" si="4"/>
        <v>#VALUE!</v>
      </c>
      <c r="G47" s="8" t="str">
        <f t="shared" si="5"/>
        <v/>
      </c>
      <c r="H47" s="12">
        <v>45</v>
      </c>
      <c r="I47" s="48"/>
      <c r="J47" s="51" t="e">
        <f t="shared" si="6"/>
        <v>#VALUE!</v>
      </c>
      <c r="K47" s="39">
        <v>16458320</v>
      </c>
      <c r="L47" s="9" t="s">
        <v>157</v>
      </c>
    </row>
    <row r="48" spans="1:12">
      <c r="A48" s="37" t="e">
        <f t="shared" si="0"/>
        <v>#VALUE!</v>
      </c>
      <c r="B48" s="35" t="e">
        <f t="shared" si="1"/>
        <v>#VALUE!</v>
      </c>
      <c r="C48" s="8" t="str">
        <f t="shared" si="2"/>
        <v/>
      </c>
      <c r="E48" s="37" t="e">
        <f t="shared" si="3"/>
        <v>#VALUE!</v>
      </c>
      <c r="F48" s="35" t="e">
        <f t="shared" si="4"/>
        <v>#VALUE!</v>
      </c>
      <c r="G48" s="8" t="str">
        <f t="shared" si="5"/>
        <v/>
      </c>
      <c r="H48" s="12">
        <v>46</v>
      </c>
      <c r="I48" s="48"/>
      <c r="J48" s="51" t="e">
        <f t="shared" si="6"/>
        <v>#VALUE!</v>
      </c>
      <c r="K48" s="39">
        <v>16283600</v>
      </c>
      <c r="L48" s="9" t="s">
        <v>80</v>
      </c>
    </row>
    <row r="49" spans="1:12">
      <c r="A49" s="37" t="e">
        <f t="shared" si="0"/>
        <v>#VALUE!</v>
      </c>
      <c r="B49" s="35" t="e">
        <f t="shared" si="1"/>
        <v>#VALUE!</v>
      </c>
      <c r="C49" s="8" t="str">
        <f t="shared" si="2"/>
        <v/>
      </c>
      <c r="E49" s="37" t="e">
        <f t="shared" si="3"/>
        <v>#VALUE!</v>
      </c>
      <c r="F49" s="35" t="e">
        <f t="shared" si="4"/>
        <v>#VALUE!</v>
      </c>
      <c r="G49" s="8" t="str">
        <f t="shared" si="5"/>
        <v/>
      </c>
      <c r="H49" s="12">
        <v>47</v>
      </c>
      <c r="I49" s="50"/>
      <c r="J49" s="51" t="e">
        <f t="shared" si="6"/>
        <v>#VALUE!</v>
      </c>
      <c r="K49" s="39">
        <v>15135640</v>
      </c>
      <c r="L49" s="9" t="s">
        <v>158</v>
      </c>
    </row>
    <row r="50" spans="1:12">
      <c r="A50" s="37" t="e">
        <f t="shared" si="0"/>
        <v>#VALUE!</v>
      </c>
      <c r="B50" s="35" t="e">
        <f t="shared" si="1"/>
        <v>#VALUE!</v>
      </c>
      <c r="C50" s="8" t="str">
        <f t="shared" si="2"/>
        <v/>
      </c>
      <c r="E50" s="37" t="e">
        <f t="shared" si="3"/>
        <v>#VALUE!</v>
      </c>
      <c r="F50" s="35" t="e">
        <f t="shared" si="4"/>
        <v>#VALUE!</v>
      </c>
      <c r="G50" s="8" t="str">
        <f t="shared" si="5"/>
        <v/>
      </c>
      <c r="H50" s="12">
        <v>48</v>
      </c>
      <c r="I50" s="48"/>
      <c r="J50" s="51" t="e">
        <f t="shared" si="6"/>
        <v>#VALUE!</v>
      </c>
      <c r="K50" s="39">
        <v>15133200</v>
      </c>
      <c r="L50" s="9" t="s">
        <v>47</v>
      </c>
    </row>
    <row r="51" spans="1:12">
      <c r="H51" s="12">
        <v>1</v>
      </c>
      <c r="I51" s="50"/>
      <c r="J51" s="51" t="e">
        <f t="shared" si="6"/>
        <v>#VALUE!</v>
      </c>
      <c r="K51" s="39">
        <v>16454600</v>
      </c>
      <c r="L51" s="9" t="s">
        <v>19</v>
      </c>
    </row>
    <row r="52" spans="1:12">
      <c r="A52" s="22"/>
      <c r="H52" s="12">
        <v>2</v>
      </c>
      <c r="I52" s="48"/>
      <c r="J52" s="51" t="e">
        <f t="shared" si="6"/>
        <v>#VALUE!</v>
      </c>
      <c r="K52" s="39">
        <v>16454650</v>
      </c>
      <c r="L52" s="9" t="s">
        <v>20</v>
      </c>
    </row>
    <row r="53" spans="1:12">
      <c r="A53"/>
      <c r="H53" s="12">
        <v>3</v>
      </c>
      <c r="I53" s="48"/>
      <c r="J53" s="51" t="e">
        <f t="shared" si="6"/>
        <v>#VALUE!</v>
      </c>
      <c r="K53" s="39">
        <v>12696700</v>
      </c>
      <c r="L53" s="9" t="s">
        <v>148</v>
      </c>
    </row>
    <row r="54" spans="1:12">
      <c r="A54"/>
      <c r="H54" s="12">
        <v>4</v>
      </c>
      <c r="I54" s="48"/>
      <c r="J54" s="51" t="e">
        <f t="shared" si="6"/>
        <v>#VALUE!</v>
      </c>
      <c r="K54" s="39">
        <v>16457500</v>
      </c>
      <c r="L54" s="9" t="s">
        <v>151</v>
      </c>
    </row>
    <row r="55" spans="1:12">
      <c r="A55"/>
      <c r="H55" s="12">
        <v>5</v>
      </c>
      <c r="I55" s="48"/>
      <c r="J55" s="51" t="e">
        <f t="shared" si="6"/>
        <v>#VALUE!</v>
      </c>
      <c r="K55" s="39">
        <v>11482210</v>
      </c>
      <c r="L55" s="9" t="s">
        <v>56</v>
      </c>
    </row>
    <row r="56" spans="1:12">
      <c r="A56"/>
      <c r="H56" s="12">
        <v>6</v>
      </c>
      <c r="I56" s="48"/>
      <c r="J56" s="51" t="e">
        <f t="shared" si="6"/>
        <v>#VALUE!</v>
      </c>
      <c r="K56" s="39">
        <v>16284490</v>
      </c>
      <c r="L56" s="9" t="s">
        <v>175</v>
      </c>
    </row>
    <row r="57" spans="1:12">
      <c r="A57"/>
      <c r="H57" s="12">
        <v>7</v>
      </c>
      <c r="I57" s="48"/>
      <c r="J57" s="51" t="e">
        <f t="shared" si="6"/>
        <v>#VALUE!</v>
      </c>
      <c r="K57" s="39">
        <v>15133450</v>
      </c>
      <c r="L57" s="9" t="s">
        <v>55</v>
      </c>
    </row>
    <row r="58" spans="1:12">
      <c r="A58"/>
      <c r="H58" s="12">
        <v>8</v>
      </c>
      <c r="I58" s="48"/>
      <c r="J58" s="51" t="e">
        <f t="shared" si="6"/>
        <v>#VALUE!</v>
      </c>
      <c r="K58" s="39">
        <v>16457000</v>
      </c>
      <c r="L58" s="9" t="s">
        <v>127</v>
      </c>
    </row>
    <row r="59" spans="1:12">
      <c r="A59"/>
      <c r="H59" s="12">
        <v>9</v>
      </c>
      <c r="I59" s="48"/>
      <c r="J59" s="51" t="e">
        <f t="shared" si="6"/>
        <v>#VALUE!</v>
      </c>
      <c r="K59" s="39">
        <v>16457010</v>
      </c>
      <c r="L59" s="9" t="s">
        <v>129</v>
      </c>
    </row>
    <row r="60" spans="1:12">
      <c r="A60"/>
      <c r="H60" s="12">
        <v>10</v>
      </c>
      <c r="I60" s="48"/>
      <c r="J60" s="51" t="e">
        <f t="shared" si="6"/>
        <v>#VALUE!</v>
      </c>
      <c r="K60" s="39">
        <v>15271810</v>
      </c>
      <c r="L60" s="9" t="s">
        <v>21</v>
      </c>
    </row>
    <row r="61" spans="1:12">
      <c r="A61"/>
      <c r="H61" s="12">
        <v>11</v>
      </c>
      <c r="I61" s="48"/>
      <c r="J61" s="51" t="e">
        <f t="shared" si="6"/>
        <v>#VALUE!</v>
      </c>
      <c r="K61" s="39">
        <v>15271880</v>
      </c>
      <c r="L61" s="9" t="s">
        <v>22</v>
      </c>
    </row>
    <row r="62" spans="1:12">
      <c r="A62"/>
      <c r="H62" s="12">
        <v>12</v>
      </c>
      <c r="I62" s="48"/>
      <c r="J62" s="51" t="e">
        <f t="shared" si="6"/>
        <v>#VALUE!</v>
      </c>
      <c r="K62" s="39">
        <v>15271540</v>
      </c>
      <c r="L62" s="9" t="s">
        <v>23</v>
      </c>
    </row>
    <row r="63" spans="1:12">
      <c r="A63"/>
      <c r="H63" s="12">
        <v>13</v>
      </c>
      <c r="I63" s="48"/>
      <c r="J63" s="51" t="e">
        <f t="shared" si="6"/>
        <v>#VALUE!</v>
      </c>
      <c r="K63" s="39">
        <v>16794000</v>
      </c>
      <c r="L63" s="9" t="s">
        <v>62</v>
      </c>
    </row>
    <row r="64" spans="1:12">
      <c r="A64"/>
      <c r="H64" s="12">
        <v>14</v>
      </c>
      <c r="I64" s="48"/>
      <c r="J64" s="51" t="e">
        <f t="shared" si="6"/>
        <v>#VALUE!</v>
      </c>
      <c r="K64" s="39">
        <v>13679000</v>
      </c>
      <c r="L64" s="9" t="s">
        <v>172</v>
      </c>
    </row>
    <row r="65" spans="1:12">
      <c r="A65"/>
      <c r="H65" s="12">
        <v>15</v>
      </c>
      <c r="I65" s="48"/>
      <c r="J65" s="51" t="e">
        <f t="shared" si="6"/>
        <v>#VALUE!</v>
      </c>
      <c r="K65" s="39">
        <v>16736000</v>
      </c>
      <c r="L65" s="9" t="s">
        <v>67</v>
      </c>
    </row>
    <row r="66" spans="1:12">
      <c r="A66"/>
      <c r="H66" s="12">
        <v>16</v>
      </c>
      <c r="I66" s="48"/>
      <c r="J66" s="51" t="e">
        <f t="shared" si="6"/>
        <v>#VALUE!</v>
      </c>
      <c r="K66" s="39">
        <v>11986330</v>
      </c>
      <c r="L66" s="9" t="s">
        <v>145</v>
      </c>
    </row>
    <row r="67" spans="1:12">
      <c r="A67"/>
      <c r="H67" s="12">
        <v>17</v>
      </c>
      <c r="I67" s="48"/>
      <c r="J67" s="51" t="e">
        <f t="shared" si="6"/>
        <v>#VALUE!</v>
      </c>
      <c r="K67" s="39">
        <v>16283820</v>
      </c>
      <c r="L67" s="9" t="s">
        <v>169</v>
      </c>
    </row>
    <row r="68" spans="1:12">
      <c r="A68"/>
      <c r="H68" s="12">
        <v>18</v>
      </c>
      <c r="I68" s="48"/>
      <c r="J68" s="51" t="e">
        <f t="shared" ref="J68:J98" si="7">IF(LEN(I68)=14,VALUE(MID(I68,1,8)),VALUE(MID(I68,3,8)))</f>
        <v>#VALUE!</v>
      </c>
      <c r="K68" s="39">
        <v>16672910</v>
      </c>
      <c r="L68" s="9" t="s">
        <v>24</v>
      </c>
    </row>
    <row r="69" spans="1:12">
      <c r="A69"/>
      <c r="H69" s="12">
        <v>19</v>
      </c>
      <c r="I69" s="48"/>
      <c r="J69" s="51" t="e">
        <f t="shared" si="7"/>
        <v>#VALUE!</v>
      </c>
      <c r="K69" s="39">
        <v>13171500</v>
      </c>
      <c r="L69" s="9" t="s">
        <v>84</v>
      </c>
    </row>
    <row r="70" spans="1:12">
      <c r="A70"/>
      <c r="H70" s="12">
        <v>20</v>
      </c>
      <c r="I70" s="48"/>
      <c r="J70" s="51" t="e">
        <f t="shared" si="7"/>
        <v>#VALUE!</v>
      </c>
      <c r="K70" s="39">
        <v>16673060</v>
      </c>
      <c r="L70" s="9" t="s">
        <v>25</v>
      </c>
    </row>
    <row r="71" spans="1:12">
      <c r="A71"/>
      <c r="H71" s="12">
        <v>21</v>
      </c>
      <c r="I71" s="48"/>
      <c r="J71" s="51" t="e">
        <f t="shared" si="7"/>
        <v>#VALUE!</v>
      </c>
      <c r="K71" s="39">
        <v>16677000</v>
      </c>
      <c r="L71" s="9" t="s">
        <v>26</v>
      </c>
    </row>
    <row r="72" spans="1:12">
      <c r="A72"/>
      <c r="H72" s="12">
        <v>22</v>
      </c>
      <c r="I72" s="48"/>
      <c r="J72" s="51" t="e">
        <f t="shared" si="7"/>
        <v>#VALUE!</v>
      </c>
      <c r="K72" s="39">
        <v>11002400</v>
      </c>
      <c r="L72" s="9" t="s">
        <v>27</v>
      </c>
    </row>
    <row r="73" spans="1:12">
      <c r="A73"/>
      <c r="H73" s="12">
        <v>23</v>
      </c>
      <c r="I73" s="48"/>
      <c r="J73" s="51" t="e">
        <f t="shared" si="7"/>
        <v>#VALUE!</v>
      </c>
      <c r="K73" s="39">
        <v>11001300</v>
      </c>
      <c r="L73" s="9" t="s">
        <v>28</v>
      </c>
    </row>
    <row r="74" spans="1:12">
      <c r="A74"/>
      <c r="H74" s="12">
        <v>24</v>
      </c>
      <c r="I74" s="48"/>
      <c r="J74" s="51" t="e">
        <f t="shared" si="7"/>
        <v>#VALUE!</v>
      </c>
      <c r="K74" s="39">
        <v>16283140</v>
      </c>
      <c r="L74" s="9" t="s">
        <v>176</v>
      </c>
    </row>
    <row r="75" spans="1:12">
      <c r="A75" s="23"/>
      <c r="H75" s="12">
        <v>25</v>
      </c>
      <c r="I75" s="48"/>
      <c r="J75" s="51" t="e">
        <f t="shared" si="7"/>
        <v>#VALUE!</v>
      </c>
      <c r="K75" s="39">
        <v>13174000</v>
      </c>
      <c r="L75" s="9" t="s">
        <v>144</v>
      </c>
    </row>
    <row r="76" spans="1:12">
      <c r="A76" s="23"/>
      <c r="H76" s="12">
        <v>26</v>
      </c>
      <c r="I76" s="48"/>
      <c r="J76" s="51" t="e">
        <f t="shared" si="7"/>
        <v>#VALUE!</v>
      </c>
      <c r="K76" s="39">
        <v>11952420</v>
      </c>
      <c r="L76" s="9" t="s">
        <v>68</v>
      </c>
    </row>
    <row r="77" spans="1:12">
      <c r="A77" s="23"/>
      <c r="H77" s="12">
        <v>27</v>
      </c>
      <c r="I77" s="48"/>
      <c r="J77" s="51" t="e">
        <f t="shared" si="7"/>
        <v>#VALUE!</v>
      </c>
      <c r="K77" s="39">
        <v>11870110</v>
      </c>
      <c r="L77" s="9" t="s">
        <v>171</v>
      </c>
    </row>
    <row r="78" spans="1:12">
      <c r="A78" s="23"/>
      <c r="H78" s="12">
        <v>28</v>
      </c>
      <c r="I78" s="48"/>
      <c r="J78" s="51" t="e">
        <f t="shared" si="7"/>
        <v>#VALUE!</v>
      </c>
      <c r="K78" s="39">
        <v>11980600</v>
      </c>
      <c r="L78" s="9" t="s">
        <v>146</v>
      </c>
    </row>
    <row r="79" spans="1:12">
      <c r="A79" s="23"/>
      <c r="H79" s="12">
        <v>29</v>
      </c>
      <c r="I79" s="48"/>
      <c r="J79" s="51" t="e">
        <f t="shared" si="7"/>
        <v>#VALUE!</v>
      </c>
      <c r="K79" s="39">
        <v>11980530</v>
      </c>
      <c r="L79" s="9" t="s">
        <v>29</v>
      </c>
    </row>
    <row r="80" spans="1:12">
      <c r="A80" s="23"/>
      <c r="H80" s="12">
        <v>30</v>
      </c>
      <c r="I80" s="48"/>
      <c r="J80" s="51" t="e">
        <f t="shared" si="7"/>
        <v>#VALUE!</v>
      </c>
      <c r="K80" s="39">
        <v>10815330</v>
      </c>
      <c r="L80" s="9" t="s">
        <v>170</v>
      </c>
    </row>
    <row r="81" spans="1:12">
      <c r="A81" s="23"/>
      <c r="H81" s="12">
        <v>31</v>
      </c>
      <c r="I81" s="48"/>
      <c r="J81" s="51" t="e">
        <f t="shared" si="7"/>
        <v>#VALUE!</v>
      </c>
      <c r="K81" s="39">
        <v>16281040</v>
      </c>
      <c r="L81" s="9" t="s">
        <v>75</v>
      </c>
    </row>
    <row r="82" spans="1:12">
      <c r="A82" s="23"/>
      <c r="H82" s="12">
        <v>32</v>
      </c>
      <c r="I82" s="48"/>
      <c r="J82" s="51" t="e">
        <f t="shared" si="7"/>
        <v>#VALUE!</v>
      </c>
      <c r="K82" s="39">
        <v>10811710</v>
      </c>
      <c r="L82" s="9" t="s">
        <v>167</v>
      </c>
    </row>
    <row r="83" spans="1:12">
      <c r="A83" s="23"/>
      <c r="H83" s="12">
        <v>33</v>
      </c>
      <c r="I83" s="48"/>
      <c r="J83" s="51" t="e">
        <f t="shared" si="7"/>
        <v>#VALUE!</v>
      </c>
      <c r="K83" s="39">
        <v>16280000</v>
      </c>
      <c r="L83" s="9" t="s">
        <v>70</v>
      </c>
    </row>
    <row r="84" spans="1:12">
      <c r="A84" s="23"/>
      <c r="H84" s="12">
        <v>34</v>
      </c>
      <c r="I84" s="48"/>
      <c r="J84" s="51" t="e">
        <f t="shared" si="7"/>
        <v>#VALUE!</v>
      </c>
      <c r="K84" s="39">
        <v>16762000</v>
      </c>
      <c r="L84" s="9" t="s">
        <v>64</v>
      </c>
    </row>
    <row r="85" spans="1:12">
      <c r="A85" s="23"/>
      <c r="H85" s="12">
        <v>35</v>
      </c>
      <c r="I85" s="48"/>
      <c r="J85" s="51" t="e">
        <f t="shared" si="7"/>
        <v>#VALUE!</v>
      </c>
      <c r="K85" s="39">
        <v>16281490</v>
      </c>
      <c r="L85" s="9" t="s">
        <v>108</v>
      </c>
    </row>
    <row r="86" spans="1:12">
      <c r="A86" s="23"/>
      <c r="H86" s="12">
        <v>36</v>
      </c>
      <c r="I86" s="48"/>
      <c r="J86" s="51" t="e">
        <f t="shared" si="7"/>
        <v>#VALUE!</v>
      </c>
      <c r="K86" s="39">
        <v>16281350</v>
      </c>
      <c r="L86" s="9" t="s">
        <v>69</v>
      </c>
    </row>
    <row r="87" spans="1:12">
      <c r="A87" s="23"/>
      <c r="H87" s="12">
        <v>37</v>
      </c>
      <c r="I87" s="48"/>
      <c r="J87" s="51" t="e">
        <f t="shared" si="7"/>
        <v>#VALUE!</v>
      </c>
      <c r="K87" s="39">
        <v>16297310</v>
      </c>
      <c r="L87" s="9" t="s">
        <v>61</v>
      </c>
    </row>
    <row r="88" spans="1:12">
      <c r="A88" s="23"/>
      <c r="H88" s="12">
        <v>38</v>
      </c>
      <c r="I88" s="48"/>
      <c r="J88" s="51" t="e">
        <f t="shared" si="7"/>
        <v>#VALUE!</v>
      </c>
      <c r="K88" s="39">
        <v>16281900</v>
      </c>
      <c r="L88" s="9" t="s">
        <v>74</v>
      </c>
    </row>
    <row r="89" spans="1:12">
      <c r="A89" s="23"/>
      <c r="H89" s="12">
        <v>39</v>
      </c>
      <c r="I89" s="48"/>
      <c r="J89" s="51" t="e">
        <f t="shared" si="7"/>
        <v>#VALUE!</v>
      </c>
      <c r="K89" s="39">
        <v>16282500</v>
      </c>
      <c r="L89" s="9" t="s">
        <v>76</v>
      </c>
    </row>
    <row r="90" spans="1:12">
      <c r="A90" s="23"/>
      <c r="H90" s="12">
        <v>40</v>
      </c>
      <c r="I90" s="48"/>
      <c r="J90" s="51" t="e">
        <f t="shared" si="7"/>
        <v>#VALUE!</v>
      </c>
      <c r="K90" s="39">
        <v>16283500</v>
      </c>
      <c r="L90" s="9" t="s">
        <v>71</v>
      </c>
    </row>
    <row r="91" spans="1:12">
      <c r="A91" s="23"/>
      <c r="H91" s="12">
        <v>41</v>
      </c>
      <c r="I91" s="48"/>
      <c r="J91" s="51" t="e">
        <f t="shared" si="7"/>
        <v>#VALUE!</v>
      </c>
      <c r="K91" s="40">
        <v>16283130</v>
      </c>
      <c r="L91" s="32" t="s">
        <v>77</v>
      </c>
    </row>
    <row r="92" spans="1:12">
      <c r="A92" s="23"/>
      <c r="H92" s="12">
        <v>42</v>
      </c>
      <c r="I92" s="48"/>
      <c r="J92" s="51" t="e">
        <f t="shared" si="7"/>
        <v>#VALUE!</v>
      </c>
      <c r="K92" s="39">
        <v>11509700</v>
      </c>
      <c r="L92" s="9" t="s">
        <v>41</v>
      </c>
    </row>
    <row r="93" spans="1:12">
      <c r="A93" s="23"/>
      <c r="H93" s="12">
        <v>43</v>
      </c>
      <c r="I93" s="48"/>
      <c r="J93" s="51" t="e">
        <f t="shared" si="7"/>
        <v>#VALUE!</v>
      </c>
      <c r="K93" s="39">
        <v>11519600</v>
      </c>
      <c r="L93" s="9" t="s">
        <v>42</v>
      </c>
    </row>
    <row r="94" spans="1:12">
      <c r="A94" s="23"/>
      <c r="H94" s="12">
        <v>44</v>
      </c>
      <c r="I94" s="48"/>
      <c r="J94" s="51" t="e">
        <f t="shared" si="7"/>
        <v>#VALUE!</v>
      </c>
      <c r="K94" s="39">
        <v>13673150</v>
      </c>
      <c r="L94" s="9" t="s">
        <v>63</v>
      </c>
    </row>
    <row r="95" spans="1:12">
      <c r="A95" s="23"/>
      <c r="H95" s="12">
        <v>45</v>
      </c>
      <c r="I95" s="48"/>
      <c r="J95" s="51" t="e">
        <f t="shared" si="7"/>
        <v>#VALUE!</v>
      </c>
      <c r="K95" s="39">
        <v>10811900</v>
      </c>
      <c r="L95" s="9" t="s">
        <v>154</v>
      </c>
    </row>
    <row r="96" spans="1:12">
      <c r="A96" s="23"/>
      <c r="H96" s="12">
        <v>46</v>
      </c>
      <c r="I96" s="48"/>
      <c r="J96" s="51" t="e">
        <f t="shared" si="7"/>
        <v>#VALUE!</v>
      </c>
      <c r="K96" s="39">
        <v>10557090</v>
      </c>
      <c r="L96" s="9" t="s">
        <v>122</v>
      </c>
    </row>
    <row r="97" spans="1:12">
      <c r="A97" s="23"/>
      <c r="H97" s="12">
        <v>47</v>
      </c>
      <c r="I97" s="48"/>
      <c r="J97" s="51" t="e">
        <f t="shared" si="7"/>
        <v>#VALUE!</v>
      </c>
      <c r="K97" s="39">
        <v>10563100</v>
      </c>
      <c r="L97" s="9" t="s">
        <v>116</v>
      </c>
    </row>
    <row r="98" spans="1:12">
      <c r="A98" s="23"/>
      <c r="H98" s="12">
        <v>48</v>
      </c>
      <c r="I98" s="48"/>
      <c r="J98" s="51" t="e">
        <f t="shared" si="7"/>
        <v>#VALUE!</v>
      </c>
      <c r="K98" s="39">
        <v>11952520</v>
      </c>
      <c r="L98" s="9" t="s">
        <v>152</v>
      </c>
    </row>
    <row r="99" spans="1:12">
      <c r="A99" s="23"/>
      <c r="I99" s="5"/>
      <c r="K99" s="41">
        <v>12580210</v>
      </c>
      <c r="L99" s="10" t="s">
        <v>49</v>
      </c>
    </row>
    <row r="100" spans="1:12">
      <c r="A100" s="23"/>
      <c r="I100" s="5"/>
      <c r="K100" s="39">
        <v>16283060</v>
      </c>
      <c r="L100" s="9" t="s">
        <v>163</v>
      </c>
    </row>
    <row r="101" spans="1:12">
      <c r="A101" s="23"/>
      <c r="J101" s="7"/>
      <c r="K101" s="39">
        <v>15134000</v>
      </c>
      <c r="L101" s="9" t="s">
        <v>121</v>
      </c>
    </row>
    <row r="102" spans="1:12">
      <c r="A102" s="23"/>
      <c r="J102" s="7"/>
      <c r="K102" s="39">
        <v>14444210</v>
      </c>
      <c r="L102" s="9" t="s">
        <v>82</v>
      </c>
    </row>
    <row r="103" spans="1:12">
      <c r="A103" s="23"/>
      <c r="J103" s="7"/>
      <c r="K103" s="39">
        <v>15131600</v>
      </c>
      <c r="L103" s="9" t="s">
        <v>31</v>
      </c>
    </row>
    <row r="104" spans="1:12">
      <c r="A104" s="23"/>
      <c r="J104" s="7"/>
      <c r="K104" s="39">
        <v>14451500</v>
      </c>
      <c r="L104" s="9" t="s">
        <v>54</v>
      </c>
    </row>
    <row r="105" spans="1:12">
      <c r="A105" s="23"/>
      <c r="J105" s="7"/>
      <c r="K105" s="39">
        <v>16280090</v>
      </c>
      <c r="L105" s="9" t="s">
        <v>73</v>
      </c>
    </row>
    <row r="106" spans="1:12">
      <c r="A106" s="23"/>
      <c r="J106" s="7"/>
      <c r="K106" s="39">
        <v>15271700</v>
      </c>
      <c r="L106" s="9" t="s">
        <v>39</v>
      </c>
    </row>
    <row r="107" spans="1:12">
      <c r="A107" s="23"/>
      <c r="J107" s="7"/>
      <c r="K107" s="39">
        <v>10248200</v>
      </c>
      <c r="L107" s="9" t="s">
        <v>164</v>
      </c>
    </row>
    <row r="108" spans="1:12">
      <c r="A108" s="23"/>
      <c r="J108" s="7"/>
      <c r="K108" s="39">
        <v>11986300</v>
      </c>
      <c r="L108" s="9" t="s">
        <v>78</v>
      </c>
    </row>
    <row r="109" spans="1:12">
      <c r="A109" s="23"/>
      <c r="J109" s="7"/>
      <c r="K109" s="39">
        <v>11509300</v>
      </c>
      <c r="L109" s="9" t="s">
        <v>33</v>
      </c>
    </row>
    <row r="110" spans="1:12">
      <c r="A110" s="23"/>
      <c r="J110" s="7"/>
      <c r="K110" s="42">
        <v>13786100</v>
      </c>
      <c r="L110" s="20" t="s">
        <v>34</v>
      </c>
    </row>
    <row r="111" spans="1:12">
      <c r="A111" s="23"/>
      <c r="J111" s="7"/>
      <c r="K111" s="43">
        <v>13786000</v>
      </c>
      <c r="L111" s="21" t="s">
        <v>35</v>
      </c>
    </row>
    <row r="112" spans="1:12">
      <c r="A112" s="23"/>
      <c r="J112" s="7"/>
      <c r="K112" s="43">
        <v>16453530</v>
      </c>
      <c r="L112" s="21" t="s">
        <v>36</v>
      </c>
    </row>
    <row r="113" spans="1:12">
      <c r="A113" s="23"/>
      <c r="J113" s="7"/>
      <c r="K113" s="39">
        <v>13494000</v>
      </c>
      <c r="L113" s="9" t="s">
        <v>43</v>
      </c>
    </row>
    <row r="114" spans="1:12">
      <c r="A114" s="23"/>
      <c r="J114" s="7"/>
      <c r="K114" s="39">
        <v>11980350</v>
      </c>
      <c r="L114" s="9" t="s">
        <v>99</v>
      </c>
    </row>
    <row r="115" spans="1:12">
      <c r="A115" s="23"/>
      <c r="J115" s="7"/>
      <c r="K115" s="39">
        <v>14443500</v>
      </c>
      <c r="L115" s="9" t="s">
        <v>53</v>
      </c>
    </row>
    <row r="116" spans="1:12">
      <c r="A116" s="23"/>
      <c r="J116" s="7"/>
      <c r="K116" s="39">
        <v>10556600</v>
      </c>
      <c r="L116" s="9" t="s">
        <v>65</v>
      </c>
    </row>
    <row r="117" spans="1:12">
      <c r="A117" s="23"/>
      <c r="J117" s="7"/>
      <c r="K117" s="39">
        <v>12869190</v>
      </c>
      <c r="L117" s="9" t="s">
        <v>59</v>
      </c>
    </row>
    <row r="118" spans="1:12">
      <c r="A118" s="23"/>
      <c r="J118" s="7"/>
      <c r="K118" s="39">
        <v>15209000</v>
      </c>
      <c r="L118" s="9" t="s">
        <v>52</v>
      </c>
    </row>
    <row r="119" spans="1:12">
      <c r="A119" s="23"/>
      <c r="J119" s="7"/>
      <c r="K119" s="39">
        <v>15132430</v>
      </c>
      <c r="L119" s="9" t="s">
        <v>38</v>
      </c>
    </row>
    <row r="120" spans="1:12">
      <c r="A120" s="23"/>
      <c r="J120" s="7"/>
      <c r="K120" s="39">
        <v>14443110</v>
      </c>
      <c r="L120" s="9" t="s">
        <v>72</v>
      </c>
    </row>
    <row r="121" spans="1:12">
      <c r="A121" s="23"/>
      <c r="J121" s="7"/>
      <c r="K121" s="39">
        <v>10557010</v>
      </c>
      <c r="L121" s="9" t="s">
        <v>119</v>
      </c>
    </row>
    <row r="122" spans="1:12">
      <c r="A122" s="23"/>
      <c r="J122" s="7"/>
      <c r="K122" s="44">
        <v>11981150</v>
      </c>
      <c r="L122" s="36" t="s">
        <v>44</v>
      </c>
    </row>
    <row r="123" spans="1:12">
      <c r="A123" s="23"/>
      <c r="K123" s="44">
        <v>16457100</v>
      </c>
      <c r="L123" s="36" t="s">
        <v>126</v>
      </c>
    </row>
    <row r="124" spans="1:12">
      <c r="A124" s="23"/>
      <c r="K124" s="44">
        <v>11984010</v>
      </c>
      <c r="L124" s="36" t="s">
        <v>85</v>
      </c>
    </row>
    <row r="125" spans="1:12">
      <c r="A125" s="23"/>
      <c r="K125" s="44">
        <v>13171700</v>
      </c>
      <c r="L125" s="36" t="s">
        <v>86</v>
      </c>
    </row>
    <row r="126" spans="1:12">
      <c r="A126" s="23"/>
      <c r="K126" s="44">
        <v>14442000</v>
      </c>
      <c r="L126" s="36" t="s">
        <v>87</v>
      </c>
    </row>
    <row r="127" spans="1:12">
      <c r="A127" s="23"/>
      <c r="K127" s="44">
        <v>16453500</v>
      </c>
      <c r="L127" s="36" t="s">
        <v>88</v>
      </c>
    </row>
    <row r="128" spans="1:12">
      <c r="A128" s="23"/>
      <c r="K128" s="44">
        <v>11986400</v>
      </c>
      <c r="L128" s="36" t="s">
        <v>90</v>
      </c>
    </row>
    <row r="129" spans="1:12">
      <c r="A129" s="23"/>
      <c r="K129" s="44">
        <v>11986800</v>
      </c>
      <c r="L129" s="36" t="s">
        <v>91</v>
      </c>
    </row>
    <row r="130" spans="1:12">
      <c r="A130" s="23"/>
      <c r="K130" s="44">
        <v>15132000</v>
      </c>
      <c r="L130" s="36" t="s">
        <v>92</v>
      </c>
    </row>
    <row r="131" spans="1:12">
      <c r="A131" s="23"/>
      <c r="K131" s="44">
        <v>15132210</v>
      </c>
      <c r="L131" s="36" t="s">
        <v>93</v>
      </c>
    </row>
    <row r="132" spans="1:12">
      <c r="A132" s="23"/>
      <c r="K132" s="44">
        <v>11987500</v>
      </c>
      <c r="L132" s="36" t="s">
        <v>136</v>
      </c>
    </row>
    <row r="133" spans="1:12">
      <c r="A133" s="23"/>
      <c r="K133" s="44">
        <v>15132810</v>
      </c>
      <c r="L133" s="36" t="s">
        <v>94</v>
      </c>
    </row>
    <row r="134" spans="1:12">
      <c r="A134" s="23"/>
      <c r="K134" s="44">
        <v>15134600</v>
      </c>
      <c r="L134" s="36" t="s">
        <v>125</v>
      </c>
    </row>
    <row r="135" spans="1:12">
      <c r="A135" s="23"/>
      <c r="K135" s="44">
        <v>16455000</v>
      </c>
      <c r="L135" s="36" t="s">
        <v>95</v>
      </c>
    </row>
    <row r="136" spans="1:12">
      <c r="A136" s="23"/>
      <c r="K136" s="44">
        <v>16281240</v>
      </c>
      <c r="L136" s="9" t="s">
        <v>96</v>
      </c>
    </row>
    <row r="137" spans="1:12">
      <c r="A137" s="23"/>
      <c r="K137" s="44">
        <v>15989000</v>
      </c>
      <c r="L137" s="36" t="s">
        <v>97</v>
      </c>
    </row>
    <row r="138" spans="1:12">
      <c r="A138" s="23"/>
      <c r="K138" s="44">
        <v>16281540</v>
      </c>
      <c r="L138" s="36" t="s">
        <v>98</v>
      </c>
    </row>
    <row r="139" spans="1:12">
      <c r="A139" s="23"/>
      <c r="K139" s="44">
        <v>16284430</v>
      </c>
      <c r="L139" s="36" t="s">
        <v>100</v>
      </c>
    </row>
    <row r="140" spans="1:12">
      <c r="A140" s="23"/>
      <c r="K140" s="44">
        <v>14453000</v>
      </c>
      <c r="L140" s="36" t="s">
        <v>101</v>
      </c>
    </row>
    <row r="141" spans="1:12">
      <c r="A141" s="23"/>
      <c r="K141" s="44">
        <v>14442310</v>
      </c>
      <c r="L141" s="36" t="s">
        <v>106</v>
      </c>
    </row>
    <row r="142" spans="1:12">
      <c r="A142" s="23"/>
      <c r="K142" s="44">
        <v>16440000</v>
      </c>
      <c r="L142" s="36" t="s">
        <v>102</v>
      </c>
    </row>
    <row r="143" spans="1:12">
      <c r="A143" s="23"/>
      <c r="K143" s="44">
        <v>16455350</v>
      </c>
      <c r="L143" s="36" t="s">
        <v>103</v>
      </c>
    </row>
    <row r="144" spans="1:12">
      <c r="A144" s="23"/>
      <c r="K144" s="44">
        <v>13242300</v>
      </c>
      <c r="L144" s="36" t="s">
        <v>104</v>
      </c>
    </row>
    <row r="145" spans="1:12">
      <c r="A145" s="23"/>
      <c r="K145" s="44">
        <v>13242000</v>
      </c>
      <c r="L145" s="36" t="s">
        <v>105</v>
      </c>
    </row>
    <row r="146" spans="1:12">
      <c r="A146" s="23"/>
      <c r="K146" s="44">
        <v>11270090</v>
      </c>
      <c r="L146" s="36" t="s">
        <v>107</v>
      </c>
    </row>
    <row r="147" spans="1:12">
      <c r="A147" s="23"/>
      <c r="K147" s="44">
        <v>10811700</v>
      </c>
      <c r="L147" s="36" t="s">
        <v>166</v>
      </c>
    </row>
    <row r="148" spans="1:12">
      <c r="A148" s="23"/>
      <c r="K148" s="44">
        <v>15136610</v>
      </c>
      <c r="L148" s="36" t="s">
        <v>131</v>
      </c>
    </row>
    <row r="149" spans="1:12">
      <c r="A149" s="23"/>
      <c r="K149" s="44">
        <v>16284460</v>
      </c>
      <c r="L149" s="36" t="s">
        <v>109</v>
      </c>
    </row>
    <row r="150" spans="1:12">
      <c r="A150" s="23"/>
      <c r="K150" s="44">
        <v>13789820</v>
      </c>
      <c r="L150" s="36" t="s">
        <v>110</v>
      </c>
    </row>
    <row r="151" spans="1:12">
      <c r="A151" s="23"/>
      <c r="K151" s="44">
        <v>14441700</v>
      </c>
      <c r="L151" s="36" t="s">
        <v>111</v>
      </c>
    </row>
    <row r="152" spans="1:12">
      <c r="A152" s="23"/>
      <c r="K152" s="44">
        <v>11685080</v>
      </c>
      <c r="L152" s="36" t="s">
        <v>112</v>
      </c>
    </row>
    <row r="153" spans="1:12">
      <c r="A153" s="23"/>
      <c r="K153" s="44">
        <v>14442400</v>
      </c>
      <c r="L153" s="36" t="s">
        <v>113</v>
      </c>
    </row>
    <row r="154" spans="1:12">
      <c r="A154" s="23"/>
      <c r="K154" s="44">
        <v>11986740</v>
      </c>
      <c r="L154" s="36" t="s">
        <v>114</v>
      </c>
    </row>
    <row r="155" spans="1:12">
      <c r="K155" s="44">
        <v>11986720</v>
      </c>
      <c r="L155" s="36" t="s">
        <v>115</v>
      </c>
    </row>
    <row r="156" spans="1:12">
      <c r="K156" s="44">
        <v>10564000</v>
      </c>
      <c r="L156" s="36" t="s">
        <v>117</v>
      </c>
    </row>
    <row r="157" spans="1:12">
      <c r="K157" s="44">
        <v>16281700</v>
      </c>
      <c r="L157" s="36" t="s">
        <v>118</v>
      </c>
    </row>
    <row r="158" spans="1:12">
      <c r="K158" s="44">
        <v>10562000</v>
      </c>
      <c r="L158" s="36" t="s">
        <v>120</v>
      </c>
    </row>
    <row r="159" spans="1:12">
      <c r="K159" s="44">
        <v>15209760</v>
      </c>
      <c r="L159" s="36" t="s">
        <v>133</v>
      </c>
    </row>
    <row r="160" spans="1:12">
      <c r="K160" s="44">
        <v>16336400</v>
      </c>
      <c r="L160" s="36" t="s">
        <v>134</v>
      </c>
    </row>
    <row r="161" spans="11:12">
      <c r="K161" s="44">
        <v>16282900</v>
      </c>
      <c r="L161" s="36" t="s">
        <v>135</v>
      </c>
    </row>
    <row r="162" spans="11:12">
      <c r="K162" s="44">
        <v>11800830</v>
      </c>
      <c r="L162" s="36" t="s">
        <v>137</v>
      </c>
    </row>
    <row r="163" spans="11:12">
      <c r="K163" s="44">
        <v>13551000</v>
      </c>
      <c r="L163" s="36" t="s">
        <v>138</v>
      </c>
    </row>
    <row r="164" spans="11:12">
      <c r="K164" s="44">
        <v>16458200</v>
      </c>
      <c r="L164" s="36" t="s">
        <v>139</v>
      </c>
    </row>
    <row r="165" spans="11:12">
      <c r="K165" s="44">
        <v>16458100</v>
      </c>
      <c r="L165" s="36" t="s">
        <v>140</v>
      </c>
    </row>
    <row r="166" spans="11:12">
      <c r="K166" s="44">
        <v>16336010</v>
      </c>
      <c r="L166" s="36" t="s">
        <v>141</v>
      </c>
    </row>
    <row r="167" spans="11:12">
      <c r="K167" s="44">
        <v>15126140</v>
      </c>
      <c r="L167" s="36" t="s">
        <v>143</v>
      </c>
    </row>
    <row r="168" spans="11:12">
      <c r="K168" s="44">
        <v>16281070</v>
      </c>
      <c r="L168" s="36" t="s">
        <v>149</v>
      </c>
    </row>
    <row r="169" spans="11:12">
      <c r="K169" s="44">
        <v>13281100</v>
      </c>
      <c r="L169" s="36" t="s">
        <v>150</v>
      </c>
    </row>
    <row r="170" spans="11:12">
      <c r="K170" s="44">
        <v>84404500</v>
      </c>
      <c r="L170" s="36" t="s">
        <v>153</v>
      </c>
    </row>
    <row r="171" spans="11:12">
      <c r="K171" s="44">
        <v>16455030</v>
      </c>
      <c r="L171" s="36" t="s">
        <v>165</v>
      </c>
    </row>
    <row r="172" spans="11:12">
      <c r="K172" s="39">
        <v>11983530</v>
      </c>
      <c r="L172" s="9" t="s">
        <v>168</v>
      </c>
    </row>
    <row r="173" spans="11:12">
      <c r="K173" s="39">
        <v>84414010</v>
      </c>
      <c r="L173" s="9" t="s">
        <v>181</v>
      </c>
    </row>
    <row r="174" spans="11:12">
      <c r="K174" s="39">
        <v>15272140</v>
      </c>
      <c r="L174" s="9" t="s">
        <v>182</v>
      </c>
    </row>
    <row r="175" spans="11:12">
      <c r="K175" s="39">
        <v>10557100</v>
      </c>
      <c r="L175" s="9" t="s">
        <v>178</v>
      </c>
    </row>
    <row r="176" spans="11:12">
      <c r="K176" s="39">
        <v>84414000</v>
      </c>
      <c r="L176" s="9" t="s">
        <v>179</v>
      </c>
    </row>
    <row r="177" spans="11:12">
      <c r="K177" s="39">
        <v>84414020</v>
      </c>
      <c r="L177" s="9" t="s">
        <v>180</v>
      </c>
    </row>
    <row r="178" spans="11:12">
      <c r="K178" s="44"/>
      <c r="L178" s="36"/>
    </row>
    <row r="179" spans="11:12">
      <c r="K179" s="44"/>
      <c r="L179" s="36"/>
    </row>
    <row r="180" spans="11:12">
      <c r="K180" s="44"/>
      <c r="L180" s="36"/>
    </row>
    <row r="181" spans="11:12">
      <c r="K181" s="44"/>
      <c r="L181" s="36"/>
    </row>
    <row r="182" spans="11:12">
      <c r="K182" s="44"/>
      <c r="L182" s="36"/>
    </row>
    <row r="183" spans="11:12">
      <c r="K183" s="44"/>
      <c r="L183" s="36"/>
    </row>
    <row r="184" spans="11:12">
      <c r="K184" s="44"/>
      <c r="L184" s="36"/>
    </row>
    <row r="185" spans="11:12">
      <c r="K185" s="44"/>
      <c r="L185" s="36"/>
    </row>
    <row r="186" spans="11:12">
      <c r="K186" s="44"/>
      <c r="L186" s="36"/>
    </row>
    <row r="187" spans="11:12">
      <c r="K187" s="44"/>
      <c r="L187" s="36"/>
    </row>
    <row r="188" spans="11:12">
      <c r="K188" s="44"/>
      <c r="L188" s="36"/>
    </row>
    <row r="189" spans="11:12">
      <c r="K189" s="44"/>
      <c r="L189" s="36"/>
    </row>
    <row r="190" spans="11:12">
      <c r="K190" s="44"/>
      <c r="L190" s="36"/>
    </row>
    <row r="191" spans="11:12">
      <c r="K191" s="44"/>
      <c r="L191" s="36"/>
    </row>
    <row r="192" spans="11:12">
      <c r="K192" s="44"/>
      <c r="L192" s="36"/>
    </row>
    <row r="193" spans="11:12">
      <c r="K193" s="44"/>
      <c r="L193" s="36"/>
    </row>
    <row r="194" spans="11:12">
      <c r="K194" s="44"/>
      <c r="L194" s="36"/>
    </row>
    <row r="195" spans="11:12">
      <c r="K195" s="44"/>
      <c r="L195" s="36"/>
    </row>
    <row r="196" spans="11:12">
      <c r="K196" s="44"/>
      <c r="L196" s="36"/>
    </row>
    <row r="197" spans="11:12">
      <c r="K197" s="44"/>
      <c r="L197" s="36"/>
    </row>
    <row r="198" spans="11:12">
      <c r="K198" s="44"/>
      <c r="L198" s="36"/>
    </row>
    <row r="199" spans="11:12">
      <c r="K199" s="44"/>
      <c r="L199" s="36"/>
    </row>
    <row r="200" spans="11:12">
      <c r="K200" s="44"/>
      <c r="L200" s="36"/>
    </row>
    <row r="201" spans="11:12">
      <c r="K201" s="44"/>
      <c r="L201" s="36"/>
    </row>
    <row r="202" spans="11:12">
      <c r="K202" s="44"/>
      <c r="L202" s="36"/>
    </row>
    <row r="203" spans="11:12">
      <c r="K203" s="44"/>
      <c r="L203" s="36"/>
    </row>
    <row r="204" spans="11:12">
      <c r="K204" s="44"/>
      <c r="L204" s="36"/>
    </row>
    <row r="205" spans="11:12">
      <c r="K205" s="44"/>
      <c r="L205" s="36"/>
    </row>
    <row r="206" spans="11:12">
      <c r="K206" s="44"/>
      <c r="L206" s="36"/>
    </row>
    <row r="207" spans="11:12">
      <c r="K207" s="44"/>
      <c r="L207" s="36"/>
    </row>
    <row r="208" spans="11:12">
      <c r="K208" s="44"/>
      <c r="L208" s="36"/>
    </row>
    <row r="209" spans="11:12">
      <c r="K209" s="44"/>
      <c r="L209" s="36"/>
    </row>
    <row r="210" spans="11:12">
      <c r="K210" s="44"/>
      <c r="L210" s="36"/>
    </row>
    <row r="211" spans="11:12">
      <c r="K211" s="44"/>
      <c r="L211" s="36"/>
    </row>
    <row r="212" spans="11:12">
      <c r="K212" s="44"/>
      <c r="L212" s="36"/>
    </row>
    <row r="213" spans="11:12">
      <c r="K213" s="44"/>
      <c r="L213" s="36"/>
    </row>
    <row r="214" spans="11:12">
      <c r="K214" s="44"/>
      <c r="L214" s="36"/>
    </row>
    <row r="215" spans="11:12">
      <c r="K215" s="44"/>
      <c r="L215" s="36"/>
    </row>
    <row r="216" spans="11:12">
      <c r="K216" s="44"/>
      <c r="L216" s="36"/>
    </row>
    <row r="217" spans="11:12">
      <c r="K217" s="44"/>
      <c r="L217" s="36"/>
    </row>
    <row r="218" spans="11:12">
      <c r="K218" s="44"/>
      <c r="L218" s="36"/>
    </row>
    <row r="219" spans="11:12">
      <c r="K219" s="44"/>
      <c r="L219" s="36"/>
    </row>
    <row r="220" spans="11:12">
      <c r="K220" s="44"/>
      <c r="L220" s="36"/>
    </row>
    <row r="221" spans="11:12">
      <c r="K221" s="44"/>
      <c r="L221" s="36"/>
    </row>
    <row r="222" spans="11:12">
      <c r="K222" s="44"/>
      <c r="L222" s="36"/>
    </row>
    <row r="223" spans="11:12">
      <c r="K223" s="44"/>
      <c r="L223" s="36"/>
    </row>
    <row r="224" spans="11:12">
      <c r="K224" s="44"/>
      <c r="L224" s="36"/>
    </row>
    <row r="225" spans="11:12">
      <c r="K225" s="44"/>
      <c r="L225" s="36"/>
    </row>
    <row r="226" spans="11:12">
      <c r="K226" s="44"/>
      <c r="L226" s="36"/>
    </row>
    <row r="227" spans="11:12">
      <c r="K227" s="44"/>
      <c r="L227" s="36"/>
    </row>
    <row r="228" spans="11:12">
      <c r="K228" s="44"/>
      <c r="L228" s="36"/>
    </row>
    <row r="229" spans="11:12">
      <c r="K229" s="44"/>
      <c r="L229" s="36"/>
    </row>
    <row r="230" spans="11:12">
      <c r="K230" s="44"/>
      <c r="L230" s="36"/>
    </row>
    <row r="231" spans="11:12">
      <c r="K231" s="44"/>
      <c r="L231" s="36"/>
    </row>
    <row r="232" spans="11:12">
      <c r="K232" s="44"/>
      <c r="L232" s="36"/>
    </row>
    <row r="233" spans="11:12">
      <c r="K233" s="44"/>
      <c r="L233" s="36"/>
    </row>
    <row r="234" spans="11:12">
      <c r="K234" s="44"/>
      <c r="L234" s="36"/>
    </row>
    <row r="235" spans="11:12">
      <c r="K235" s="44"/>
      <c r="L235" s="36"/>
    </row>
    <row r="236" spans="11:12">
      <c r="K236" s="44"/>
      <c r="L236" s="36"/>
    </row>
    <row r="237" spans="11:12">
      <c r="K237" s="44"/>
      <c r="L237" s="36"/>
    </row>
    <row r="238" spans="11:12">
      <c r="K238" s="44"/>
      <c r="L238" s="36"/>
    </row>
    <row r="239" spans="11:12">
      <c r="K239" s="44"/>
      <c r="L239" s="36"/>
    </row>
    <row r="240" spans="11:12">
      <c r="K240" s="44"/>
      <c r="L240" s="36"/>
    </row>
    <row r="241" spans="11:12">
      <c r="K241" s="44"/>
      <c r="L241" s="36"/>
    </row>
    <row r="242" spans="11:12">
      <c r="K242" s="44"/>
      <c r="L242" s="36"/>
    </row>
    <row r="243" spans="11:12">
      <c r="K243" s="44"/>
      <c r="L243" s="36"/>
    </row>
    <row r="244" spans="11:12">
      <c r="K244" s="44"/>
      <c r="L244" s="36"/>
    </row>
    <row r="245" spans="11:12">
      <c r="K245" s="44"/>
      <c r="L245" s="36"/>
    </row>
    <row r="246" spans="11:12">
      <c r="K246" s="44"/>
      <c r="L246" s="36"/>
    </row>
    <row r="247" spans="11:12">
      <c r="K247" s="44"/>
      <c r="L247" s="36"/>
    </row>
    <row r="248" spans="11:12">
      <c r="K248" s="44"/>
      <c r="L248" s="36"/>
    </row>
    <row r="249" spans="11:12">
      <c r="K249" s="44"/>
      <c r="L249" s="36"/>
    </row>
    <row r="250" spans="11:12">
      <c r="K250" s="44"/>
      <c r="L250" s="36"/>
    </row>
    <row r="251" spans="11:12">
      <c r="K251" s="44"/>
      <c r="L251" s="36"/>
    </row>
    <row r="252" spans="11:12">
      <c r="K252" s="44"/>
      <c r="L252" s="36"/>
    </row>
    <row r="253" spans="11:12">
      <c r="K253" s="44"/>
      <c r="L253" s="36"/>
    </row>
    <row r="254" spans="11:12">
      <c r="K254" s="44"/>
      <c r="L254" s="36"/>
    </row>
    <row r="255" spans="11:12">
      <c r="K255" s="44"/>
      <c r="L255" s="36"/>
    </row>
    <row r="256" spans="11:12">
      <c r="K256" s="44"/>
      <c r="L256" s="36"/>
    </row>
    <row r="257" spans="11:12">
      <c r="K257" s="44"/>
      <c r="L257" s="36"/>
    </row>
    <row r="258" spans="11:12">
      <c r="K258" s="44"/>
      <c r="L258" s="36"/>
    </row>
    <row r="259" spans="11:12">
      <c r="K259" s="44"/>
      <c r="L259" s="36"/>
    </row>
    <row r="260" spans="11:12">
      <c r="K260" s="44"/>
      <c r="L260" s="36"/>
    </row>
    <row r="261" spans="11:12">
      <c r="K261" s="44"/>
      <c r="L261" s="36"/>
    </row>
    <row r="262" spans="11:12">
      <c r="K262" s="44"/>
      <c r="L262" s="36"/>
    </row>
    <row r="263" spans="11:12">
      <c r="K263" s="44"/>
      <c r="L263" s="36"/>
    </row>
    <row r="264" spans="11:12">
      <c r="K264" s="44"/>
      <c r="L264" s="36"/>
    </row>
    <row r="265" spans="11:12">
      <c r="K265" s="44"/>
      <c r="L265" s="36"/>
    </row>
    <row r="266" spans="11:12">
      <c r="K266" s="44"/>
      <c r="L266" s="36"/>
    </row>
    <row r="267" spans="11:12">
      <c r="K267" s="44"/>
      <c r="L267" s="36"/>
    </row>
    <row r="268" spans="11:12">
      <c r="K268" s="44"/>
      <c r="L268" s="36"/>
    </row>
    <row r="269" spans="11:12">
      <c r="K269" s="44"/>
      <c r="L269" s="36"/>
    </row>
    <row r="270" spans="11:12">
      <c r="K270" s="44"/>
      <c r="L270" s="36"/>
    </row>
    <row r="271" spans="11:12">
      <c r="K271" s="44"/>
      <c r="L271" s="36"/>
    </row>
    <row r="272" spans="11:12">
      <c r="K272" s="44"/>
      <c r="L272" s="36"/>
    </row>
    <row r="273" spans="11:12">
      <c r="K273" s="44"/>
      <c r="L273" s="36"/>
    </row>
    <row r="274" spans="11:12">
      <c r="K274" s="44"/>
      <c r="L274" s="36"/>
    </row>
    <row r="275" spans="11:12">
      <c r="K275" s="44"/>
      <c r="L275" s="36"/>
    </row>
    <row r="276" spans="11:12">
      <c r="K276" s="44"/>
      <c r="L276" s="36"/>
    </row>
    <row r="277" spans="11:12">
      <c r="K277" s="44"/>
      <c r="L277" s="36"/>
    </row>
    <row r="278" spans="11:12">
      <c r="K278" s="44"/>
      <c r="L278" s="36"/>
    </row>
    <row r="279" spans="11:12">
      <c r="K279" s="44"/>
      <c r="L279" s="36"/>
    </row>
    <row r="280" spans="11:12">
      <c r="K280" s="44"/>
      <c r="L280" s="36"/>
    </row>
    <row r="281" spans="11:12">
      <c r="K281" s="44"/>
      <c r="L281" s="36"/>
    </row>
    <row r="282" spans="11:12">
      <c r="K282" s="44"/>
      <c r="L282" s="36"/>
    </row>
    <row r="283" spans="11:12">
      <c r="K283" s="44"/>
      <c r="L283" s="36"/>
    </row>
    <row r="284" spans="11:12">
      <c r="K284" s="44"/>
      <c r="L284" s="36"/>
    </row>
    <row r="285" spans="11:12">
      <c r="K285" s="44"/>
      <c r="L285" s="36"/>
    </row>
    <row r="286" spans="11:12">
      <c r="K286" s="44"/>
      <c r="L286" s="36"/>
    </row>
    <row r="287" spans="11:12">
      <c r="K287" s="44"/>
      <c r="L287" s="36"/>
    </row>
    <row r="288" spans="11:12">
      <c r="K288" s="44"/>
      <c r="L288" s="36"/>
    </row>
    <row r="289" spans="11:12">
      <c r="K289" s="44"/>
      <c r="L289" s="36"/>
    </row>
    <row r="290" spans="11:12">
      <c r="K290" s="44"/>
      <c r="L290" s="36"/>
    </row>
    <row r="291" spans="11:12">
      <c r="K291" s="44"/>
      <c r="L291" s="36"/>
    </row>
    <row r="292" spans="11:12">
      <c r="K292" s="44"/>
      <c r="L292" s="36"/>
    </row>
    <row r="293" spans="11:12">
      <c r="K293" s="44"/>
      <c r="L293" s="36"/>
    </row>
    <row r="294" spans="11:12">
      <c r="K294" s="44"/>
      <c r="L294" s="36"/>
    </row>
    <row r="295" spans="11:12">
      <c r="K295" s="44"/>
      <c r="L295" s="36"/>
    </row>
    <row r="296" spans="11:12">
      <c r="K296" s="44"/>
      <c r="L296" s="36"/>
    </row>
    <row r="297" spans="11:12">
      <c r="K297" s="44"/>
      <c r="L297" s="36"/>
    </row>
    <row r="298" spans="11:12">
      <c r="K298" s="44"/>
      <c r="L298" s="36"/>
    </row>
    <row r="299" spans="11:12">
      <c r="K299" s="44"/>
      <c r="L299" s="36"/>
    </row>
    <row r="300" spans="11:12" ht="15.75" thickBot="1">
      <c r="K300" s="47"/>
      <c r="L300" s="11"/>
    </row>
  </sheetData>
  <sheetProtection sheet="1" objects="1" scenarios="1"/>
  <mergeCells count="4">
    <mergeCell ref="M4:P4"/>
    <mergeCell ref="K1:L1"/>
    <mergeCell ref="I1:I2"/>
    <mergeCell ref="J1:J2"/>
  </mergeCells>
  <conditionalFormatting sqref="A3:B50 E3:F50">
    <cfRule type="containsErrors" dxfId="9" priority="23">
      <formula>ISERROR(A3)</formula>
    </cfRule>
  </conditionalFormatting>
  <conditionalFormatting sqref="K154:K155">
    <cfRule type="duplicateValues" dxfId="8" priority="11"/>
  </conditionalFormatting>
  <conditionalFormatting sqref="K156">
    <cfRule type="duplicateValues" dxfId="7" priority="9"/>
  </conditionalFormatting>
  <conditionalFormatting sqref="K157">
    <cfRule type="duplicateValues" dxfId="6" priority="8"/>
  </conditionalFormatting>
  <conditionalFormatting sqref="K158:K172">
    <cfRule type="duplicateValues" dxfId="5" priority="7"/>
  </conditionalFormatting>
  <conditionalFormatting sqref="A3:B50">
    <cfRule type="containsErrors" dxfId="4" priority="6">
      <formula>ISERROR(A3)</formula>
    </cfRule>
  </conditionalFormatting>
  <conditionalFormatting sqref="K3:L172">
    <cfRule type="duplicateValues" dxfId="3" priority="4"/>
  </conditionalFormatting>
  <conditionalFormatting sqref="K173:K300">
    <cfRule type="duplicateValues" dxfId="2" priority="3"/>
  </conditionalFormatting>
  <conditionalFormatting sqref="K173:K300">
    <cfRule type="duplicateValues" dxfId="1" priority="2"/>
  </conditionalFormatting>
  <conditionalFormatting sqref="L173:L300">
    <cfRule type="duplicateValues" dxfId="0" priority="1"/>
  </conditionalFormatting>
  <pageMargins left="0.23622047244094491" right="0.23622047244094491" top="0.39370078740157483" bottom="0.55118110236220474" header="0" footer="0"/>
  <pageSetup paperSize="9" orientation="portrait" horizontalDpi="180" verticalDpi="18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F300"/>
  <sheetViews>
    <sheetView workbookViewId="0">
      <selection activeCell="D2" sqref="D2"/>
    </sheetView>
  </sheetViews>
  <sheetFormatPr defaultRowHeight="15"/>
  <cols>
    <col min="1" max="1" width="5.28515625" customWidth="1"/>
    <col min="2" max="2" width="28.85546875" customWidth="1"/>
    <col min="3" max="3" width="13.28515625" style="6" customWidth="1"/>
    <col min="4" max="4" width="17.85546875" style="6" customWidth="1"/>
    <col min="5" max="6" width="9.140625" style="38"/>
  </cols>
  <sheetData>
    <row r="1" spans="2:4" ht="75" customHeight="1" thickBot="1">
      <c r="B1" s="27"/>
      <c r="C1" s="28"/>
      <c r="D1" s="29"/>
    </row>
    <row r="2" spans="2:4" ht="15.75" thickBot="1">
      <c r="B2" s="25" t="s">
        <v>0</v>
      </c>
      <c r="C2" s="26" t="s">
        <v>1</v>
      </c>
      <c r="D2" s="30" t="s">
        <v>46</v>
      </c>
    </row>
    <row r="3" spans="2:4">
      <c r="B3" s="24" t="str">
        <f>LEFT(Лист1!L3,30)</f>
        <v>K4 Basic</v>
      </c>
      <c r="C3" s="45">
        <f>Лист1!K3</f>
        <v>11800800</v>
      </c>
      <c r="D3" s="31">
        <f>COUNTIF(Лист1!$A$3:$A$50,B3)+COUNTIF(Лист1!$E$3:$E$50,B3)</f>
        <v>0</v>
      </c>
    </row>
    <row r="4" spans="2:4">
      <c r="B4" s="24" t="str">
        <f>LEFT(Лист1!L4,30)</f>
        <v xml:space="preserve">K 4 Classic </v>
      </c>
      <c r="C4" s="46">
        <f>Лист1!K4</f>
        <v>16794200</v>
      </c>
      <c r="D4" s="31">
        <f>COUNTIF(Лист1!$A$3:$A$50,B4)+COUNTIF(Лист1!$E$3:$E$50,B4)</f>
        <v>0</v>
      </c>
    </row>
    <row r="5" spans="2:4">
      <c r="B5" s="24" t="str">
        <f>LEFT(Лист1!L5,30)</f>
        <v>K4 Universal</v>
      </c>
      <c r="C5" s="46">
        <f>Лист1!K5</f>
        <v>16793000</v>
      </c>
      <c r="D5" s="31">
        <f>COUNTIF(Лист1!$A$3:$A$50,B5)+COUNTIF(Лист1!$E$3:$E$50,B5)</f>
        <v>0</v>
      </c>
    </row>
    <row r="6" spans="2:4">
      <c r="B6" s="24" t="str">
        <f>LEFT(Лист1!L6,30)</f>
        <v>K3</v>
      </c>
      <c r="C6" s="46">
        <f>Лист1!K6</f>
        <v>16018880</v>
      </c>
      <c r="D6" s="31">
        <f>COUNTIF(Лист1!$A$3:$A$50,B6)+COUNTIF(Лист1!$E$3:$E$50,B6)</f>
        <v>0</v>
      </c>
    </row>
    <row r="7" spans="2:4">
      <c r="B7" s="24" t="str">
        <f>LEFT(Лист1!L7,30)</f>
        <v>K4 Compact Home</v>
      </c>
      <c r="C7" s="46">
        <f>Лист1!K7</f>
        <v>16375030</v>
      </c>
      <c r="D7" s="31">
        <f>COUNTIF(Лист1!$A$3:$A$50,B7)+COUNTIF(Лист1!$E$3:$E$50,B7)</f>
        <v>0</v>
      </c>
    </row>
    <row r="8" spans="2:4">
      <c r="B8" s="24" t="str">
        <f>LEFT(Лист1!L8,30)</f>
        <v>WV 2 Plus N</v>
      </c>
      <c r="C8" s="46">
        <f>Лист1!K8</f>
        <v>16336420</v>
      </c>
      <c r="D8" s="31">
        <f>COUNTIF(Лист1!$A$3:$A$50,B8)+COUNTIF(Лист1!$E$3:$E$50,B8)</f>
        <v>0</v>
      </c>
    </row>
    <row r="9" spans="2:4">
      <c r="B9" s="24" t="str">
        <f>LEFT(Лист1!L9,30)</f>
        <v>K4 Compact</v>
      </c>
      <c r="C9" s="46">
        <f>Лист1!K9</f>
        <v>16375000</v>
      </c>
      <c r="D9" s="31">
        <f>COUNTIF(Лист1!$A$3:$A$50,B9)+COUNTIF(Лист1!$E$3:$E$50,B9)</f>
        <v>0</v>
      </c>
    </row>
    <row r="10" spans="2:4">
      <c r="B10" s="24" t="str">
        <f>LEFT(Лист1!L10,30)</f>
        <v>VC6 Cordless ourFamily</v>
      </c>
      <c r="C10" s="46">
        <f>Лист1!K10</f>
        <v>11986700</v>
      </c>
      <c r="D10" s="31">
        <f>COUNTIF(Лист1!$A$3:$A$50,B10)+COUNTIF(Лист1!$E$3:$E$50,B10)</f>
        <v>0</v>
      </c>
    </row>
    <row r="11" spans="2:4">
      <c r="B11" s="24" t="str">
        <f>LEFT(Лист1!L11,30)</f>
        <v>K2 Classic</v>
      </c>
      <c r="C11" s="46">
        <f>Лист1!K11</f>
        <v>16009790</v>
      </c>
      <c r="D11" s="31">
        <f>COUNTIF(Лист1!$A$3:$A$50,B11)+COUNTIF(Лист1!$E$3:$E$50,B11)</f>
        <v>0</v>
      </c>
    </row>
    <row r="12" spans="2:4">
      <c r="B12" s="24" t="str">
        <f>LEFT(Лист1!L12,30)</f>
        <v>K5 Compact</v>
      </c>
      <c r="C12" s="46">
        <f>Лист1!K12</f>
        <v>16307500</v>
      </c>
      <c r="D12" s="31">
        <f>COUNTIF(Лист1!$A$3:$A$50,B12)+COUNTIF(Лист1!$E$3:$E$50,B12)</f>
        <v>0</v>
      </c>
    </row>
    <row r="13" spans="2:4">
      <c r="B13" s="24" t="str">
        <f>LEFT(Лист1!L13,30)</f>
        <v>K5 Compact Home</v>
      </c>
      <c r="C13" s="46">
        <f>Лист1!K13</f>
        <v>16307530</v>
      </c>
      <c r="D13" s="31">
        <f>COUNTIF(Лист1!$A$3:$A$50,B13)+COUNTIF(Лист1!$E$3:$E$50,B13)</f>
        <v>0</v>
      </c>
    </row>
    <row r="14" spans="2:4">
      <c r="B14" s="24" t="str">
        <f>LEFT(Лист1!L14,30)</f>
        <v>K5 Premium Power Control</v>
      </c>
      <c r="C14" s="46">
        <f>Лист1!K14</f>
        <v>13245730</v>
      </c>
      <c r="D14" s="31">
        <f>COUNTIF(Лист1!$A$3:$A$50,B14)+COUNTIF(Лист1!$E$3:$E$50,B14)</f>
        <v>0</v>
      </c>
    </row>
    <row r="15" spans="2:4">
      <c r="B15" s="24" t="str">
        <f>LEFT(Лист1!L15,30)</f>
        <v>NT 30/1 Me Classic</v>
      </c>
      <c r="C15" s="46">
        <f>Лист1!K15</f>
        <v>14285680</v>
      </c>
      <c r="D15" s="31">
        <f>COUNTIF(Лист1!$A$3:$A$50,B15)+COUNTIF(Лист1!$E$3:$E$50,B15)</f>
        <v>0</v>
      </c>
    </row>
    <row r="16" spans="2:4">
      <c r="B16" s="24" t="str">
        <f>LEFT(Лист1!L16,30)</f>
        <v>K2 Compact</v>
      </c>
      <c r="C16" s="46">
        <f>Лист1!K16</f>
        <v>16735000</v>
      </c>
      <c r="D16" s="31">
        <f>COUNTIF(Лист1!$A$3:$A$50,B16)+COUNTIF(Лист1!$E$3:$E$50,B16)</f>
        <v>0</v>
      </c>
    </row>
    <row r="17" spans="2:4">
      <c r="B17" s="24" t="str">
        <f>LEFT(Лист1!L17,30)</f>
        <v>WV 5 Plus N</v>
      </c>
      <c r="C17" s="46">
        <f>Лист1!K17</f>
        <v>16337010</v>
      </c>
      <c r="D17" s="31">
        <f>COUNTIF(Лист1!$A$3:$A$50,B17)+COUNTIF(Лист1!$E$3:$E$50,B17)</f>
        <v>0</v>
      </c>
    </row>
    <row r="18" spans="2:4">
      <c r="B18" s="24" t="str">
        <f>LEFT(Лист1!L18,30)</f>
        <v>HD5/11 P</v>
      </c>
      <c r="C18" s="46">
        <f>Лист1!K18</f>
        <v>15209600</v>
      </c>
      <c r="D18" s="31">
        <f>COUNTIF(Лист1!$A$3:$A$50,B18)+COUNTIF(Лист1!$E$3:$E$50,B18)</f>
        <v>0</v>
      </c>
    </row>
    <row r="19" spans="2:4">
      <c r="B19" s="24" t="str">
        <f>LEFT(Лист1!L19,30)</f>
        <v>K7 Compact Home</v>
      </c>
      <c r="C19" s="46">
        <f>Лист1!K19</f>
        <v>14470530</v>
      </c>
      <c r="D19" s="31">
        <f>COUNTIF(Лист1!$A$3:$A$50,B19)+COUNTIF(Лист1!$E$3:$E$50,B19)</f>
        <v>0</v>
      </c>
    </row>
    <row r="20" spans="2:4">
      <c r="B20" s="24" t="str">
        <f>LEFT(Лист1!L20,30)</f>
        <v>K7 Compact</v>
      </c>
      <c r="C20" s="46">
        <f>Лист1!K20</f>
        <v>14470500</v>
      </c>
      <c r="D20" s="31">
        <f>COUNTIF(Лист1!$A$3:$A$50,B20)+COUNTIF(Лист1!$E$3:$E$50,B20)</f>
        <v>0</v>
      </c>
    </row>
    <row r="21" spans="2:4">
      <c r="B21" s="24" t="str">
        <f>LEFT(Лист1!L21,30)</f>
        <v>KB 5</v>
      </c>
      <c r="C21" s="46">
        <f>Лист1!K21</f>
        <v>12580500</v>
      </c>
      <c r="D21" s="31">
        <f>COUNTIF(Лист1!$A$3:$A$50,B21)+COUNTIF(Лист1!$E$3:$E$50,B21)</f>
        <v>0</v>
      </c>
    </row>
    <row r="22" spans="2:4">
      <c r="B22" s="24" t="str">
        <f>LEFT(Лист1!L22,30)</f>
        <v>WD4 V-20/5/22</v>
      </c>
      <c r="C22" s="46">
        <f>Лист1!K22</f>
        <v>16282090</v>
      </c>
      <c r="D22" s="31">
        <f>COUNTIF(Лист1!$A$3:$A$50,B22)+COUNTIF(Лист1!$E$3:$E$50,B22)</f>
        <v>0</v>
      </c>
    </row>
    <row r="23" spans="2:4">
      <c r="B23" s="24" t="str">
        <f>LEFT(Лист1!L23,30)</f>
        <v>HD5/15 C</v>
      </c>
      <c r="C23" s="46">
        <f>Лист1!K23</f>
        <v>15209300</v>
      </c>
      <c r="D23" s="31">
        <f>COUNTIF(Лист1!$A$3:$A$50,B23)+COUNTIF(Лист1!$E$3:$E$50,B23)</f>
        <v>0</v>
      </c>
    </row>
    <row r="24" spans="2:4">
      <c r="B24" s="24" t="str">
        <f>LEFT(Лист1!L24,30)</f>
        <v>BLV 18-200 Battery</v>
      </c>
      <c r="C24" s="46">
        <f>Лист1!K24</f>
        <v>14441000</v>
      </c>
      <c r="D24" s="31">
        <f>COUNTIF(Лист1!$A$3:$A$50,B24)+COUNTIF(Лист1!$E$3:$E$50,B24)</f>
        <v>0</v>
      </c>
    </row>
    <row r="25" spans="2:4">
      <c r="B25" s="24" t="str">
        <f>LEFT(Лист1!L25,30)</f>
        <v>HD9/20-4 Classic</v>
      </c>
      <c r="C25" s="46">
        <f>Лист1!K25</f>
        <v>13673080</v>
      </c>
      <c r="D25" s="31">
        <f>COUNTIF(Лист1!$A$3:$A$50,B25)+COUNTIF(Лист1!$E$3:$E$50,B25)</f>
        <v>0</v>
      </c>
    </row>
    <row r="26" spans="2:4">
      <c r="B26" s="24" t="str">
        <f>LEFT(Лист1!L26,30)</f>
        <v>HD9/20-4M</v>
      </c>
      <c r="C26" s="46">
        <f>Лист1!K26</f>
        <v>15249240</v>
      </c>
      <c r="D26" s="31">
        <f>COUNTIF(Лист1!$A$3:$A$50,B26)+COUNTIF(Лист1!$E$3:$E$50,B26)</f>
        <v>0</v>
      </c>
    </row>
    <row r="27" spans="2:4">
      <c r="B27" s="24" t="str">
        <f>LEFT(Лист1!L27,30)</f>
        <v>HD10/23-4S</v>
      </c>
      <c r="C27" s="46">
        <f>Лист1!K27</f>
        <v>12869220</v>
      </c>
      <c r="D27" s="31">
        <f>COUNTIF(Лист1!$A$3:$A$50,B27)+COUNTIF(Лист1!$E$3:$E$50,B27)</f>
        <v>0</v>
      </c>
    </row>
    <row r="28" spans="2:4">
      <c r="B28" s="24" t="str">
        <f>LEFT(Лист1!L28,30)</f>
        <v>HD10/21-4S</v>
      </c>
      <c r="C28" s="46">
        <f>Лист1!K28</f>
        <v>12869160</v>
      </c>
      <c r="D28" s="31">
        <f>COUNTIF(Лист1!$A$3:$A$50,B28)+COUNTIF(Лист1!$E$3:$E$50,B28)</f>
        <v>0</v>
      </c>
    </row>
    <row r="29" spans="2:4">
      <c r="B29" s="24" t="str">
        <f>LEFT(Лист1!L29,30)</f>
        <v>SC1 EasyFix</v>
      </c>
      <c r="C29" s="46">
        <f>Лист1!K29</f>
        <v>15164010</v>
      </c>
      <c r="D29" s="31">
        <f>COUNTIF(Лист1!$A$3:$A$50,B29)+COUNTIF(Лист1!$E$3:$E$50,B29)</f>
        <v>0</v>
      </c>
    </row>
    <row r="30" spans="2:4">
      <c r="B30" s="24" t="str">
        <f>LEFT(Лист1!L30,30)</f>
        <v>SC1 EasyFix Floorkit</v>
      </c>
      <c r="C30" s="46">
        <f>Лист1!K30</f>
        <v>15163320</v>
      </c>
      <c r="D30" s="31">
        <f>COUNTIF(Лист1!$A$3:$A$50,B30)+COUNTIF(Лист1!$E$3:$E$50,B30)</f>
        <v>0</v>
      </c>
    </row>
    <row r="31" spans="2:4">
      <c r="B31" s="24" t="str">
        <f>LEFT(Лист1!L31,30)</f>
        <v>SC1</v>
      </c>
      <c r="C31" s="46">
        <f>Лист1!K31</f>
        <v>15163000</v>
      </c>
      <c r="D31" s="31">
        <f>COUNTIF(Лист1!$A$3:$A$50,B31)+COUNTIF(Лист1!$E$3:$E$50,B31)</f>
        <v>0</v>
      </c>
    </row>
    <row r="32" spans="2:4">
      <c r="B32" s="24" t="str">
        <f>LEFT(Лист1!L32,30)</f>
        <v>SC5 Deluxe Signature Line</v>
      </c>
      <c r="C32" s="46">
        <f>Лист1!K32</f>
        <v>15134910</v>
      </c>
      <c r="D32" s="31">
        <f>COUNTIF(Лист1!$A$3:$A$50,B32)+COUNTIF(Лист1!$E$3:$E$50,B32)</f>
        <v>0</v>
      </c>
    </row>
    <row r="33" spans="2:4">
      <c r="B33" s="24" t="str">
        <f>LEFT(Лист1!L33,30)</f>
        <v>SC2 EasyFix</v>
      </c>
      <c r="C33" s="46">
        <f>Лист1!K33</f>
        <v>15126000</v>
      </c>
      <c r="D33" s="31">
        <f>COUNTIF(Лист1!$A$3:$A$50,B33)+COUNTIF(Лист1!$E$3:$E$50,B33)</f>
        <v>0</v>
      </c>
    </row>
    <row r="34" spans="2:4">
      <c r="B34" s="24" t="str">
        <f>LEFT(Лист1!L34,30)</f>
        <v>SC2 EasyFix Premium</v>
      </c>
      <c r="C34" s="46">
        <f>Лист1!K34</f>
        <v>15120900</v>
      </c>
      <c r="D34" s="31">
        <f>COUNTIF(Лист1!$A$3:$A$50,B34)+COUNTIF(Лист1!$E$3:$E$50,B34)</f>
        <v>0</v>
      </c>
    </row>
    <row r="35" spans="2:4">
      <c r="B35" s="24" t="str">
        <f>LEFT(Лист1!L35,30)</f>
        <v>SC3 Deluxe</v>
      </c>
      <c r="C35" s="46">
        <f>Лист1!K35</f>
        <v>15134300</v>
      </c>
      <c r="D35" s="31">
        <f>COUNTIF(Лист1!$A$3:$A$50,B35)+COUNTIF(Лист1!$E$3:$E$50,B35)</f>
        <v>0</v>
      </c>
    </row>
    <row r="36" spans="2:4">
      <c r="B36" s="24" t="str">
        <f>LEFT(Лист1!L36,30)</f>
        <v>SC4 Easy Fix Plus</v>
      </c>
      <c r="C36" s="46">
        <f>Лист1!K36</f>
        <v>15126400</v>
      </c>
      <c r="D36" s="31">
        <f>COUNTIF(Лист1!$A$3:$A$50,B36)+COUNTIF(Лист1!$E$3:$E$50,B36)</f>
        <v>0</v>
      </c>
    </row>
    <row r="37" spans="2:4">
      <c r="B37" s="24" t="str">
        <f>LEFT(Лист1!L37,30)</f>
        <v>SC 4 EasyFix</v>
      </c>
      <c r="C37" s="46">
        <f>Лист1!K37</f>
        <v>15126300</v>
      </c>
      <c r="D37" s="31">
        <f>COUNTIF(Лист1!$A$3:$A$50,B37)+COUNTIF(Лист1!$E$3:$E$50,B37)</f>
        <v>0</v>
      </c>
    </row>
    <row r="38" spans="2:4">
      <c r="B38" s="24" t="str">
        <f>LEFT(Лист1!L38,30)</f>
        <v xml:space="preserve">SV7 </v>
      </c>
      <c r="C38" s="46">
        <f>Лист1!K38</f>
        <v>14394900</v>
      </c>
      <c r="D38" s="31">
        <f>COUNTIF(Лист1!$A$3:$A$50,B38)+COUNTIF(Лист1!$E$3:$E$50,B38)</f>
        <v>0</v>
      </c>
    </row>
    <row r="39" spans="2:4">
      <c r="B39" s="24" t="str">
        <f>LEFT(Лист1!L39,30)</f>
        <v>T8/1 Classic</v>
      </c>
      <c r="C39" s="46">
        <f>Лист1!K39</f>
        <v>15271600</v>
      </c>
      <c r="D39" s="31">
        <f>COUNTIF(Лист1!$A$3:$A$50,B39)+COUNTIF(Лист1!$E$3:$E$50,B39)</f>
        <v>0</v>
      </c>
    </row>
    <row r="40" spans="2:4">
      <c r="B40" s="24" t="str">
        <f>LEFT(Лист1!L40,30)</f>
        <v>SC4 Deluxe Iron</v>
      </c>
      <c r="C40" s="46">
        <f>Лист1!K40</f>
        <v>15134620</v>
      </c>
      <c r="D40" s="31">
        <f>COUNTIF(Лист1!$A$3:$A$50,B40)+COUNTIF(Лист1!$E$3:$E$50,B40)</f>
        <v>0</v>
      </c>
    </row>
    <row r="41" spans="2:4">
      <c r="B41" s="24" t="str">
        <f>LEFT(Лист1!L41,30)</f>
        <v>SC5 EasyFix Iron Plug</v>
      </c>
      <c r="C41" s="46">
        <f>Лист1!K41</f>
        <v>15126600</v>
      </c>
      <c r="D41" s="31">
        <f>COUNTIF(Лист1!$A$3:$A$50,B41)+COUNTIF(Лист1!$E$3:$E$50,B41)</f>
        <v>0</v>
      </c>
    </row>
    <row r="42" spans="2:4">
      <c r="B42" s="24" t="str">
        <f>LEFT(Лист1!L42,30)</f>
        <v>AF 30</v>
      </c>
      <c r="C42" s="46">
        <f>Лист1!K42</f>
        <v>10248210</v>
      </c>
      <c r="D42" s="31">
        <f>COUNTIF(Лист1!$A$3:$A$50,B42)+COUNTIF(Лист1!$E$3:$E$50,B42)</f>
        <v>0</v>
      </c>
    </row>
    <row r="43" spans="2:4">
      <c r="B43" s="24" t="str">
        <f>LEFT(Лист1!L43,30)</f>
        <v>SC5 Premium Iron Kit</v>
      </c>
      <c r="C43" s="46">
        <f>Лист1!K43</f>
        <v>15125570</v>
      </c>
      <c r="D43" s="31">
        <f>COUNTIF(Лист1!$A$3:$A$50,B43)+COUNTIF(Лист1!$E$3:$E$50,B43)</f>
        <v>0</v>
      </c>
    </row>
    <row r="44" spans="2:4">
      <c r="B44" s="24" t="str">
        <f>LEFT(Лист1!L44,30)</f>
        <v>WD3 V-17/4/20</v>
      </c>
      <c r="C44" s="46">
        <f>Лист1!K44</f>
        <v>16281270</v>
      </c>
      <c r="D44" s="31">
        <f>COUNTIF(Лист1!$A$3:$A$50,B44)+COUNTIF(Лист1!$E$3:$E$50,B44)</f>
        <v>0</v>
      </c>
    </row>
    <row r="45" spans="2:4">
      <c r="B45" s="24" t="str">
        <f>LEFT(Лист1!L45,30)</f>
        <v>SP 9.500 Dirt</v>
      </c>
      <c r="C45" s="46">
        <f>Лист1!K45</f>
        <v>16458000</v>
      </c>
      <c r="D45" s="31">
        <f>COUNTIF(Лист1!$A$3:$A$50,B45)+COUNTIF(Лист1!$E$3:$E$50,B45)</f>
        <v>0</v>
      </c>
    </row>
    <row r="46" spans="2:4">
      <c r="B46" s="24" t="str">
        <f>LEFT(Лист1!L46,30)</f>
        <v>SP 22.000 Dirt Level Sensor</v>
      </c>
      <c r="C46" s="46">
        <f>Лист1!K46</f>
        <v>16458510</v>
      </c>
      <c r="D46" s="31">
        <f>COUNTIF(Лист1!$A$3:$A$50,B46)+COUNTIF(Лист1!$E$3:$E$50,B46)</f>
        <v>0</v>
      </c>
    </row>
    <row r="47" spans="2:4">
      <c r="B47" s="24" t="str">
        <f>LEFT(Лист1!L47,30)</f>
        <v>SP 16.000 Dual</v>
      </c>
      <c r="C47" s="46">
        <f>Лист1!K47</f>
        <v>16458320</v>
      </c>
      <c r="D47" s="31">
        <f>COUNTIF(Лист1!$A$3:$A$50,B47)+COUNTIF(Лист1!$E$3:$E$50,B47)</f>
        <v>0</v>
      </c>
    </row>
    <row r="48" spans="2:4">
      <c r="B48" s="24" t="str">
        <f>LEFT(Лист1!L48,30)</f>
        <v>WD6 P S V-30/6/22/T</v>
      </c>
      <c r="C48" s="46">
        <f>Лист1!K48</f>
        <v>16283600</v>
      </c>
      <c r="D48" s="31">
        <f>COUNTIF(Лист1!$A$3:$A$50,B48)+COUNTIF(Лист1!$E$3:$E$50,B48)</f>
        <v>0</v>
      </c>
    </row>
    <row r="49" spans="2:4">
      <c r="B49" s="24" t="str">
        <f>LEFT(Лист1!L49,30)</f>
        <v>KST 1 Upright</v>
      </c>
      <c r="C49" s="46">
        <f>Лист1!K49</f>
        <v>15135640</v>
      </c>
      <c r="D49" s="31">
        <f>COUNTIF(Лист1!$A$3:$A$50,B49)+COUNTIF(Лист1!$E$3:$E$50,B49)</f>
        <v>0</v>
      </c>
    </row>
    <row r="50" spans="2:4">
      <c r="B50" s="24" t="str">
        <f>LEFT(Лист1!L50,30)</f>
        <v>SC3 Upright EF Prem</v>
      </c>
      <c r="C50" s="46">
        <f>Лист1!K50</f>
        <v>15133200</v>
      </c>
      <c r="D50" s="31">
        <f>COUNTIF(Лист1!$A$3:$A$50,B50)+COUNTIF(Лист1!$E$3:$E$50,B50)</f>
        <v>0</v>
      </c>
    </row>
    <row r="51" spans="2:4">
      <c r="B51" s="24" t="str">
        <f>LEFT(Лист1!L51,30)</f>
        <v>BP1 Barrel</v>
      </c>
      <c r="C51" s="46">
        <f>Лист1!K51</f>
        <v>16454600</v>
      </c>
      <c r="D51" s="31">
        <f>COUNTIF(Лист1!$A$3:$A$50,B51)+COUNTIF(Лист1!$E$3:$E$50,B51)</f>
        <v>0</v>
      </c>
    </row>
    <row r="52" spans="2:4">
      <c r="B52" s="24" t="str">
        <f>LEFT(Лист1!L52,30)</f>
        <v>BP1 Barrel Set</v>
      </c>
      <c r="C52" s="46">
        <f>Лист1!K52</f>
        <v>16454650</v>
      </c>
      <c r="D52" s="31">
        <f>COUNTIF(Лист1!$A$3:$A$50,B52)+COUNTIF(Лист1!$E$3:$E$50,B52)</f>
        <v>0</v>
      </c>
    </row>
    <row r="53" spans="2:4">
      <c r="B53" s="24" t="str">
        <f>LEFT(Лист1!L53,30)</f>
        <v>RCV2</v>
      </c>
      <c r="C53" s="46">
        <f>Лист1!K53</f>
        <v>12696700</v>
      </c>
      <c r="D53" s="31">
        <f>COUNTIF(Лист1!$A$3:$A$50,B53)+COUNTIF(Лист1!$E$3:$E$50,B53)</f>
        <v>0</v>
      </c>
    </row>
    <row r="54" spans="2:4">
      <c r="B54" s="24" t="str">
        <f>LEFT(Лист1!L54,30)</f>
        <v>BP 3.200 Home</v>
      </c>
      <c r="C54" s="46">
        <f>Лист1!K54</f>
        <v>16457500</v>
      </c>
      <c r="D54" s="31">
        <f>COUNTIF(Лист1!$A$3:$A$50,B54)+COUNTIF(Лист1!$E$3:$E$50,B54)</f>
        <v>0</v>
      </c>
    </row>
    <row r="55" spans="2:4">
      <c r="B55" s="24" t="str">
        <f>LEFT(Лист1!L55,30)</f>
        <v>NT30/1 Ap L</v>
      </c>
      <c r="C55" s="46">
        <f>Лист1!K55</f>
        <v>11482210</v>
      </c>
      <c r="D55" s="31">
        <f>COUNTIF(Лист1!$A$3:$A$50,B55)+COUNTIF(Лист1!$E$3:$E$50,B55)</f>
        <v>0</v>
      </c>
    </row>
    <row r="56" spans="2:4">
      <c r="B56" s="24" t="str">
        <f>LEFT(Лист1!L56,30)</f>
        <v>KWD3 S V-17/4/20 Anniver.Ed.</v>
      </c>
      <c r="C56" s="46">
        <f>Лист1!K56</f>
        <v>16284490</v>
      </c>
      <c r="D56" s="31">
        <f>COUNTIF(Лист1!$A$3:$A$50,B56)+COUNTIF(Лист1!$E$3:$E$50,B56)</f>
        <v>0</v>
      </c>
    </row>
    <row r="57" spans="2:4">
      <c r="B57" s="24" t="str">
        <f>LEFT(Лист1!L57,30)</f>
        <v>SC2 Upright Easy Fix</v>
      </c>
      <c r="C57" s="46">
        <f>Лист1!K57</f>
        <v>15133450</v>
      </c>
      <c r="D57" s="31">
        <f>COUNTIF(Лист1!$A$3:$A$50,B57)+COUNTIF(Лист1!$E$3:$E$50,B57)</f>
        <v>0</v>
      </c>
    </row>
    <row r="58" spans="2:4">
      <c r="B58" s="24" t="str">
        <f>LEFT(Лист1!L58,30)</f>
        <v>BP4.500 Garden</v>
      </c>
      <c r="C58" s="46">
        <f>Лист1!K58</f>
        <v>16457000</v>
      </c>
      <c r="D58" s="31">
        <f>COUNTIF(Лист1!$A$3:$A$50,B58)+COUNTIF(Лист1!$E$3:$E$50,B58)</f>
        <v>0</v>
      </c>
    </row>
    <row r="59" spans="2:4">
      <c r="B59" s="24" t="str">
        <f>LEFT(Лист1!L59,30)</f>
        <v>BP4.500 Garden Set</v>
      </c>
      <c r="C59" s="46">
        <f>Лист1!K59</f>
        <v>16457010</v>
      </c>
      <c r="D59" s="31">
        <f>COUNTIF(Лист1!$A$3:$A$50,B59)+COUNTIF(Лист1!$E$3:$E$50,B59)</f>
        <v>0</v>
      </c>
    </row>
    <row r="60" spans="2:4">
      <c r="B60" s="24" t="str">
        <f>LEFT(Лист1!L60,30)</f>
        <v>T7/1 Classic</v>
      </c>
      <c r="C60" s="46">
        <f>Лист1!K60</f>
        <v>15271810</v>
      </c>
      <c r="D60" s="31">
        <f>COUNTIF(Лист1!$A$3:$A$50,B60)+COUNTIF(Лист1!$E$3:$E$50,B60)</f>
        <v>0</v>
      </c>
    </row>
    <row r="61" spans="2:4">
      <c r="B61" s="24" t="str">
        <f>LEFT(Лист1!L61,30)</f>
        <v>T8/1 L</v>
      </c>
      <c r="C61" s="46">
        <f>Лист1!K61</f>
        <v>15271880</v>
      </c>
      <c r="D61" s="31">
        <f>COUNTIF(Лист1!$A$3:$A$50,B61)+COUNTIF(Лист1!$E$3:$E$50,B61)</f>
        <v>0</v>
      </c>
    </row>
    <row r="62" spans="2:4">
      <c r="B62" s="24" t="str">
        <f>LEFT(Лист1!L62,30)</f>
        <v>T10/1 Adv</v>
      </c>
      <c r="C62" s="46">
        <f>Лист1!K62</f>
        <v>15271540</v>
      </c>
      <c r="D62" s="31">
        <f>COUNTIF(Лист1!$A$3:$A$50,B62)+COUNTIF(Лист1!$E$3:$E$50,B62)</f>
        <v>0</v>
      </c>
    </row>
    <row r="63" spans="2:4">
      <c r="B63" s="24" t="str">
        <f>LEFT(Лист1!L63,30)</f>
        <v>K4 Compact UM</v>
      </c>
      <c r="C63" s="46">
        <f>Лист1!K63</f>
        <v>16794000</v>
      </c>
      <c r="D63" s="31">
        <f>COUNTIF(Лист1!$A$3:$A$50,B63)+COUNTIF(Лист1!$E$3:$E$50,B63)</f>
        <v>0</v>
      </c>
    </row>
    <row r="64" spans="2:4">
      <c r="B64" s="24" t="str">
        <f>LEFT(Лист1!L64,30)</f>
        <v>HD 6/15-4 M Classic</v>
      </c>
      <c r="C64" s="46">
        <f>Лист1!K64</f>
        <v>13679000</v>
      </c>
      <c r="D64" s="31">
        <f>COUNTIF(Лист1!$A$3:$A$50,B64)+COUNTIF(Лист1!$E$3:$E$50,B64)</f>
        <v>0</v>
      </c>
    </row>
    <row r="65" spans="2:4">
      <c r="B65" s="24" t="str">
        <f>LEFT(Лист1!L65,30)</f>
        <v>K2 Power Control</v>
      </c>
      <c r="C65" s="46">
        <f>Лист1!K65</f>
        <v>16736000</v>
      </c>
      <c r="D65" s="31">
        <f>COUNTIF(Лист1!$A$3:$A$50,B65)+COUNTIF(Лист1!$E$3:$E$50,B65)</f>
        <v>0</v>
      </c>
    </row>
    <row r="66" spans="2:4">
      <c r="B66" s="24" t="str">
        <f>LEFT(Лист1!L66,30)</f>
        <v>VC 4 Cordless myHome Pet</v>
      </c>
      <c r="C66" s="46">
        <f>Лист1!K66</f>
        <v>11986330</v>
      </c>
      <c r="D66" s="31">
        <f>COUNTIF(Лист1!$A$3:$A$50,B66)+COUNTIF(Лист1!$E$3:$E$50,B66)</f>
        <v>0</v>
      </c>
    </row>
    <row r="67" spans="2:4">
      <c r="B67" s="24" t="str">
        <f>LEFT(Лист1!L67,30)</f>
        <v>WD 6 P S V-30/6/22/T+DDC</v>
      </c>
      <c r="C67" s="46">
        <f>Лист1!K67</f>
        <v>16283820</v>
      </c>
      <c r="D67" s="31">
        <f>COUNTIF(Лист1!$A$3:$A$50,B67)+COUNTIF(Лист1!$E$3:$E$50,B67)</f>
        <v>0</v>
      </c>
    </row>
    <row r="68" spans="2:4">
      <c r="B68" s="24" t="str">
        <f>LEFT(Лист1!L68,30)</f>
        <v>NT65/2 Ap</v>
      </c>
      <c r="C68" s="46">
        <f>Лист1!K68</f>
        <v>16672910</v>
      </c>
      <c r="D68" s="31">
        <f>COUNTIF(Лист1!$A$3:$A$50,B68)+COUNTIF(Лист1!$E$3:$E$50,B68)</f>
        <v>0</v>
      </c>
    </row>
    <row r="69" spans="2:4">
      <c r="B69" s="24" t="str">
        <f>LEFT(Лист1!L69,30)</f>
        <v>K7 Power</v>
      </c>
      <c r="C69" s="46">
        <f>Лист1!K69</f>
        <v>13171500</v>
      </c>
      <c r="D69" s="31">
        <f>COUNTIF(Лист1!$A$3:$A$50,B69)+COUNTIF(Лист1!$E$3:$E$50,B69)</f>
        <v>0</v>
      </c>
    </row>
    <row r="70" spans="2:4">
      <c r="B70" s="24" t="str">
        <f>LEFT(Лист1!L70,30)</f>
        <v>NT70/2 Me Classic</v>
      </c>
      <c r="C70" s="46">
        <f>Лист1!K70</f>
        <v>16673060</v>
      </c>
      <c r="D70" s="31">
        <f>COUNTIF(Лист1!$A$3:$A$50,B70)+COUNTIF(Лист1!$E$3:$E$50,B70)</f>
        <v>0</v>
      </c>
    </row>
    <row r="71" spans="2:4">
      <c r="B71" s="24" t="str">
        <f>LEFT(Лист1!L71,30)</f>
        <v>NT90/2 Me Classic</v>
      </c>
      <c r="C71" s="46">
        <f>Лист1!K71</f>
        <v>16677000</v>
      </c>
      <c r="D71" s="31">
        <f>COUNTIF(Лист1!$A$3:$A$50,B71)+COUNTIF(Лист1!$E$3:$E$50,B71)</f>
        <v>0</v>
      </c>
    </row>
    <row r="72" spans="2:4">
      <c r="B72" s="24" t="str">
        <f>LEFT(Лист1!L72,30)</f>
        <v>PUZZI 8/1 C</v>
      </c>
      <c r="C72" s="46">
        <f>Лист1!K72</f>
        <v>11002400</v>
      </c>
      <c r="D72" s="31">
        <f>COUNTIF(Лист1!$A$3:$A$50,B72)+COUNTIF(Лист1!$E$3:$E$50,B72)</f>
        <v>0</v>
      </c>
    </row>
    <row r="73" spans="2:4">
      <c r="B73" s="24" t="str">
        <f>LEFT(Лист1!L73,30)</f>
        <v>PUZZI 10/1</v>
      </c>
      <c r="C73" s="46">
        <f>Лист1!K73</f>
        <v>11001300</v>
      </c>
      <c r="D73" s="31">
        <f>COUNTIF(Лист1!$A$3:$A$50,B73)+COUNTIF(Лист1!$E$3:$E$50,B73)</f>
        <v>0</v>
      </c>
    </row>
    <row r="74" spans="2:4">
      <c r="B74" s="24" t="str">
        <f>LEFT(Лист1!L74,30)</f>
        <v>WD5 P V-25/8/35 Car</v>
      </c>
      <c r="C74" s="46">
        <f>Лист1!K74</f>
        <v>16283140</v>
      </c>
      <c r="D74" s="31">
        <f>COUNTIF(Лист1!$A$3:$A$50,B74)+COUNTIF(Лист1!$E$3:$E$50,B74)</f>
        <v>0</v>
      </c>
    </row>
    <row r="75" spans="2:4">
      <c r="B75" s="24" t="str">
        <f>LEFT(Лист1!L75,30)</f>
        <v>K7 WCM</v>
      </c>
      <c r="C75" s="46">
        <f>Лист1!K75</f>
        <v>13174000</v>
      </c>
      <c r="D75" s="31">
        <f>COUNTIF(Лист1!$A$3:$A$50,B75)+COUNTIF(Лист1!$E$3:$E$50,B75)</f>
        <v>0</v>
      </c>
    </row>
    <row r="76" spans="2:4">
      <c r="B76" s="24" t="str">
        <f>LEFT(Лист1!L76,30)</f>
        <v>DS6 Premium Plus</v>
      </c>
      <c r="C76" s="46">
        <f>Лист1!K76</f>
        <v>11952420</v>
      </c>
      <c r="D76" s="31">
        <f>COUNTIF(Лист1!$A$3:$A$50,B76)+COUNTIF(Лист1!$E$3:$E$50,B76)</f>
        <v>0</v>
      </c>
    </row>
    <row r="77" spans="2:4">
      <c r="B77" s="24" t="str">
        <f>LEFT(Лист1!L77,30)</f>
        <v>HD 7/20 G Classic</v>
      </c>
      <c r="C77" s="46">
        <f>Лист1!K77</f>
        <v>11870110</v>
      </c>
      <c r="D77" s="31">
        <f>COUNTIF(Лист1!$A$3:$A$50,B77)+COUNTIF(Лист1!$E$3:$E$50,B77)</f>
        <v>0</v>
      </c>
    </row>
    <row r="78" spans="2:4">
      <c r="B78" s="24" t="str">
        <f>LEFT(Лист1!L78,30)</f>
        <v>VC3 Plus</v>
      </c>
      <c r="C78" s="46">
        <f>Лист1!K78</f>
        <v>11980600</v>
      </c>
      <c r="D78" s="31">
        <f>COUNTIF(Лист1!$A$3:$A$50,B78)+COUNTIF(Лист1!$E$3:$E$50,B78)</f>
        <v>0</v>
      </c>
    </row>
    <row r="79" spans="2:4">
      <c r="B79" s="24" t="str">
        <f>LEFT(Лист1!L79,30)</f>
        <v>VC3</v>
      </c>
      <c r="C79" s="46">
        <f>Лист1!K79</f>
        <v>11980530</v>
      </c>
      <c r="D79" s="31">
        <f>COUNTIF(Лист1!$A$3:$A$50,B79)+COUNTIF(Лист1!$E$3:$E$50,B79)</f>
        <v>0</v>
      </c>
    </row>
    <row r="80" spans="2:4">
      <c r="B80" s="24" t="str">
        <f>LEFT(Лист1!L80,30)</f>
        <v>SE 3 Compact Home Floor</v>
      </c>
      <c r="C80" s="46">
        <f>Лист1!K80</f>
        <v>10815330</v>
      </c>
      <c r="D80" s="31">
        <f>COUNTIF(Лист1!$A$3:$A$50,B80)+COUNTIF(Лист1!$E$3:$E$50,B80)</f>
        <v>0</v>
      </c>
    </row>
    <row r="81" spans="2:4">
      <c r="B81" s="24" t="str">
        <f>LEFT(Лист1!L81,30)</f>
        <v>WD3 V-15/4/20</v>
      </c>
      <c r="C81" s="46">
        <f>Лист1!K81</f>
        <v>16281040</v>
      </c>
      <c r="D81" s="31">
        <f>COUNTIF(Лист1!$A$3:$A$50,B81)+COUNTIF(Лист1!$E$3:$E$50,B81)</f>
        <v>0</v>
      </c>
    </row>
    <row r="82" spans="2:4">
      <c r="B82" s="24" t="str">
        <f>LEFT(Лист1!L82,30)</f>
        <v>SE4 Plus Special</v>
      </c>
      <c r="C82" s="46">
        <f>Лист1!K82</f>
        <v>10811710</v>
      </c>
      <c r="D82" s="31">
        <f>COUNTIF(Лист1!$A$3:$A$50,B82)+COUNTIF(Лист1!$E$3:$E$50,B82)</f>
        <v>0</v>
      </c>
    </row>
    <row r="83" spans="2:4">
      <c r="B83" s="24" t="str">
        <f>LEFT(Лист1!L83,30)</f>
        <v>WD 2 PLUS V-12/4/18</v>
      </c>
      <c r="C83" s="46">
        <f>Лист1!K83</f>
        <v>16280000</v>
      </c>
      <c r="D83" s="31">
        <f>COUNTIF(Лист1!$A$3:$A$50,B83)+COUNTIF(Лист1!$E$3:$E$50,B83)</f>
        <v>0</v>
      </c>
    </row>
    <row r="84" spans="2:4">
      <c r="B84" s="24" t="str">
        <f>LEFT(Лист1!L84,30)</f>
        <v>K3 Compact</v>
      </c>
      <c r="C84" s="46">
        <f>Лист1!K84</f>
        <v>16762000</v>
      </c>
      <c r="D84" s="31">
        <f>COUNTIF(Лист1!$A$3:$A$50,B84)+COUNTIF(Лист1!$E$3:$E$50,B84)</f>
        <v>0</v>
      </c>
    </row>
    <row r="85" spans="2:4">
      <c r="B85" s="24" t="str">
        <f>LEFT(Лист1!L85,30)</f>
        <v>WD3 S V-17/6/20 Car</v>
      </c>
      <c r="C85" s="46">
        <f>Лист1!K85</f>
        <v>16281490</v>
      </c>
      <c r="D85" s="31">
        <f>COUNTIF(Лист1!$A$3:$A$50,B85)+COUNTIF(Лист1!$E$3:$E$50,B85)</f>
        <v>0</v>
      </c>
    </row>
    <row r="86" spans="2:4">
      <c r="B86" s="24" t="str">
        <f>LEFT(Лист1!L86,30)</f>
        <v>WD 3 S V-17/4/20</v>
      </c>
      <c r="C86" s="46">
        <f>Лист1!K86</f>
        <v>16281350</v>
      </c>
      <c r="D86" s="31">
        <f>COUNTIF(Лист1!$A$3:$A$50,B86)+COUNTIF(Лист1!$E$3:$E$50,B86)</f>
        <v>0</v>
      </c>
    </row>
    <row r="87" spans="2:4">
      <c r="B87" s="24" t="str">
        <f>LEFT(Лист1!L87,30)</f>
        <v>AD4 Premium</v>
      </c>
      <c r="C87" s="46">
        <f>Лист1!K87</f>
        <v>16297310</v>
      </c>
      <c r="D87" s="31">
        <f>COUNTIF(Лист1!$A$3:$A$50,B87)+COUNTIF(Лист1!$E$3:$E$50,B87)</f>
        <v>0</v>
      </c>
    </row>
    <row r="88" spans="2:4">
      <c r="B88" s="24" t="str">
        <f>LEFT(Лист1!L88,30)</f>
        <v>WD3 P S V-17/4/20</v>
      </c>
      <c r="C88" s="46">
        <f>Лист1!K88</f>
        <v>16281900</v>
      </c>
      <c r="D88" s="31">
        <f>COUNTIF(Лист1!$A$3:$A$50,B88)+COUNTIF(Лист1!$E$3:$E$50,B88)</f>
        <v>0</v>
      </c>
    </row>
    <row r="89" spans="2:4">
      <c r="B89" s="24" t="str">
        <f>LEFT(Лист1!L89,30)</f>
        <v>WD4 S V-20/5/22</v>
      </c>
      <c r="C89" s="46">
        <f>Лист1!K89</f>
        <v>16282500</v>
      </c>
      <c r="D89" s="31">
        <f>COUNTIF(Лист1!$A$3:$A$50,B89)+COUNTIF(Лист1!$E$3:$E$50,B89)</f>
        <v>0</v>
      </c>
    </row>
    <row r="90" spans="2:4">
      <c r="B90" s="24" t="str">
        <f>LEFT(Лист1!L90,30)</f>
        <v>WD 5 S V-25/5/22</v>
      </c>
      <c r="C90" s="46">
        <f>Лист1!K90</f>
        <v>16283500</v>
      </c>
      <c r="D90" s="31">
        <f>COUNTIF(Лист1!$A$3:$A$50,B90)+COUNTIF(Лист1!$E$3:$E$50,B90)</f>
        <v>0</v>
      </c>
    </row>
    <row r="91" spans="2:4">
      <c r="B91" s="24" t="str">
        <f>LEFT(Лист1!L91,30)</f>
        <v>WD6 P V-25/8/22/T</v>
      </c>
      <c r="C91" s="46">
        <f>Лист1!K91</f>
        <v>16283130</v>
      </c>
      <c r="D91" s="31">
        <f>COUNTIF(Лист1!$A$3:$A$50,B91)+COUNTIF(Лист1!$E$3:$E$50,B91)</f>
        <v>0</v>
      </c>
    </row>
    <row r="92" spans="2:4">
      <c r="B92" s="24" t="str">
        <f>LEFT(Лист1!L92,30)</f>
        <v>HD6/15 M Cage</v>
      </c>
      <c r="C92" s="46">
        <f>Лист1!K92</f>
        <v>11509700</v>
      </c>
      <c r="D92" s="31">
        <f>COUNTIF(Лист1!$A$3:$A$50,B92)+COUNTIF(Лист1!$E$3:$E$50,B92)</f>
        <v>0</v>
      </c>
    </row>
    <row r="93" spans="2:4">
      <c r="B93" s="24" t="str">
        <f>LEFT(Лист1!L93,30)</f>
        <v>HD7/17 M Cage</v>
      </c>
      <c r="C93" s="46">
        <f>Лист1!K93</f>
        <v>11519600</v>
      </c>
      <c r="D93" s="31">
        <f>COUNTIF(Лист1!$A$3:$A$50,B93)+COUNTIF(Лист1!$E$3:$E$50,B93)</f>
        <v>0</v>
      </c>
    </row>
    <row r="94" spans="2:4">
      <c r="B94" s="24" t="str">
        <f>LEFT(Лист1!L94,30)</f>
        <v>HD9/18 Cage Classic</v>
      </c>
      <c r="C94" s="46">
        <f>Лист1!K94</f>
        <v>13673150</v>
      </c>
      <c r="D94" s="31">
        <f>COUNTIF(Лист1!$A$3:$A$50,B94)+COUNTIF(Лист1!$E$3:$E$50,B94)</f>
        <v>0</v>
      </c>
    </row>
    <row r="95" spans="2:4">
      <c r="B95" s="24" t="str">
        <f>LEFT(Лист1!L95,30)</f>
        <v>SE6 Signature Line</v>
      </c>
      <c r="C95" s="46">
        <f>Лист1!K95</f>
        <v>10811900</v>
      </c>
      <c r="D95" s="31">
        <f>COUNTIF(Лист1!$A$3:$A$50,B95)+COUNTIF(Лист1!$E$3:$E$50,B95)</f>
        <v>0</v>
      </c>
    </row>
    <row r="96" spans="2:4">
      <c r="B96" s="24" t="str">
        <f>LEFT(Лист1!L96,30)</f>
        <v>FC7 Signature Line</v>
      </c>
      <c r="C96" s="46">
        <f>Лист1!K96</f>
        <v>10557090</v>
      </c>
      <c r="D96" s="31">
        <f>COUNTIF(Лист1!$A$3:$A$50,B96)+COUNTIF(Лист1!$E$3:$E$50,B96)</f>
        <v>0</v>
      </c>
    </row>
    <row r="97" spans="2:4">
      <c r="B97" s="24" t="str">
        <f>LEFT(Лист1!L97,30)</f>
        <v>EWM2</v>
      </c>
      <c r="C97" s="46">
        <f>Лист1!K97</f>
        <v>10563100</v>
      </c>
      <c r="D97" s="31">
        <f>COUNTIF(Лист1!$A$3:$A$50,B97)+COUNTIF(Лист1!$E$3:$E$50,B97)</f>
        <v>0</v>
      </c>
    </row>
    <row r="98" spans="2:4">
      <c r="B98" s="24" t="str">
        <f>LEFT(Лист1!L98,30)</f>
        <v>DS 6 Plus</v>
      </c>
      <c r="C98" s="46">
        <f>Лист1!K98</f>
        <v>11952520</v>
      </c>
      <c r="D98" s="31">
        <f>COUNTIF(Лист1!$A$3:$A$50,B98)+COUNTIF(Лист1!$E$3:$E$50,B98)</f>
        <v>0</v>
      </c>
    </row>
    <row r="99" spans="2:4">
      <c r="B99" s="24" t="str">
        <f>LEFT(Лист1!L99,30)</f>
        <v>KB5 Premium</v>
      </c>
      <c r="C99" s="46">
        <f>Лист1!K99</f>
        <v>12580210</v>
      </c>
      <c r="D99" s="31">
        <f>COUNTIF(Лист1!$A$3:$A$50,B99)+COUNTIF(Лист1!$E$3:$E$50,B99)</f>
        <v>0</v>
      </c>
    </row>
    <row r="100" spans="2:4">
      <c r="B100" s="24" t="str">
        <f>LEFT(Лист1!L100,30)</f>
        <v>WD 5 P V-25/5/22</v>
      </c>
      <c r="C100" s="46">
        <f>Лист1!K100</f>
        <v>16283060</v>
      </c>
      <c r="D100" s="31">
        <f>COUNTIF(Лист1!$A$3:$A$50,B100)+COUNTIF(Лист1!$E$3:$E$50,B100)</f>
        <v>0</v>
      </c>
    </row>
    <row r="101" spans="2:4">
      <c r="B101" s="24" t="str">
        <f>LEFT(Лист1!L101,30)</f>
        <v>SC 2 Deluxe</v>
      </c>
      <c r="C101" s="46">
        <f>Лист1!K101</f>
        <v>15134000</v>
      </c>
      <c r="D101" s="31">
        <f>COUNTIF(Лист1!$A$3:$A$50,B101)+COUNTIF(Лист1!$E$3:$E$50,B101)</f>
        <v>0</v>
      </c>
    </row>
    <row r="102" spans="2:4">
      <c r="B102" s="24" t="str">
        <f>LEFT(Лист1!L102,30)</f>
        <v>LMO 18-36 Battery Set</v>
      </c>
      <c r="C102" s="46">
        <f>Лист1!K102</f>
        <v>14444210</v>
      </c>
      <c r="D102" s="31">
        <f>COUNTIF(Лист1!$A$3:$A$50,B102)+COUNTIF(Лист1!$E$3:$E$50,B102)</f>
        <v>0</v>
      </c>
    </row>
    <row r="103" spans="2:4">
      <c r="B103" s="24" t="str">
        <f>LEFT(Лист1!L103,30)</f>
        <v>SC3 Easy Fix Premium</v>
      </c>
      <c r="C103" s="46">
        <f>Лист1!K103</f>
        <v>15131600</v>
      </c>
      <c r="D103" s="31">
        <f>COUNTIF(Лист1!$A$3:$A$50,B103)+COUNTIF(Лист1!$E$3:$E$50,B103)</f>
        <v>0</v>
      </c>
    </row>
    <row r="104" spans="2:4">
      <c r="B104" s="24" t="str">
        <f>LEFT(Лист1!L104,30)</f>
        <v>LBL 4 Battery</v>
      </c>
      <c r="C104" s="46">
        <f>Лист1!K104</f>
        <v>14451500</v>
      </c>
      <c r="D104" s="31">
        <f>COUNTIF(Лист1!$A$3:$A$50,B104)+COUNTIF(Лист1!$E$3:$E$50,B104)</f>
        <v>0</v>
      </c>
    </row>
    <row r="105" spans="2:4">
      <c r="B105" s="24" t="str">
        <f>LEFT(Лист1!L105,30)</f>
        <v>WD2 Plus V-12/4/18/C</v>
      </c>
      <c r="C105" s="46">
        <f>Лист1!K105</f>
        <v>16280090</v>
      </c>
      <c r="D105" s="31">
        <f>COUNTIF(Лист1!$A$3:$A$50,B105)+COUNTIF(Лист1!$E$3:$E$50,B105)</f>
        <v>0</v>
      </c>
    </row>
    <row r="106" spans="2:4">
      <c r="B106" s="24" t="str">
        <f>LEFT(Лист1!L106,30)</f>
        <v>T14/1 Classic</v>
      </c>
      <c r="C106" s="46">
        <f>Лист1!K106</f>
        <v>15271700</v>
      </c>
      <c r="D106" s="31">
        <f>COUNTIF(Лист1!$A$3:$A$50,B106)+COUNTIF(Лист1!$E$3:$E$50,B106)</f>
        <v>0</v>
      </c>
    </row>
    <row r="107" spans="2:4">
      <c r="B107" s="24" t="str">
        <f>LEFT(Лист1!L107,30)</f>
        <v>AF 20</v>
      </c>
      <c r="C107" s="46">
        <f>Лист1!K107</f>
        <v>10248200</v>
      </c>
      <c r="D107" s="31">
        <f>COUNTIF(Лист1!$A$3:$A$50,B107)+COUNTIF(Лист1!$E$3:$E$50,B107)</f>
        <v>0</v>
      </c>
    </row>
    <row r="108" spans="2:4">
      <c r="B108" s="24" t="str">
        <f>LEFT(Лист1!L108,30)</f>
        <v>VC4 Cordless myHome</v>
      </c>
      <c r="C108" s="46">
        <f>Лист1!K108</f>
        <v>11986300</v>
      </c>
      <c r="D108" s="31">
        <f>COUNTIF(Лист1!$A$3:$A$50,B108)+COUNTIF(Лист1!$E$3:$E$50,B108)</f>
        <v>0</v>
      </c>
    </row>
    <row r="109" spans="2:4">
      <c r="B109" s="24" t="str">
        <f>LEFT(Лист1!L109,30)</f>
        <v>HD6/15 M</v>
      </c>
      <c r="C109" s="46">
        <f>Лист1!K109</f>
        <v>11509300</v>
      </c>
      <c r="D109" s="31">
        <f>COUNTIF(Лист1!$A$3:$A$50,B109)+COUNTIF(Лист1!$E$3:$E$50,B109)</f>
        <v>0</v>
      </c>
    </row>
    <row r="110" spans="2:4">
      <c r="B110" s="24" t="str">
        <f>LEFT(Лист1!L110,30)</f>
        <v>NT 22/1 Ap Te</v>
      </c>
      <c r="C110" s="46">
        <f>Лист1!K110</f>
        <v>13786100</v>
      </c>
      <c r="D110" s="31">
        <f>COUNTIF(Лист1!$A$3:$A$50,B110)+COUNTIF(Лист1!$E$3:$E$50,B110)</f>
        <v>0</v>
      </c>
    </row>
    <row r="111" spans="2:4">
      <c r="B111" s="24" t="str">
        <f>LEFT(Лист1!L111,30)</f>
        <v>NT 22/1 Ap</v>
      </c>
      <c r="C111" s="46">
        <f>Лист1!K111</f>
        <v>13786000</v>
      </c>
      <c r="D111" s="31">
        <f>COUNTIF(Лист1!$A$3:$A$50,B111)+COUNTIF(Лист1!$E$3:$E$50,B111)</f>
        <v>0</v>
      </c>
    </row>
    <row r="112" spans="2:4">
      <c r="B112" s="24" t="str">
        <f>LEFT(Лист1!L112,30)</f>
        <v>BP3 Home&amp;Garden</v>
      </c>
      <c r="C112" s="46">
        <f>Лист1!K112</f>
        <v>16453530</v>
      </c>
      <c r="D112" s="31">
        <f>COUNTIF(Лист1!$A$3:$A$50,B112)+COUNTIF(Лист1!$E$3:$E$50,B112)</f>
        <v>0</v>
      </c>
    </row>
    <row r="113" spans="2:4">
      <c r="B113" s="24" t="str">
        <f>LEFT(Лист1!L113,30)</f>
        <v>VC5 Cordless Premium</v>
      </c>
      <c r="C113" s="46">
        <f>Лист1!K113</f>
        <v>13494000</v>
      </c>
      <c r="D113" s="31">
        <f>COUNTIF(Лист1!$A$3:$A$50,B113)+COUNTIF(Лист1!$E$3:$E$50,B113)</f>
        <v>0</v>
      </c>
    </row>
    <row r="114" spans="2:4">
      <c r="B114" s="24" t="str">
        <f>LEFT(Лист1!L114,30)</f>
        <v>VC2</v>
      </c>
      <c r="C114" s="46">
        <f>Лист1!K114</f>
        <v>11980350</v>
      </c>
      <c r="D114" s="31">
        <f>COUNTIF(Лист1!$A$3:$A$50,B114)+COUNTIF(Лист1!$E$3:$E$50,B114)</f>
        <v>0</v>
      </c>
    </row>
    <row r="115" spans="2:4">
      <c r="B115" s="24" t="str">
        <f>LEFT(Лист1!L115,30)</f>
        <v>LTR 36-33 Battery</v>
      </c>
      <c r="C115" s="46">
        <f>Лист1!K115</f>
        <v>14443500</v>
      </c>
      <c r="D115" s="31">
        <f>COUNTIF(Лист1!$A$3:$A$50,B115)+COUNTIF(Лист1!$E$3:$E$50,B115)</f>
        <v>0</v>
      </c>
    </row>
    <row r="116" spans="2:4">
      <c r="B116" s="24" t="str">
        <f>LEFT(Лист1!L116,30)</f>
        <v>FC 5 Cordless Premium</v>
      </c>
      <c r="C116" s="46">
        <f>Лист1!K116</f>
        <v>10556600</v>
      </c>
      <c r="D116" s="31">
        <f>COUNTIF(Лист1!$A$3:$A$50,B116)+COUNTIF(Лист1!$E$3:$E$50,B116)</f>
        <v>0</v>
      </c>
    </row>
    <row r="117" spans="2:4">
      <c r="B117" s="24" t="str">
        <f>LEFT(Лист1!L117,30)</f>
        <v>HD 10/21-4S</v>
      </c>
      <c r="C117" s="46">
        <f>Лист1!K117</f>
        <v>12869190</v>
      </c>
      <c r="D117" s="31">
        <f>COUNTIF(Лист1!$A$3:$A$50,B117)+COUNTIF(Лист1!$E$3:$E$50,B117)</f>
        <v>0</v>
      </c>
    </row>
    <row r="118" spans="2:4">
      <c r="B118" s="24" t="str">
        <f>LEFT(Лист1!L118,30)</f>
        <v>HD 5/12C</v>
      </c>
      <c r="C118" s="46">
        <f>Лист1!K118</f>
        <v>15209000</v>
      </c>
      <c r="D118" s="31">
        <f>COUNTIF(Лист1!$A$3:$A$50,B118)+COUNTIF(Лист1!$E$3:$E$50,B118)</f>
        <v>0</v>
      </c>
    </row>
    <row r="119" spans="2:4">
      <c r="B119" s="24" t="str">
        <f>LEFT(Лист1!L119,30)</f>
        <v>SC2 Deluxe EasyFix</v>
      </c>
      <c r="C119" s="46">
        <f>Лист1!K119</f>
        <v>15132430</v>
      </c>
      <c r="D119" s="31">
        <f>COUNTIF(Лист1!$A$3:$A$50,B119)+COUNTIF(Лист1!$E$3:$E$50,B119)</f>
        <v>0</v>
      </c>
    </row>
    <row r="120" spans="2:4">
      <c r="B120" s="24" t="str">
        <f>LEFT(Лист1!L120,30)</f>
        <v>LTR 18-33 Battery Set</v>
      </c>
      <c r="C120" s="46">
        <f>Лист1!K120</f>
        <v>14443110</v>
      </c>
      <c r="D120" s="31">
        <f>COUNTIF(Лист1!$A$3:$A$50,B120)+COUNTIF(Лист1!$E$3:$E$50,B120)</f>
        <v>0</v>
      </c>
    </row>
    <row r="121" spans="2:4">
      <c r="B121" s="24" t="str">
        <f>LEFT(Лист1!L121,30)</f>
        <v>FC7 Cordless</v>
      </c>
      <c r="C121" s="46">
        <f>Лист1!K121</f>
        <v>10557010</v>
      </c>
      <c r="D121" s="31">
        <f>COUNTIF(Лист1!$A$3:$A$50,B121)+COUNTIF(Лист1!$E$3:$E$50,B121)</f>
        <v>0</v>
      </c>
    </row>
    <row r="122" spans="2:4">
      <c r="B122" s="24" t="str">
        <f>LEFT(Лист1!L122,30)</f>
        <v>VC2 Premium</v>
      </c>
      <c r="C122" s="46">
        <f>Лист1!K122</f>
        <v>11981150</v>
      </c>
      <c r="D122" s="31">
        <f>COUNTIF(Лист1!$A$3:$A$50,B122)+COUNTIF(Лист1!$E$3:$E$50,B122)</f>
        <v>0</v>
      </c>
    </row>
    <row r="123" spans="2:4">
      <c r="B123" s="24" t="str">
        <f>LEFT(Лист1!L123,30)</f>
        <v>BP5.000 Garden</v>
      </c>
      <c r="C123" s="46">
        <f>Лист1!K123</f>
        <v>16457100</v>
      </c>
      <c r="D123" s="31">
        <f>COUNTIF(Лист1!$A$3:$A$50,B123)+COUNTIF(Лист1!$E$3:$E$50,B123)</f>
        <v>0</v>
      </c>
    </row>
    <row r="124" spans="2:4">
      <c r="B124" s="24" t="str">
        <f>LEFT(Лист1!L124,30)</f>
        <v>CVH 2</v>
      </c>
      <c r="C124" s="46">
        <f>Лист1!K124</f>
        <v>11984010</v>
      </c>
      <c r="D124" s="31">
        <f>COUNTIF(Лист1!$A$3:$A$50,B124)+COUNTIF(Лист1!$E$3:$E$50,B124)</f>
        <v>0</v>
      </c>
    </row>
    <row r="125" spans="2:4">
      <c r="B125" s="24" t="str">
        <f>LEFT(Лист1!L125,30)</f>
        <v>K7 Premium Power</v>
      </c>
      <c r="C125" s="46">
        <f>Лист1!K125</f>
        <v>13171700</v>
      </c>
      <c r="D125" s="31">
        <f>COUNTIF(Лист1!$A$3:$A$50,B125)+COUNTIF(Лист1!$E$3:$E$50,B125)</f>
        <v>0</v>
      </c>
    </row>
    <row r="126" spans="2:4">
      <c r="B126" s="24" t="str">
        <f>LEFT(Лист1!L126,30)</f>
        <v>GSH 18-20 Battery</v>
      </c>
      <c r="C126" s="46">
        <f>Лист1!K126</f>
        <v>14442000</v>
      </c>
      <c r="D126" s="31">
        <f>COUNTIF(Лист1!$A$3:$A$50,B126)+COUNTIF(Лист1!$E$3:$E$50,B126)</f>
        <v>0</v>
      </c>
    </row>
    <row r="127" spans="2:4">
      <c r="B127" s="24" t="str">
        <f>LEFT(Лист1!L127,30)</f>
        <v>BP2 Garden</v>
      </c>
      <c r="C127" s="46">
        <f>Лист1!K127</f>
        <v>16453500</v>
      </c>
      <c r="D127" s="31">
        <f>COUNTIF(Лист1!$A$3:$A$50,B127)+COUNTIF(Лист1!$E$3:$E$50,B127)</f>
        <v>0</v>
      </c>
    </row>
    <row r="128" spans="2:4">
      <c r="B128" s="24" t="str">
        <f>LEFT(Лист1!L128,30)</f>
        <v>VC4 Cordless Prem myHome</v>
      </c>
      <c r="C128" s="46">
        <f>Лист1!K128</f>
        <v>11986400</v>
      </c>
      <c r="D128" s="31">
        <f>COUNTIF(Лист1!$A$3:$A$50,B128)+COUNTIF(Лист1!$E$3:$E$50,B128)</f>
        <v>0</v>
      </c>
    </row>
    <row r="129" spans="2:4">
      <c r="B129" s="24" t="str">
        <f>LEFT(Лист1!L129,30)</f>
        <v>VC6 Cord. Prem. ourFamily</v>
      </c>
      <c r="C129" s="46">
        <f>Лист1!K129</f>
        <v>11986800</v>
      </c>
      <c r="D129" s="31">
        <f>COUNTIF(Лист1!$A$3:$A$50,B129)+COUNTIF(Лист1!$E$3:$E$50,B129)</f>
        <v>0</v>
      </c>
    </row>
    <row r="130" spans="2:4">
      <c r="B130" s="24" t="str">
        <f>LEFT(Лист1!L130,30)</f>
        <v>SC3 Deluxe EasyFix</v>
      </c>
      <c r="C130" s="46">
        <f>Лист1!K130</f>
        <v>15132000</v>
      </c>
      <c r="D130" s="31">
        <f>COUNTIF(Лист1!$A$3:$A$50,B130)+COUNTIF(Лист1!$E$3:$E$50,B130)</f>
        <v>0</v>
      </c>
    </row>
    <row r="131" spans="2:4">
      <c r="B131" s="24" t="str">
        <f>LEFT(Лист1!L131,30)</f>
        <v>SC3 Deluxe EasyFix Premium</v>
      </c>
      <c r="C131" s="46">
        <f>Лист1!K131</f>
        <v>15132210</v>
      </c>
      <c r="D131" s="31">
        <f>COUNTIF(Лист1!$A$3:$A$50,B131)+COUNTIF(Лист1!$E$3:$E$50,B131)</f>
        <v>0</v>
      </c>
    </row>
    <row r="132" spans="2:4">
      <c r="B132" s="24" t="str">
        <f>LEFT(Лист1!L132,30)</f>
        <v>VC 7 Signature Line</v>
      </c>
      <c r="C132" s="46">
        <f>Лист1!K132</f>
        <v>11987500</v>
      </c>
      <c r="D132" s="31">
        <f>COUNTIF(Лист1!$A$3:$A$50,B132)+COUNTIF(Лист1!$E$3:$E$50,B132)</f>
        <v>0</v>
      </c>
    </row>
    <row r="133" spans="2:4">
      <c r="B133" s="24" t="str">
        <f>LEFT(Лист1!L133,30)</f>
        <v>SC4 Deluxe EasyFix Prem Iron</v>
      </c>
      <c r="C133" s="46">
        <f>Лист1!K133</f>
        <v>15132810</v>
      </c>
      <c r="D133" s="31">
        <f>COUNTIF(Лист1!$A$3:$A$50,B133)+COUNTIF(Лист1!$E$3:$E$50,B133)</f>
        <v>0</v>
      </c>
    </row>
    <row r="134" spans="2:4">
      <c r="B134" s="24" t="str">
        <f>LEFT(Лист1!L134,30)</f>
        <v>SC4 Deluxe</v>
      </c>
      <c r="C134" s="46">
        <f>Лист1!K134</f>
        <v>15134600</v>
      </c>
      <c r="D134" s="31">
        <f>COUNTIF(Лист1!$A$3:$A$50,B134)+COUNTIF(Лист1!$E$3:$E$50,B134)</f>
        <v>0</v>
      </c>
    </row>
    <row r="135" spans="2:4">
      <c r="B135" s="24" t="str">
        <f>LEFT(Лист1!L135,30)</f>
        <v>SP1 Dirt</v>
      </c>
      <c r="C135" s="46">
        <f>Лист1!K135</f>
        <v>16455000</v>
      </c>
      <c r="D135" s="31">
        <f>COUNTIF(Лист1!$A$3:$A$50,B135)+COUNTIF(Лист1!$E$3:$E$50,B135)</f>
        <v>0</v>
      </c>
    </row>
    <row r="136" spans="2:4">
      <c r="B136" s="24" t="str">
        <f>LEFT(Лист1!L136,30)</f>
        <v>WD3 V-17/4/35 +Nozzles</v>
      </c>
      <c r="C136" s="46">
        <f>Лист1!K136</f>
        <v>16281240</v>
      </c>
      <c r="D136" s="31">
        <f>COUNTIF(Лист1!$A$3:$A$50,B136)+COUNTIF(Лист1!$E$3:$E$50,B136)</f>
        <v>0</v>
      </c>
    </row>
    <row r="137" spans="2:4">
      <c r="B137" s="24" t="str">
        <f>LEFT(Лист1!L137,30)</f>
        <v>EDI 4</v>
      </c>
      <c r="C137" s="46">
        <f>Лист1!K137</f>
        <v>15989000</v>
      </c>
      <c r="D137" s="31">
        <f>COUNTIF(Лист1!$A$3:$A$50,B137)+COUNTIF(Лист1!$E$3:$E$50,B137)</f>
        <v>0</v>
      </c>
    </row>
    <row r="138" spans="2:4">
      <c r="B138" s="24" t="str">
        <f>LEFT(Лист1!L138,30)</f>
        <v>WD3 S V-19/4/20 Suct. Brush</v>
      </c>
      <c r="C138" s="46">
        <f>Лист1!K138</f>
        <v>16281540</v>
      </c>
      <c r="D138" s="31">
        <f>COUNTIF(Лист1!$A$3:$A$50,B138)+COUNTIF(Лист1!$E$3:$E$50,B138)</f>
        <v>0</v>
      </c>
    </row>
    <row r="139" spans="2:4">
      <c r="B139" s="24" t="str">
        <f>LEFT(Лист1!L139,30)</f>
        <v>KWD3 V-17/4/20 Suct.Brush</v>
      </c>
      <c r="C139" s="46">
        <f>Лист1!K139</f>
        <v>16284430</v>
      </c>
      <c r="D139" s="31">
        <f>COUNTIF(Лист1!$A$3:$A$50,B139)+COUNTIF(Лист1!$E$3:$E$50,B139)</f>
        <v>0</v>
      </c>
    </row>
    <row r="140" spans="2:4">
      <c r="B140" s="24" t="str">
        <f>LEFT(Лист1!L140,30)</f>
        <v>PSU 4-18</v>
      </c>
      <c r="C140" s="46">
        <f>Лист1!K140</f>
        <v>14453000</v>
      </c>
      <c r="D140" s="31">
        <f>COUNTIF(Лист1!$A$3:$A$50,B140)+COUNTIF(Лист1!$E$3:$E$50,B140)</f>
        <v>0</v>
      </c>
    </row>
    <row r="141" spans="2:4">
      <c r="B141" s="24" t="str">
        <f>LEFT(Лист1!L141,30)</f>
        <v>HGE 18-45 Battery Set</v>
      </c>
      <c r="C141" s="46">
        <f>Лист1!K141</f>
        <v>14442310</v>
      </c>
      <c r="D141" s="31">
        <f>COUNTIF(Лист1!$A$3:$A$50,B141)+COUNTIF(Лист1!$E$3:$E$50,B141)</f>
        <v>0</v>
      </c>
    </row>
    <row r="142" spans="2:4">
      <c r="B142" s="24" t="str">
        <f>LEFT(Лист1!L142,30)</f>
        <v>PCL 4</v>
      </c>
      <c r="C142" s="46">
        <f>Лист1!K142</f>
        <v>16440000</v>
      </c>
      <c r="D142" s="31">
        <f>COUNTIF(Лист1!$A$3:$A$50,B142)+COUNTIF(Лист1!$E$3:$E$50,B142)</f>
        <v>0</v>
      </c>
    </row>
    <row r="143" spans="2:4">
      <c r="B143" s="24" t="str">
        <f>LEFT(Лист1!L143,30)</f>
        <v>SP 3 Dirt House Set</v>
      </c>
      <c r="C143" s="46">
        <f>Лист1!K143</f>
        <v>16455350</v>
      </c>
      <c r="D143" s="31">
        <f>COUNTIF(Лист1!$A$3:$A$50,B143)+COUNTIF(Лист1!$E$3:$E$50,B143)</f>
        <v>0</v>
      </c>
    </row>
    <row r="144" spans="2:4">
      <c r="B144" s="24" t="str">
        <f>LEFT(Лист1!L144,30)</f>
        <v>K 4 WCM Premium</v>
      </c>
      <c r="C144" s="46">
        <f>Лист1!K144</f>
        <v>13242300</v>
      </c>
      <c r="D144" s="31">
        <f>COUNTIF(Лист1!$A$3:$A$50,B144)+COUNTIF(Лист1!$E$3:$E$50,B144)</f>
        <v>0</v>
      </c>
    </row>
    <row r="145" spans="2:4">
      <c r="B145" s="24" t="str">
        <f>LEFT(Лист1!L145,30)</f>
        <v>K 4 WCM</v>
      </c>
      <c r="C145" s="46">
        <f>Лист1!K145</f>
        <v>13242000</v>
      </c>
      <c r="D145" s="31">
        <f>COUNTIF(Лист1!$A$3:$A$50,B145)+COUNTIF(Лист1!$E$3:$E$50,B145)</f>
        <v>0</v>
      </c>
    </row>
    <row r="146" spans="2:4">
      <c r="B146" s="24" t="str">
        <f>LEFT(Лист1!L146,30)</f>
        <v>BD 50/50 C Classic Bp</v>
      </c>
      <c r="C146" s="46">
        <f>Лист1!K146</f>
        <v>11270090</v>
      </c>
      <c r="D146" s="31">
        <f>COUNTIF(Лист1!$A$3:$A$50,B146)+COUNTIF(Лист1!$E$3:$E$50,B146)</f>
        <v>0</v>
      </c>
    </row>
    <row r="147" spans="2:4">
      <c r="B147" s="24" t="str">
        <f>LEFT(Лист1!L147,30)</f>
        <v>SE4 Plus</v>
      </c>
      <c r="C147" s="46">
        <f>Лист1!K147</f>
        <v>10811700</v>
      </c>
      <c r="D147" s="31">
        <f>COUNTIF(Лист1!$A$3:$A$50,B147)+COUNTIF(Лист1!$E$3:$E$50,B147)</f>
        <v>0</v>
      </c>
    </row>
    <row r="148" spans="2:4">
      <c r="B148" s="24" t="str">
        <f>LEFT(Лист1!L148,30)</f>
        <v>SC 3 EasyFix Plus</v>
      </c>
      <c r="C148" s="46">
        <f>Лист1!K148</f>
        <v>15136610</v>
      </c>
      <c r="D148" s="31">
        <f>COUNTIF(Лист1!$A$3:$A$50,B148)+COUNTIF(Лист1!$E$3:$E$50,B148)</f>
        <v>0</v>
      </c>
    </row>
    <row r="149" spans="2:4">
      <c r="B149" s="24" t="str">
        <f>LEFT(Лист1!L149,30)</f>
        <v>KWD3 S V-15/4/20 L E</v>
      </c>
      <c r="C149" s="46">
        <f>Лист1!K149</f>
        <v>16284460</v>
      </c>
      <c r="D149" s="31">
        <f>COUNTIF(Лист1!$A$3:$A$50,B149)+COUNTIF(Лист1!$E$3:$E$50,B149)</f>
        <v>0</v>
      </c>
    </row>
    <row r="150" spans="2:4">
      <c r="B150" s="24" t="str">
        <f>LEFT(Лист1!L150,30)</f>
        <v>NT 22/1 Ap Te L + мешки</v>
      </c>
      <c r="C150" s="46">
        <f>Лист1!K150</f>
        <v>13789820</v>
      </c>
      <c r="D150" s="31">
        <f>COUNTIF(Лист1!$A$3:$A$50,B150)+COUNTIF(Лист1!$E$3:$E$50,B150)</f>
        <v>0</v>
      </c>
    </row>
    <row r="151" spans="2:4">
      <c r="B151" s="24" t="str">
        <f>LEFT(Лист1!L151,30)</f>
        <v>BLV 36-240 Battery</v>
      </c>
      <c r="C151" s="46">
        <f>Лист1!K151</f>
        <v>14441700</v>
      </c>
      <c r="D151" s="31">
        <f>COUNTIF(Лист1!$A$3:$A$50,B151)+COUNTIF(Лист1!$E$3:$E$50,B151)</f>
        <v>0</v>
      </c>
    </row>
    <row r="152" spans="2:4">
      <c r="B152" s="24" t="str">
        <f>LEFT(Лист1!L152,30)</f>
        <v>К 6 Special</v>
      </c>
      <c r="C152" s="46">
        <f>Лист1!K152</f>
        <v>11685080</v>
      </c>
      <c r="D152" s="31">
        <f>COUNTIF(Лист1!$A$3:$A$50,B152)+COUNTIF(Лист1!$E$3:$E$50,B152)</f>
        <v>0</v>
      </c>
    </row>
    <row r="153" spans="2:4">
      <c r="B153" s="24" t="str">
        <f>LEFT(Лист1!L153,30)</f>
        <v>HGE 18-50 Battery</v>
      </c>
      <c r="C153" s="46">
        <f>Лист1!K153</f>
        <v>14442400</v>
      </c>
      <c r="D153" s="31">
        <f>COUNTIF(Лист1!$A$3:$A$50,B153)+COUNTIF(Лист1!$E$3:$E$50,B153)</f>
        <v>0</v>
      </c>
    </row>
    <row r="154" spans="2:4">
      <c r="B154" s="24" t="str">
        <f>LEFT(Лист1!L154,30)</f>
        <v>VC 6 Cordless ourFamily Extra</v>
      </c>
      <c r="C154" s="46">
        <f>Лист1!K154</f>
        <v>11986740</v>
      </c>
      <c r="D154" s="31">
        <f>COUNTIF(Лист1!$A$3:$A$50,B154)+COUNTIF(Лист1!$E$3:$E$50,B154)</f>
        <v>0</v>
      </c>
    </row>
    <row r="155" spans="2:4">
      <c r="B155" s="24" t="str">
        <f>LEFT(Лист1!L155,30)</f>
        <v>VC 6 Cordless ourFamily Car</v>
      </c>
      <c r="C155" s="46">
        <f>Лист1!K155</f>
        <v>11986720</v>
      </c>
      <c r="D155" s="31">
        <f>COUNTIF(Лист1!$A$3:$A$50,B155)+COUNTIF(Лист1!$E$3:$E$50,B155)</f>
        <v>0</v>
      </c>
    </row>
    <row r="156" spans="2:4">
      <c r="B156" s="24" t="str">
        <f>LEFT(Лист1!L156,30)</f>
        <v xml:space="preserve">FC 4-4 BatterySet </v>
      </c>
      <c r="C156" s="46">
        <f>Лист1!K156</f>
        <v>10564000</v>
      </c>
      <c r="D156" s="31">
        <f>COUNTIF(Лист1!$A$3:$A$50,B156)+COUNTIF(Лист1!$E$3:$E$50,B156)</f>
        <v>0</v>
      </c>
    </row>
    <row r="157" spans="2:4">
      <c r="B157" s="24" t="str">
        <f>LEFT(Лист1!L157,30)</f>
        <v>WD 3 P V-17/4/20 (YYY)</v>
      </c>
      <c r="C157" s="46">
        <f>Лист1!K157</f>
        <v>16281700</v>
      </c>
      <c r="D157" s="31">
        <f>COUNTIF(Лист1!$A$3:$A$50,B157)+COUNTIF(Лист1!$E$3:$E$50,B157)</f>
        <v>0</v>
      </c>
    </row>
    <row r="158" spans="2:4">
      <c r="B158" s="24" t="str">
        <f>LEFT(Лист1!L158,30)</f>
        <v>FC 2-4 BatterySet</v>
      </c>
      <c r="C158" s="46">
        <f>Лист1!K158</f>
        <v>10562000</v>
      </c>
      <c r="D158" s="31">
        <f>COUNTIF(Лист1!$A$3:$A$50,B158)+COUNTIF(Лист1!$E$3:$E$50,B158)</f>
        <v>0</v>
      </c>
    </row>
    <row r="159" spans="2:4">
      <c r="B159" s="24" t="str">
        <f>LEFT(Лист1!L159,30)</f>
        <v>HD 4/10 X Classic</v>
      </c>
      <c r="C159" s="46">
        <f>Лист1!K159</f>
        <v>15209760</v>
      </c>
      <c r="D159" s="31">
        <f>COUNTIF(Лист1!$A$3:$A$50,B159)+COUNTIF(Лист1!$E$3:$E$50,B159)</f>
        <v>0</v>
      </c>
    </row>
    <row r="160" spans="2:4">
      <c r="B160" s="24" t="str">
        <f>LEFT(Лист1!L160,30)</f>
        <v>WV 2 Plus</v>
      </c>
      <c r="C160" s="46">
        <f>Лист1!K160</f>
        <v>16336400</v>
      </c>
      <c r="D160" s="31">
        <f>COUNTIF(Лист1!$A$3:$A$50,B160)+COUNTIF(Лист1!$E$3:$E$50,B160)</f>
        <v>0</v>
      </c>
    </row>
    <row r="161" spans="2:4">
      <c r="B161" s="24" t="str">
        <f>LEFT(Лист1!L161,30)</f>
        <v xml:space="preserve">WD 4 P S V-20/5/22 </v>
      </c>
      <c r="C161" s="46">
        <f>Лист1!K161</f>
        <v>16282900</v>
      </c>
      <c r="D161" s="31">
        <f>COUNTIF(Лист1!$A$3:$A$50,B161)+COUNTIF(Лист1!$E$3:$E$50,B161)</f>
        <v>0</v>
      </c>
    </row>
    <row r="162" spans="2:4">
      <c r="B162" s="24" t="str">
        <f>LEFT(Лист1!L162,30)</f>
        <v>K4 Basic Car</v>
      </c>
      <c r="C162" s="46">
        <f>Лист1!K162</f>
        <v>11800830</v>
      </c>
      <c r="D162" s="31">
        <f>COUNTIF(Лист1!$A$3:$A$50,B162)+COUNTIF(Лист1!$E$3:$E$50,B162)</f>
        <v>0</v>
      </c>
    </row>
    <row r="163" spans="2:4">
      <c r="B163" s="24" t="str">
        <f>LEFT(Лист1!L163,30)</f>
        <v>T 12/1</v>
      </c>
      <c r="C163" s="46">
        <f>Лист1!K163</f>
        <v>13551000</v>
      </c>
      <c r="D163" s="31">
        <f>COUNTIF(Лист1!$A$3:$A$50,B163)+COUNTIF(Лист1!$E$3:$E$50,B163)</f>
        <v>0</v>
      </c>
    </row>
    <row r="164" spans="2:4">
      <c r="B164" s="24" t="str">
        <f>LEFT(Лист1!L164,30)</f>
        <v xml:space="preserve">SP 11.000 Dirt </v>
      </c>
      <c r="C164" s="46">
        <f>Лист1!K164</f>
        <v>16458200</v>
      </c>
      <c r="D164" s="31">
        <f>COUNTIF(Лист1!$A$3:$A$50,B164)+COUNTIF(Лист1!$E$3:$E$50,B164)</f>
        <v>0</v>
      </c>
    </row>
    <row r="165" spans="2:4">
      <c r="B165" s="24" t="str">
        <f>LEFT(Лист1!L165,30)</f>
        <v>SP 9.000</v>
      </c>
      <c r="C165" s="46">
        <f>Лист1!K165</f>
        <v>16458100</v>
      </c>
      <c r="D165" s="31">
        <f>COUNTIF(Лист1!$A$3:$A$50,B165)+COUNTIF(Лист1!$E$3:$E$50,B165)</f>
        <v>0</v>
      </c>
    </row>
    <row r="166" spans="2:4">
      <c r="B166" s="24" t="str">
        <f>LEFT(Лист1!L166,30)</f>
        <v>WV 1</v>
      </c>
      <c r="C166" s="46">
        <f>Лист1!K166</f>
        <v>16336010</v>
      </c>
      <c r="D166" s="31">
        <f>COUNTIF(Лист1!$A$3:$A$50,B166)+COUNTIF(Лист1!$E$3:$E$50,B166)</f>
        <v>0</v>
      </c>
    </row>
    <row r="167" spans="2:4">
      <c r="B167" s="24" t="str">
        <f>LEFT(Лист1!L167,30)</f>
        <v>SC 2 EasyFix Plus</v>
      </c>
      <c r="C167" s="46">
        <f>Лист1!K167</f>
        <v>15126140</v>
      </c>
      <c r="D167" s="31">
        <f>COUNTIF(Лист1!$A$3:$A$50,B167)+COUNTIF(Лист1!$E$3:$E$50,B167)</f>
        <v>0</v>
      </c>
    </row>
    <row r="168" spans="2:4">
      <c r="B168" s="24" t="str">
        <f>LEFT(Лист1!L168,30)</f>
        <v>WD3 V-19/4/20</v>
      </c>
      <c r="C168" s="46">
        <f>Лист1!K168</f>
        <v>16281070</v>
      </c>
      <c r="D168" s="31">
        <f>COUNTIF(Лист1!$A$3:$A$50,B168)+COUNTIF(Лист1!$E$3:$E$50,B168)</f>
        <v>0</v>
      </c>
    </row>
    <row r="169" spans="2:4">
      <c r="B169" s="24" t="str">
        <f>LEFT(Лист1!L169,30)</f>
        <v xml:space="preserve">KHB6 Battery Set </v>
      </c>
      <c r="C169" s="46">
        <f>Лист1!K169</f>
        <v>13281100</v>
      </c>
      <c r="D169" s="31">
        <f>COUNTIF(Лист1!$A$3:$A$50,B169)+COUNTIF(Лист1!$E$3:$E$50,B169)</f>
        <v>0</v>
      </c>
    </row>
    <row r="170" spans="2:4">
      <c r="B170" s="24" t="str">
        <f>LEFT(Лист1!L170,30)</f>
        <v xml:space="preserve">BD 50/50 C Bp Classic </v>
      </c>
      <c r="C170" s="46">
        <f>Лист1!K170</f>
        <v>84404500</v>
      </c>
      <c r="D170" s="31">
        <f>COUNTIF(Лист1!$A$3:$A$50,B170)+COUNTIF(Лист1!$E$3:$E$50,B170)</f>
        <v>0</v>
      </c>
    </row>
    <row r="171" spans="2:4">
      <c r="B171" s="24" t="str">
        <f>LEFT(Лист1!L171,30)</f>
        <v>SP5 Dirt</v>
      </c>
      <c r="C171" s="46">
        <f>Лист1!K171</f>
        <v>16455030</v>
      </c>
      <c r="D171" s="31">
        <f>COUNTIF(Лист1!$A$3:$A$50,B171)+COUNTIF(Лист1!$E$3:$E$50,B171)</f>
        <v>0</v>
      </c>
    </row>
    <row r="172" spans="2:4">
      <c r="B172" s="24" t="str">
        <f>LEFT(Лист1!L172,30)</f>
        <v>CVH 3</v>
      </c>
      <c r="C172" s="46">
        <f>Лист1!K172</f>
        <v>11983530</v>
      </c>
      <c r="D172" s="31">
        <f>COUNTIF(Лист1!$A$3:$A$50,B172)+COUNTIF(Лист1!$E$3:$E$50,B172)</f>
        <v>0</v>
      </c>
    </row>
    <row r="173" spans="2:4">
      <c r="B173" s="24" t="str">
        <f>LEFT(Лист1!L173,30)</f>
        <v>FC 7 Cordless Anniv. Edition</v>
      </c>
      <c r="C173" s="46">
        <f>Лист1!K173</f>
        <v>84414010</v>
      </c>
      <c r="D173" s="31">
        <f>COUNTIF(Лист1!$A$3:$A$50,B173)+COUNTIF(Лист1!$E$3:$E$50,B173)</f>
        <v>0</v>
      </c>
    </row>
    <row r="174" spans="2:4">
      <c r="B174" s="24" t="str">
        <f>LEFT(Лист1!L174,30)</f>
        <v>T 11/1 Classic Re!Plast Anniv.</v>
      </c>
      <c r="C174" s="46">
        <f>Лист1!K174</f>
        <v>15272140</v>
      </c>
      <c r="D174" s="31">
        <f>COUNTIF(Лист1!$A$3:$A$50,B174)+COUNTIF(Лист1!$E$3:$E$50,B174)</f>
        <v>0</v>
      </c>
    </row>
    <row r="175" spans="2:4">
      <c r="B175" s="24" t="str">
        <f>LEFT(Лист1!L175,30)</f>
        <v>FC 7 Cordless Plus</v>
      </c>
      <c r="C175" s="46">
        <f>Лист1!K175</f>
        <v>10557100</v>
      </c>
      <c r="D175" s="31">
        <f>COUNTIF(Лист1!$A$3:$A$50,B175)+COUNTIF(Лист1!$E$3:$E$50,B175)</f>
        <v>0</v>
      </c>
    </row>
    <row r="176" spans="2:4">
      <c r="B176" s="24" t="str">
        <f>LEFT(Лист1!L176,30)</f>
        <v>DS 6 Plus Anniversary Edition</v>
      </c>
      <c r="C176" s="46">
        <f>Лист1!K176</f>
        <v>84414000</v>
      </c>
      <c r="D176" s="31">
        <f>COUNTIF(Лист1!$A$3:$A$50,B176)+COUNTIF(Лист1!$E$3:$E$50,B176)</f>
        <v>0</v>
      </c>
    </row>
    <row r="177" spans="2:4">
      <c r="B177" s="24" t="str">
        <f>LEFT(Лист1!L177,30)</f>
        <v>SE 5 *EU Anniversary Edition</v>
      </c>
      <c r="C177" s="46">
        <f>Лист1!K177</f>
        <v>84414020</v>
      </c>
      <c r="D177" s="31">
        <f>COUNTIF(Лист1!$A$3:$A$50,B177)+COUNTIF(Лист1!$E$3:$E$50,B177)</f>
        <v>0</v>
      </c>
    </row>
    <row r="178" spans="2:4">
      <c r="B178" s="24" t="str">
        <f>LEFT(Лист1!L178,30)</f>
        <v/>
      </c>
      <c r="C178" s="46">
        <f>Лист1!K178</f>
        <v>0</v>
      </c>
      <c r="D178" s="31">
        <f>COUNTIF(Лист1!$A$3:$A$50,B178)+COUNTIF(Лист1!$E$3:$E$50,B178)</f>
        <v>0</v>
      </c>
    </row>
    <row r="179" spans="2:4">
      <c r="B179" s="24" t="str">
        <f>LEFT(Лист1!L179,30)</f>
        <v/>
      </c>
      <c r="C179" s="46">
        <f>Лист1!K179</f>
        <v>0</v>
      </c>
      <c r="D179" s="31">
        <f>COUNTIF(Лист1!$A$3:$A$50,B179)+COUNTIF(Лист1!$E$3:$E$50,B179)</f>
        <v>0</v>
      </c>
    </row>
    <row r="180" spans="2:4">
      <c r="B180" s="24" t="str">
        <f>LEFT(Лист1!L180,30)</f>
        <v/>
      </c>
      <c r="C180" s="46">
        <f>Лист1!K180</f>
        <v>0</v>
      </c>
      <c r="D180" s="31">
        <f>COUNTIF(Лист1!$A$3:$A$50,B180)+COUNTIF(Лист1!$E$3:$E$50,B180)</f>
        <v>0</v>
      </c>
    </row>
    <row r="181" spans="2:4">
      <c r="B181" s="24" t="str">
        <f>LEFT(Лист1!L181,30)</f>
        <v/>
      </c>
      <c r="C181" s="46">
        <f>Лист1!K181</f>
        <v>0</v>
      </c>
      <c r="D181" s="31">
        <f>COUNTIF(Лист1!$A$3:$A$50,B181)+COUNTIF(Лист1!$E$3:$E$50,B181)</f>
        <v>0</v>
      </c>
    </row>
    <row r="182" spans="2:4">
      <c r="B182" s="24" t="str">
        <f>LEFT(Лист1!L182,30)</f>
        <v/>
      </c>
      <c r="C182" s="46">
        <f>Лист1!K182</f>
        <v>0</v>
      </c>
      <c r="D182" s="31">
        <f>COUNTIF(Лист1!$A$3:$A$50,B182)+COUNTIF(Лист1!$E$3:$E$50,B182)</f>
        <v>0</v>
      </c>
    </row>
    <row r="183" spans="2:4">
      <c r="B183" s="24" t="str">
        <f>LEFT(Лист1!L183,30)</f>
        <v/>
      </c>
      <c r="C183" s="46">
        <f>Лист1!K183</f>
        <v>0</v>
      </c>
      <c r="D183" s="31">
        <f>COUNTIF(Лист1!$A$3:$A$50,B183)+COUNTIF(Лист1!$E$3:$E$50,B183)</f>
        <v>0</v>
      </c>
    </row>
    <row r="184" spans="2:4">
      <c r="B184" s="24" t="str">
        <f>LEFT(Лист1!L184,30)</f>
        <v/>
      </c>
      <c r="C184" s="46">
        <f>Лист1!K184</f>
        <v>0</v>
      </c>
      <c r="D184" s="31">
        <f>COUNTIF(Лист1!$A$3:$A$50,B184)+COUNTIF(Лист1!$E$3:$E$50,B184)</f>
        <v>0</v>
      </c>
    </row>
    <row r="185" spans="2:4">
      <c r="B185" s="24" t="str">
        <f>LEFT(Лист1!L185,30)</f>
        <v/>
      </c>
      <c r="C185" s="46">
        <f>Лист1!K185</f>
        <v>0</v>
      </c>
      <c r="D185" s="31">
        <f>COUNTIF(Лист1!$A$3:$A$50,B185)+COUNTIF(Лист1!$E$3:$E$50,B185)</f>
        <v>0</v>
      </c>
    </row>
    <row r="186" spans="2:4">
      <c r="B186" s="24" t="str">
        <f>LEFT(Лист1!L186,30)</f>
        <v/>
      </c>
      <c r="C186" s="46">
        <f>Лист1!K186</f>
        <v>0</v>
      </c>
      <c r="D186" s="31">
        <f>COUNTIF(Лист1!$A$3:$A$50,B186)+COUNTIF(Лист1!$E$3:$E$50,B186)</f>
        <v>0</v>
      </c>
    </row>
    <row r="187" spans="2:4">
      <c r="B187" s="24" t="str">
        <f>LEFT(Лист1!L187,30)</f>
        <v/>
      </c>
      <c r="C187" s="46">
        <f>Лист1!K187</f>
        <v>0</v>
      </c>
      <c r="D187" s="31">
        <f>COUNTIF(Лист1!$A$3:$A$50,B187)+COUNTIF(Лист1!$E$3:$E$50,B187)</f>
        <v>0</v>
      </c>
    </row>
    <row r="188" spans="2:4">
      <c r="B188" s="24" t="str">
        <f>LEFT(Лист1!L188,30)</f>
        <v/>
      </c>
      <c r="C188" s="46">
        <f>Лист1!K188</f>
        <v>0</v>
      </c>
      <c r="D188" s="31">
        <f>COUNTIF(Лист1!$A$3:$A$50,B188)+COUNTIF(Лист1!$E$3:$E$50,B188)</f>
        <v>0</v>
      </c>
    </row>
    <row r="189" spans="2:4">
      <c r="B189" s="24" t="str">
        <f>LEFT(Лист1!L189,30)</f>
        <v/>
      </c>
      <c r="C189" s="46">
        <f>Лист1!K189</f>
        <v>0</v>
      </c>
      <c r="D189" s="31">
        <f>COUNTIF(Лист1!$A$3:$A$50,B189)+COUNTIF(Лист1!$E$3:$E$50,B189)</f>
        <v>0</v>
      </c>
    </row>
    <row r="190" spans="2:4">
      <c r="B190" s="24" t="str">
        <f>LEFT(Лист1!L190,30)</f>
        <v/>
      </c>
      <c r="C190" s="46">
        <f>Лист1!K190</f>
        <v>0</v>
      </c>
      <c r="D190" s="31">
        <f>COUNTIF(Лист1!$A$3:$A$50,B190)+COUNTIF(Лист1!$E$3:$E$50,B190)</f>
        <v>0</v>
      </c>
    </row>
    <row r="191" spans="2:4">
      <c r="B191" s="24" t="str">
        <f>LEFT(Лист1!L191,30)</f>
        <v/>
      </c>
      <c r="C191" s="46">
        <f>Лист1!K191</f>
        <v>0</v>
      </c>
      <c r="D191" s="31">
        <f>COUNTIF(Лист1!$A$3:$A$50,B191)+COUNTIF(Лист1!$E$3:$E$50,B191)</f>
        <v>0</v>
      </c>
    </row>
    <row r="192" spans="2:4">
      <c r="B192" s="24" t="str">
        <f>LEFT(Лист1!L192,30)</f>
        <v/>
      </c>
      <c r="C192" s="46">
        <f>Лист1!K192</f>
        <v>0</v>
      </c>
      <c r="D192" s="31">
        <f>COUNTIF(Лист1!$A$3:$A$50,B192)+COUNTIF(Лист1!$E$3:$E$50,B192)</f>
        <v>0</v>
      </c>
    </row>
    <row r="193" spans="2:4">
      <c r="B193" s="24" t="str">
        <f>LEFT(Лист1!L193,30)</f>
        <v/>
      </c>
      <c r="C193" s="46">
        <f>Лист1!K193</f>
        <v>0</v>
      </c>
      <c r="D193" s="31">
        <f>COUNTIF(Лист1!$A$3:$A$50,B193)+COUNTIF(Лист1!$E$3:$E$50,B193)</f>
        <v>0</v>
      </c>
    </row>
    <row r="194" spans="2:4">
      <c r="B194" s="24" t="str">
        <f>LEFT(Лист1!L194,30)</f>
        <v/>
      </c>
      <c r="C194" s="46">
        <f>Лист1!K194</f>
        <v>0</v>
      </c>
      <c r="D194" s="31">
        <f>COUNTIF(Лист1!$A$3:$A$50,B194)+COUNTIF(Лист1!$E$3:$E$50,B194)</f>
        <v>0</v>
      </c>
    </row>
    <row r="195" spans="2:4">
      <c r="B195" s="24" t="str">
        <f>LEFT(Лист1!L195,30)</f>
        <v/>
      </c>
      <c r="C195" s="46">
        <f>Лист1!K195</f>
        <v>0</v>
      </c>
      <c r="D195" s="31">
        <f>COUNTIF(Лист1!$A$3:$A$50,B195)+COUNTIF(Лист1!$E$3:$E$50,B195)</f>
        <v>0</v>
      </c>
    </row>
    <row r="196" spans="2:4">
      <c r="B196" s="24" t="str">
        <f>LEFT(Лист1!L196,30)</f>
        <v/>
      </c>
      <c r="C196" s="46">
        <f>Лист1!K196</f>
        <v>0</v>
      </c>
      <c r="D196" s="31">
        <f>COUNTIF(Лист1!$A$3:$A$50,B196)+COUNTIF(Лист1!$E$3:$E$50,B196)</f>
        <v>0</v>
      </c>
    </row>
    <row r="197" spans="2:4">
      <c r="B197" s="24" t="str">
        <f>LEFT(Лист1!L197,30)</f>
        <v/>
      </c>
      <c r="C197" s="46">
        <f>Лист1!K197</f>
        <v>0</v>
      </c>
      <c r="D197" s="31">
        <f>COUNTIF(Лист1!$A$3:$A$50,B197)+COUNTIF(Лист1!$E$3:$E$50,B197)</f>
        <v>0</v>
      </c>
    </row>
    <row r="198" spans="2:4">
      <c r="B198" s="24" t="str">
        <f>LEFT(Лист1!L198,30)</f>
        <v/>
      </c>
      <c r="C198" s="46">
        <f>Лист1!K198</f>
        <v>0</v>
      </c>
      <c r="D198" s="31">
        <f>COUNTIF(Лист1!$A$3:$A$50,B198)+COUNTIF(Лист1!$E$3:$E$50,B198)</f>
        <v>0</v>
      </c>
    </row>
    <row r="199" spans="2:4">
      <c r="B199" s="24" t="str">
        <f>LEFT(Лист1!L199,30)</f>
        <v/>
      </c>
      <c r="C199" s="46">
        <f>Лист1!K199</f>
        <v>0</v>
      </c>
      <c r="D199" s="31">
        <f>COUNTIF(Лист1!$A$3:$A$50,B199)+COUNTIF(Лист1!$E$3:$E$50,B199)</f>
        <v>0</v>
      </c>
    </row>
    <row r="200" spans="2:4">
      <c r="B200" s="24" t="str">
        <f>LEFT(Лист1!L200,30)</f>
        <v/>
      </c>
      <c r="C200" s="46">
        <f>Лист1!K200</f>
        <v>0</v>
      </c>
      <c r="D200" s="31">
        <f>COUNTIF(Лист1!$A$3:$A$50,B200)+COUNTIF(Лист1!$E$3:$E$50,B200)</f>
        <v>0</v>
      </c>
    </row>
    <row r="201" spans="2:4">
      <c r="B201" s="24" t="str">
        <f>LEFT(Лист1!L201,30)</f>
        <v/>
      </c>
      <c r="C201" s="46">
        <f>Лист1!K201</f>
        <v>0</v>
      </c>
      <c r="D201" s="31">
        <f>COUNTIF(Лист1!$A$3:$A$50,B201)+COUNTIF(Лист1!$E$3:$E$50,B201)</f>
        <v>0</v>
      </c>
    </row>
    <row r="202" spans="2:4">
      <c r="B202" s="24" t="str">
        <f>LEFT(Лист1!L202,30)</f>
        <v/>
      </c>
      <c r="C202" s="46">
        <f>Лист1!K202</f>
        <v>0</v>
      </c>
      <c r="D202" s="31">
        <f>COUNTIF(Лист1!$A$3:$A$50,B202)+COUNTIF(Лист1!$E$3:$E$50,B202)</f>
        <v>0</v>
      </c>
    </row>
    <row r="203" spans="2:4">
      <c r="B203" s="24" t="str">
        <f>LEFT(Лист1!L203,30)</f>
        <v/>
      </c>
      <c r="C203" s="46">
        <f>Лист1!K203</f>
        <v>0</v>
      </c>
      <c r="D203" s="31">
        <f>COUNTIF(Лист1!$A$3:$A$50,B203)+COUNTIF(Лист1!$E$3:$E$50,B203)</f>
        <v>0</v>
      </c>
    </row>
    <row r="204" spans="2:4">
      <c r="B204" s="24" t="str">
        <f>LEFT(Лист1!L204,30)</f>
        <v/>
      </c>
      <c r="C204" s="46">
        <f>Лист1!K204</f>
        <v>0</v>
      </c>
      <c r="D204" s="31">
        <f>COUNTIF(Лист1!$A$3:$A$50,B204)+COUNTIF(Лист1!$E$3:$E$50,B204)</f>
        <v>0</v>
      </c>
    </row>
    <row r="205" spans="2:4">
      <c r="B205" s="24" t="str">
        <f>LEFT(Лист1!L205,30)</f>
        <v/>
      </c>
      <c r="C205" s="46">
        <f>Лист1!K205</f>
        <v>0</v>
      </c>
      <c r="D205" s="31">
        <f>COUNTIF(Лист1!$A$3:$A$50,B205)+COUNTIF(Лист1!$E$3:$E$50,B205)</f>
        <v>0</v>
      </c>
    </row>
    <row r="206" spans="2:4">
      <c r="B206" s="24" t="str">
        <f>LEFT(Лист1!L206,30)</f>
        <v/>
      </c>
      <c r="C206" s="46">
        <f>Лист1!K206</f>
        <v>0</v>
      </c>
      <c r="D206" s="31">
        <f>COUNTIF(Лист1!$A$3:$A$50,B206)+COUNTIF(Лист1!$E$3:$E$50,B206)</f>
        <v>0</v>
      </c>
    </row>
    <row r="207" spans="2:4">
      <c r="B207" s="24" t="str">
        <f>LEFT(Лист1!L207,30)</f>
        <v/>
      </c>
      <c r="C207" s="46">
        <f>Лист1!K207</f>
        <v>0</v>
      </c>
      <c r="D207" s="31">
        <f>COUNTIF(Лист1!$A$3:$A$50,B207)+COUNTIF(Лист1!$E$3:$E$50,B207)</f>
        <v>0</v>
      </c>
    </row>
    <row r="208" spans="2:4">
      <c r="B208" s="24" t="str">
        <f>LEFT(Лист1!L208,30)</f>
        <v/>
      </c>
      <c r="C208" s="46">
        <f>Лист1!K208</f>
        <v>0</v>
      </c>
      <c r="D208" s="31">
        <f>COUNTIF(Лист1!$A$3:$A$50,B208)+COUNTIF(Лист1!$E$3:$E$50,B208)</f>
        <v>0</v>
      </c>
    </row>
    <row r="209" spans="2:4">
      <c r="B209" s="24" t="str">
        <f>LEFT(Лист1!L209,30)</f>
        <v/>
      </c>
      <c r="C209" s="46">
        <f>Лист1!K209</f>
        <v>0</v>
      </c>
      <c r="D209" s="31">
        <f>COUNTIF(Лист1!$A$3:$A$50,B209)+COUNTIF(Лист1!$E$3:$E$50,B209)</f>
        <v>0</v>
      </c>
    </row>
    <row r="210" spans="2:4">
      <c r="B210" s="24" t="str">
        <f>LEFT(Лист1!L210,30)</f>
        <v/>
      </c>
      <c r="C210" s="46">
        <f>Лист1!K210</f>
        <v>0</v>
      </c>
      <c r="D210" s="31">
        <f>COUNTIF(Лист1!$A$3:$A$50,B210)+COUNTIF(Лист1!$E$3:$E$50,B210)</f>
        <v>0</v>
      </c>
    </row>
    <row r="211" spans="2:4">
      <c r="B211" s="24" t="str">
        <f>LEFT(Лист1!L211,30)</f>
        <v/>
      </c>
      <c r="C211" s="46">
        <f>Лист1!K211</f>
        <v>0</v>
      </c>
      <c r="D211" s="31">
        <f>COUNTIF(Лист1!$A$3:$A$50,B211)+COUNTIF(Лист1!$E$3:$E$50,B211)</f>
        <v>0</v>
      </c>
    </row>
    <row r="212" spans="2:4">
      <c r="B212" s="24" t="str">
        <f>LEFT(Лист1!L212,30)</f>
        <v/>
      </c>
      <c r="C212" s="46">
        <f>Лист1!K212</f>
        <v>0</v>
      </c>
      <c r="D212" s="31">
        <f>COUNTIF(Лист1!$A$3:$A$50,B212)+COUNTIF(Лист1!$E$3:$E$50,B212)</f>
        <v>0</v>
      </c>
    </row>
    <row r="213" spans="2:4">
      <c r="B213" s="24" t="str">
        <f>LEFT(Лист1!L213,30)</f>
        <v/>
      </c>
      <c r="C213" s="46">
        <f>Лист1!K213</f>
        <v>0</v>
      </c>
      <c r="D213" s="31">
        <f>COUNTIF(Лист1!$A$3:$A$50,B213)+COUNTIF(Лист1!$E$3:$E$50,B213)</f>
        <v>0</v>
      </c>
    </row>
    <row r="214" spans="2:4">
      <c r="B214" s="24" t="str">
        <f>LEFT(Лист1!L214,30)</f>
        <v/>
      </c>
      <c r="C214" s="46">
        <f>Лист1!K214</f>
        <v>0</v>
      </c>
      <c r="D214" s="31">
        <f>COUNTIF(Лист1!$A$3:$A$50,B214)+COUNTIF(Лист1!$E$3:$E$50,B214)</f>
        <v>0</v>
      </c>
    </row>
    <row r="215" spans="2:4">
      <c r="B215" s="24" t="str">
        <f>LEFT(Лист1!L215,30)</f>
        <v/>
      </c>
      <c r="C215" s="46">
        <f>Лист1!K215</f>
        <v>0</v>
      </c>
      <c r="D215" s="31">
        <f>COUNTIF(Лист1!$A$3:$A$50,B215)+COUNTIF(Лист1!$E$3:$E$50,B215)</f>
        <v>0</v>
      </c>
    </row>
    <row r="216" spans="2:4">
      <c r="B216" s="24" t="str">
        <f>LEFT(Лист1!L216,30)</f>
        <v/>
      </c>
      <c r="C216" s="46">
        <f>Лист1!K216</f>
        <v>0</v>
      </c>
      <c r="D216" s="31">
        <f>COUNTIF(Лист1!$A$3:$A$50,B216)+COUNTIF(Лист1!$E$3:$E$50,B216)</f>
        <v>0</v>
      </c>
    </row>
    <row r="217" spans="2:4">
      <c r="B217" s="24" t="str">
        <f>LEFT(Лист1!L217,30)</f>
        <v/>
      </c>
      <c r="C217" s="46">
        <f>Лист1!K217</f>
        <v>0</v>
      </c>
      <c r="D217" s="31">
        <f>COUNTIF(Лист1!$A$3:$A$50,B217)+COUNTIF(Лист1!$E$3:$E$50,B217)</f>
        <v>0</v>
      </c>
    </row>
    <row r="218" spans="2:4">
      <c r="B218" s="24" t="str">
        <f>LEFT(Лист1!L218,30)</f>
        <v/>
      </c>
      <c r="C218" s="46">
        <f>Лист1!K218</f>
        <v>0</v>
      </c>
      <c r="D218" s="31">
        <f>COUNTIF(Лист1!$A$3:$A$50,B218)+COUNTIF(Лист1!$E$3:$E$50,B218)</f>
        <v>0</v>
      </c>
    </row>
    <row r="219" spans="2:4">
      <c r="B219" s="24" t="str">
        <f>LEFT(Лист1!L219,30)</f>
        <v/>
      </c>
      <c r="C219" s="46">
        <f>Лист1!K219</f>
        <v>0</v>
      </c>
      <c r="D219" s="31">
        <f>COUNTIF(Лист1!$A$3:$A$50,B219)+COUNTIF(Лист1!$E$3:$E$50,B219)</f>
        <v>0</v>
      </c>
    </row>
    <row r="220" spans="2:4">
      <c r="B220" s="24" t="str">
        <f>LEFT(Лист1!L220,30)</f>
        <v/>
      </c>
      <c r="C220" s="46">
        <f>Лист1!K220</f>
        <v>0</v>
      </c>
      <c r="D220" s="31">
        <f>COUNTIF(Лист1!$A$3:$A$50,B220)+COUNTIF(Лист1!$E$3:$E$50,B220)</f>
        <v>0</v>
      </c>
    </row>
    <row r="221" spans="2:4">
      <c r="B221" s="24" t="str">
        <f>LEFT(Лист1!L221,30)</f>
        <v/>
      </c>
      <c r="C221" s="46">
        <f>Лист1!K221</f>
        <v>0</v>
      </c>
      <c r="D221" s="31">
        <f>COUNTIF(Лист1!$A$3:$A$50,B221)+COUNTIF(Лист1!$E$3:$E$50,B221)</f>
        <v>0</v>
      </c>
    </row>
    <row r="222" spans="2:4">
      <c r="B222" s="24" t="str">
        <f>LEFT(Лист1!L222,30)</f>
        <v/>
      </c>
      <c r="C222" s="46">
        <f>Лист1!K222</f>
        <v>0</v>
      </c>
      <c r="D222" s="31">
        <f>COUNTIF(Лист1!$A$3:$A$50,B222)+COUNTIF(Лист1!$E$3:$E$50,B222)</f>
        <v>0</v>
      </c>
    </row>
    <row r="223" spans="2:4">
      <c r="B223" s="24" t="str">
        <f>LEFT(Лист1!L223,30)</f>
        <v/>
      </c>
      <c r="C223" s="46">
        <f>Лист1!K223</f>
        <v>0</v>
      </c>
      <c r="D223" s="31">
        <f>COUNTIF(Лист1!$A$3:$A$50,B223)+COUNTIF(Лист1!$E$3:$E$50,B223)</f>
        <v>0</v>
      </c>
    </row>
    <row r="224" spans="2:4">
      <c r="B224" s="24" t="str">
        <f>LEFT(Лист1!L224,30)</f>
        <v/>
      </c>
      <c r="C224" s="46">
        <f>Лист1!K224</f>
        <v>0</v>
      </c>
      <c r="D224" s="31">
        <f>COUNTIF(Лист1!$A$3:$A$50,B224)+COUNTIF(Лист1!$E$3:$E$50,B224)</f>
        <v>0</v>
      </c>
    </row>
    <row r="225" spans="2:4">
      <c r="B225" s="24" t="str">
        <f>LEFT(Лист1!L225,30)</f>
        <v/>
      </c>
      <c r="C225" s="46">
        <f>Лист1!K225</f>
        <v>0</v>
      </c>
      <c r="D225" s="31">
        <f>COUNTIF(Лист1!$A$3:$A$50,B225)+COUNTIF(Лист1!$E$3:$E$50,B225)</f>
        <v>0</v>
      </c>
    </row>
    <row r="226" spans="2:4">
      <c r="B226" s="24" t="str">
        <f>LEFT(Лист1!L226,30)</f>
        <v/>
      </c>
      <c r="C226" s="46">
        <f>Лист1!K226</f>
        <v>0</v>
      </c>
      <c r="D226" s="31">
        <f>COUNTIF(Лист1!$A$3:$A$50,B226)+COUNTIF(Лист1!$E$3:$E$50,B226)</f>
        <v>0</v>
      </c>
    </row>
    <row r="227" spans="2:4">
      <c r="B227" s="24" t="str">
        <f>LEFT(Лист1!L227,30)</f>
        <v/>
      </c>
      <c r="C227" s="46">
        <f>Лист1!K227</f>
        <v>0</v>
      </c>
      <c r="D227" s="31">
        <f>COUNTIF(Лист1!$A$3:$A$50,B227)+COUNTIF(Лист1!$E$3:$E$50,B227)</f>
        <v>0</v>
      </c>
    </row>
    <row r="228" spans="2:4">
      <c r="B228" s="24" t="str">
        <f>LEFT(Лист1!L228,30)</f>
        <v/>
      </c>
      <c r="C228" s="46">
        <f>Лист1!K228</f>
        <v>0</v>
      </c>
      <c r="D228" s="31">
        <f>COUNTIF(Лист1!$A$3:$A$50,B228)+COUNTIF(Лист1!$E$3:$E$50,B228)</f>
        <v>0</v>
      </c>
    </row>
    <row r="229" spans="2:4">
      <c r="B229" s="24" t="str">
        <f>LEFT(Лист1!L229,30)</f>
        <v/>
      </c>
      <c r="C229" s="46">
        <f>Лист1!K229</f>
        <v>0</v>
      </c>
      <c r="D229" s="31">
        <f>COUNTIF(Лист1!$A$3:$A$50,B229)+COUNTIF(Лист1!$E$3:$E$50,B229)</f>
        <v>0</v>
      </c>
    </row>
    <row r="230" spans="2:4">
      <c r="B230" s="24" t="str">
        <f>LEFT(Лист1!L230,30)</f>
        <v/>
      </c>
      <c r="C230" s="46">
        <f>Лист1!K230</f>
        <v>0</v>
      </c>
      <c r="D230" s="31">
        <f>COUNTIF(Лист1!$A$3:$A$50,B230)+COUNTIF(Лист1!$E$3:$E$50,B230)</f>
        <v>0</v>
      </c>
    </row>
    <row r="231" spans="2:4">
      <c r="B231" s="24" t="str">
        <f>LEFT(Лист1!L231,30)</f>
        <v/>
      </c>
      <c r="C231" s="46">
        <f>Лист1!K231</f>
        <v>0</v>
      </c>
      <c r="D231" s="31">
        <f>COUNTIF(Лист1!$A$3:$A$50,B231)+COUNTIF(Лист1!$E$3:$E$50,B231)</f>
        <v>0</v>
      </c>
    </row>
    <row r="232" spans="2:4">
      <c r="B232" s="24" t="str">
        <f>LEFT(Лист1!L232,30)</f>
        <v/>
      </c>
      <c r="C232" s="46">
        <f>Лист1!K232</f>
        <v>0</v>
      </c>
      <c r="D232" s="31">
        <f>COUNTIF(Лист1!$A$3:$A$50,B232)+COUNTIF(Лист1!$E$3:$E$50,B232)</f>
        <v>0</v>
      </c>
    </row>
    <row r="233" spans="2:4">
      <c r="B233" s="24" t="str">
        <f>LEFT(Лист1!L233,30)</f>
        <v/>
      </c>
      <c r="C233" s="46">
        <f>Лист1!K233</f>
        <v>0</v>
      </c>
      <c r="D233" s="31">
        <f>COUNTIF(Лист1!$A$3:$A$50,B233)+COUNTIF(Лист1!$E$3:$E$50,B233)</f>
        <v>0</v>
      </c>
    </row>
    <row r="234" spans="2:4">
      <c r="B234" s="24" t="str">
        <f>LEFT(Лист1!L234,30)</f>
        <v/>
      </c>
      <c r="C234" s="46">
        <f>Лист1!K234</f>
        <v>0</v>
      </c>
      <c r="D234" s="31">
        <f>COUNTIF(Лист1!$A$3:$A$50,B234)+COUNTIF(Лист1!$E$3:$E$50,B234)</f>
        <v>0</v>
      </c>
    </row>
    <row r="235" spans="2:4">
      <c r="B235" s="24" t="str">
        <f>LEFT(Лист1!L235,30)</f>
        <v/>
      </c>
      <c r="C235" s="46">
        <f>Лист1!K235</f>
        <v>0</v>
      </c>
      <c r="D235" s="31">
        <f>COUNTIF(Лист1!$A$3:$A$50,B235)+COUNTIF(Лист1!$E$3:$E$50,B235)</f>
        <v>0</v>
      </c>
    </row>
    <row r="236" spans="2:4">
      <c r="B236" s="24" t="str">
        <f>LEFT(Лист1!L236,30)</f>
        <v/>
      </c>
      <c r="C236" s="46">
        <f>Лист1!K236</f>
        <v>0</v>
      </c>
      <c r="D236" s="31">
        <f>COUNTIF(Лист1!$A$3:$A$50,B236)+COUNTIF(Лист1!$E$3:$E$50,B236)</f>
        <v>0</v>
      </c>
    </row>
    <row r="237" spans="2:4">
      <c r="B237" s="24" t="str">
        <f>LEFT(Лист1!L237,30)</f>
        <v/>
      </c>
      <c r="C237" s="46">
        <f>Лист1!K237</f>
        <v>0</v>
      </c>
      <c r="D237" s="31">
        <f>COUNTIF(Лист1!$A$3:$A$50,B237)+COUNTIF(Лист1!$E$3:$E$50,B237)</f>
        <v>0</v>
      </c>
    </row>
    <row r="238" spans="2:4">
      <c r="B238" s="24" t="str">
        <f>LEFT(Лист1!L238,30)</f>
        <v/>
      </c>
      <c r="C238" s="46">
        <f>Лист1!K238</f>
        <v>0</v>
      </c>
      <c r="D238" s="31">
        <f>COUNTIF(Лист1!$A$3:$A$50,B238)+COUNTIF(Лист1!$E$3:$E$50,B238)</f>
        <v>0</v>
      </c>
    </row>
    <row r="239" spans="2:4">
      <c r="B239" s="24" t="str">
        <f>LEFT(Лист1!L239,30)</f>
        <v/>
      </c>
      <c r="C239" s="46">
        <f>Лист1!K239</f>
        <v>0</v>
      </c>
      <c r="D239" s="31">
        <f>COUNTIF(Лист1!$A$3:$A$50,B239)+COUNTIF(Лист1!$E$3:$E$50,B239)</f>
        <v>0</v>
      </c>
    </row>
    <row r="240" spans="2:4">
      <c r="B240" s="24" t="str">
        <f>LEFT(Лист1!L240,30)</f>
        <v/>
      </c>
      <c r="C240" s="46">
        <f>Лист1!K240</f>
        <v>0</v>
      </c>
      <c r="D240" s="31">
        <f>COUNTIF(Лист1!$A$3:$A$50,B240)+COUNTIF(Лист1!$E$3:$E$50,B240)</f>
        <v>0</v>
      </c>
    </row>
    <row r="241" spans="2:4">
      <c r="B241" s="24" t="str">
        <f>LEFT(Лист1!L241,30)</f>
        <v/>
      </c>
      <c r="C241" s="46">
        <f>Лист1!K241</f>
        <v>0</v>
      </c>
      <c r="D241" s="31">
        <f>COUNTIF(Лист1!$A$3:$A$50,B241)+COUNTIF(Лист1!$E$3:$E$50,B241)</f>
        <v>0</v>
      </c>
    </row>
    <row r="242" spans="2:4">
      <c r="B242" s="24" t="str">
        <f>LEFT(Лист1!L242,30)</f>
        <v/>
      </c>
      <c r="C242" s="46">
        <f>Лист1!K242</f>
        <v>0</v>
      </c>
      <c r="D242" s="31">
        <f>COUNTIF(Лист1!$A$3:$A$50,B242)+COUNTIF(Лист1!$E$3:$E$50,B242)</f>
        <v>0</v>
      </c>
    </row>
    <row r="243" spans="2:4">
      <c r="B243" s="24" t="str">
        <f>LEFT(Лист1!L243,30)</f>
        <v/>
      </c>
      <c r="C243" s="46">
        <f>Лист1!K243</f>
        <v>0</v>
      </c>
      <c r="D243" s="31">
        <f>COUNTIF(Лист1!$A$3:$A$50,B243)+COUNTIF(Лист1!$E$3:$E$50,B243)</f>
        <v>0</v>
      </c>
    </row>
    <row r="244" spans="2:4">
      <c r="B244" s="24" t="str">
        <f>LEFT(Лист1!L244,30)</f>
        <v/>
      </c>
      <c r="C244" s="46">
        <f>Лист1!K244</f>
        <v>0</v>
      </c>
      <c r="D244" s="31">
        <f>COUNTIF(Лист1!$A$3:$A$50,B244)+COUNTIF(Лист1!$E$3:$E$50,B244)</f>
        <v>0</v>
      </c>
    </row>
    <row r="245" spans="2:4">
      <c r="B245" s="24" t="str">
        <f>LEFT(Лист1!L245,30)</f>
        <v/>
      </c>
      <c r="C245" s="46">
        <f>Лист1!K245</f>
        <v>0</v>
      </c>
      <c r="D245" s="31">
        <f>COUNTIF(Лист1!$A$3:$A$50,B245)+COUNTIF(Лист1!$E$3:$E$50,B245)</f>
        <v>0</v>
      </c>
    </row>
    <row r="246" spans="2:4">
      <c r="B246" s="24" t="str">
        <f>LEFT(Лист1!L246,30)</f>
        <v/>
      </c>
      <c r="C246" s="46">
        <f>Лист1!K246</f>
        <v>0</v>
      </c>
      <c r="D246" s="31">
        <f>COUNTIF(Лист1!$A$3:$A$50,B246)+COUNTIF(Лист1!$E$3:$E$50,B246)</f>
        <v>0</v>
      </c>
    </row>
    <row r="247" spans="2:4">
      <c r="B247" s="24" t="str">
        <f>LEFT(Лист1!L247,30)</f>
        <v/>
      </c>
      <c r="C247" s="46">
        <f>Лист1!K247</f>
        <v>0</v>
      </c>
      <c r="D247" s="31">
        <f>COUNTIF(Лист1!$A$3:$A$50,B247)+COUNTIF(Лист1!$E$3:$E$50,B247)</f>
        <v>0</v>
      </c>
    </row>
    <row r="248" spans="2:4">
      <c r="B248" s="24" t="str">
        <f>LEFT(Лист1!L248,30)</f>
        <v/>
      </c>
      <c r="C248" s="46">
        <f>Лист1!K248</f>
        <v>0</v>
      </c>
      <c r="D248" s="31">
        <f>COUNTIF(Лист1!$A$3:$A$50,B248)+COUNTIF(Лист1!$E$3:$E$50,B248)</f>
        <v>0</v>
      </c>
    </row>
    <row r="249" spans="2:4">
      <c r="B249" s="24" t="str">
        <f>LEFT(Лист1!L249,30)</f>
        <v/>
      </c>
      <c r="C249" s="46">
        <f>Лист1!K249</f>
        <v>0</v>
      </c>
      <c r="D249" s="31">
        <f>COUNTIF(Лист1!$A$3:$A$50,B249)+COUNTIF(Лист1!$E$3:$E$50,B249)</f>
        <v>0</v>
      </c>
    </row>
    <row r="250" spans="2:4">
      <c r="B250" s="24" t="str">
        <f>LEFT(Лист1!L250,30)</f>
        <v/>
      </c>
      <c r="C250" s="46">
        <f>Лист1!K250</f>
        <v>0</v>
      </c>
      <c r="D250" s="31">
        <f>COUNTIF(Лист1!$A$3:$A$50,B250)+COUNTIF(Лист1!$E$3:$E$50,B250)</f>
        <v>0</v>
      </c>
    </row>
    <row r="251" spans="2:4">
      <c r="B251" s="24" t="str">
        <f>LEFT(Лист1!L251,30)</f>
        <v/>
      </c>
      <c r="C251" s="46">
        <f>Лист1!K251</f>
        <v>0</v>
      </c>
      <c r="D251" s="31">
        <f>COUNTIF(Лист1!$A$3:$A$50,B251)+COUNTIF(Лист1!$E$3:$E$50,B251)</f>
        <v>0</v>
      </c>
    </row>
    <row r="252" spans="2:4">
      <c r="B252" s="24" t="str">
        <f>LEFT(Лист1!L252,30)</f>
        <v/>
      </c>
      <c r="C252" s="46">
        <f>Лист1!K252</f>
        <v>0</v>
      </c>
      <c r="D252" s="31">
        <f>COUNTIF(Лист1!$A$3:$A$50,B252)+COUNTIF(Лист1!$E$3:$E$50,B252)</f>
        <v>0</v>
      </c>
    </row>
    <row r="253" spans="2:4">
      <c r="B253" s="24" t="str">
        <f>LEFT(Лист1!L253,30)</f>
        <v/>
      </c>
      <c r="C253" s="46">
        <f>Лист1!K253</f>
        <v>0</v>
      </c>
      <c r="D253" s="31">
        <f>COUNTIF(Лист1!$A$3:$A$50,B253)+COUNTIF(Лист1!$E$3:$E$50,B253)</f>
        <v>0</v>
      </c>
    </row>
    <row r="254" spans="2:4">
      <c r="B254" s="24" t="str">
        <f>LEFT(Лист1!L254,30)</f>
        <v/>
      </c>
      <c r="C254" s="46">
        <f>Лист1!K254</f>
        <v>0</v>
      </c>
      <c r="D254" s="31">
        <f>COUNTIF(Лист1!$A$3:$A$50,B254)+COUNTIF(Лист1!$E$3:$E$50,B254)</f>
        <v>0</v>
      </c>
    </row>
    <row r="255" spans="2:4">
      <c r="B255" s="24" t="str">
        <f>LEFT(Лист1!L255,30)</f>
        <v/>
      </c>
      <c r="C255" s="46">
        <f>Лист1!K255</f>
        <v>0</v>
      </c>
      <c r="D255" s="31">
        <f>COUNTIF(Лист1!$A$3:$A$50,B255)+COUNTIF(Лист1!$E$3:$E$50,B255)</f>
        <v>0</v>
      </c>
    </row>
    <row r="256" spans="2:4">
      <c r="B256" s="24" t="str">
        <f>LEFT(Лист1!L256,30)</f>
        <v/>
      </c>
      <c r="C256" s="46">
        <f>Лист1!K256</f>
        <v>0</v>
      </c>
      <c r="D256" s="31">
        <f>COUNTIF(Лист1!$A$3:$A$50,B256)+COUNTIF(Лист1!$E$3:$E$50,B256)</f>
        <v>0</v>
      </c>
    </row>
    <row r="257" spans="2:4">
      <c r="B257" s="24" t="str">
        <f>LEFT(Лист1!L257,30)</f>
        <v/>
      </c>
      <c r="C257" s="46">
        <f>Лист1!K257</f>
        <v>0</v>
      </c>
      <c r="D257" s="31">
        <f>COUNTIF(Лист1!$A$3:$A$50,B257)+COUNTIF(Лист1!$E$3:$E$50,B257)</f>
        <v>0</v>
      </c>
    </row>
    <row r="258" spans="2:4">
      <c r="B258" s="24" t="str">
        <f>LEFT(Лист1!L258,30)</f>
        <v/>
      </c>
      <c r="C258" s="46">
        <f>Лист1!K258</f>
        <v>0</v>
      </c>
      <c r="D258" s="31">
        <f>COUNTIF(Лист1!$A$3:$A$50,B258)+COUNTIF(Лист1!$E$3:$E$50,B258)</f>
        <v>0</v>
      </c>
    </row>
    <row r="259" spans="2:4">
      <c r="B259" s="24" t="str">
        <f>LEFT(Лист1!L259,30)</f>
        <v/>
      </c>
      <c r="C259" s="46">
        <f>Лист1!K259</f>
        <v>0</v>
      </c>
      <c r="D259" s="31">
        <f>COUNTIF(Лист1!$A$3:$A$50,B259)+COUNTIF(Лист1!$E$3:$E$50,B259)</f>
        <v>0</v>
      </c>
    </row>
    <row r="260" spans="2:4">
      <c r="B260" s="24" t="str">
        <f>LEFT(Лист1!L260,30)</f>
        <v/>
      </c>
      <c r="C260" s="46">
        <f>Лист1!K260</f>
        <v>0</v>
      </c>
      <c r="D260" s="31">
        <f>COUNTIF(Лист1!$A$3:$A$50,B260)+COUNTIF(Лист1!$E$3:$E$50,B260)</f>
        <v>0</v>
      </c>
    </row>
    <row r="261" spans="2:4">
      <c r="B261" s="24" t="str">
        <f>LEFT(Лист1!L261,30)</f>
        <v/>
      </c>
      <c r="C261" s="46">
        <f>Лист1!K261</f>
        <v>0</v>
      </c>
      <c r="D261" s="31">
        <f>COUNTIF(Лист1!$A$3:$A$50,B261)+COUNTIF(Лист1!$E$3:$E$50,B261)</f>
        <v>0</v>
      </c>
    </row>
    <row r="262" spans="2:4">
      <c r="B262" s="24" t="str">
        <f>LEFT(Лист1!L262,30)</f>
        <v/>
      </c>
      <c r="C262" s="46">
        <f>Лист1!K262</f>
        <v>0</v>
      </c>
      <c r="D262" s="31">
        <f>COUNTIF(Лист1!$A$3:$A$50,B262)+COUNTIF(Лист1!$E$3:$E$50,B262)</f>
        <v>0</v>
      </c>
    </row>
    <row r="263" spans="2:4">
      <c r="B263" s="24" t="str">
        <f>LEFT(Лист1!L263,30)</f>
        <v/>
      </c>
      <c r="C263" s="46">
        <f>Лист1!K263</f>
        <v>0</v>
      </c>
      <c r="D263" s="31">
        <f>COUNTIF(Лист1!$A$3:$A$50,B263)+COUNTIF(Лист1!$E$3:$E$50,B263)</f>
        <v>0</v>
      </c>
    </row>
    <row r="264" spans="2:4">
      <c r="B264" s="24" t="str">
        <f>LEFT(Лист1!L264,30)</f>
        <v/>
      </c>
      <c r="C264" s="46">
        <f>Лист1!K264</f>
        <v>0</v>
      </c>
      <c r="D264" s="31">
        <f>COUNTIF(Лист1!$A$3:$A$50,B264)+COUNTIF(Лист1!$E$3:$E$50,B264)</f>
        <v>0</v>
      </c>
    </row>
    <row r="265" spans="2:4">
      <c r="B265" s="24" t="str">
        <f>LEFT(Лист1!L265,30)</f>
        <v/>
      </c>
      <c r="C265" s="46">
        <f>Лист1!K265</f>
        <v>0</v>
      </c>
      <c r="D265" s="31">
        <f>COUNTIF(Лист1!$A$3:$A$50,B265)+COUNTIF(Лист1!$E$3:$E$50,B265)</f>
        <v>0</v>
      </c>
    </row>
    <row r="266" spans="2:4">
      <c r="B266" s="24" t="str">
        <f>LEFT(Лист1!L266,30)</f>
        <v/>
      </c>
      <c r="C266" s="46">
        <f>Лист1!K266</f>
        <v>0</v>
      </c>
      <c r="D266" s="31">
        <f>COUNTIF(Лист1!$A$3:$A$50,B266)+COUNTIF(Лист1!$E$3:$E$50,B266)</f>
        <v>0</v>
      </c>
    </row>
    <row r="267" spans="2:4">
      <c r="B267" s="24" t="str">
        <f>LEFT(Лист1!L267,30)</f>
        <v/>
      </c>
      <c r="C267" s="46">
        <f>Лист1!K267</f>
        <v>0</v>
      </c>
      <c r="D267" s="31">
        <f>COUNTIF(Лист1!$A$3:$A$50,B267)+COUNTIF(Лист1!$E$3:$E$50,B267)</f>
        <v>0</v>
      </c>
    </row>
    <row r="268" spans="2:4">
      <c r="B268" s="24" t="str">
        <f>LEFT(Лист1!L268,30)</f>
        <v/>
      </c>
      <c r="C268" s="46">
        <f>Лист1!K268</f>
        <v>0</v>
      </c>
      <c r="D268" s="31">
        <f>COUNTIF(Лист1!$A$3:$A$50,B268)+COUNTIF(Лист1!$E$3:$E$50,B268)</f>
        <v>0</v>
      </c>
    </row>
    <row r="269" spans="2:4">
      <c r="B269" s="24" t="str">
        <f>LEFT(Лист1!L269,30)</f>
        <v/>
      </c>
      <c r="C269" s="46">
        <f>Лист1!K269</f>
        <v>0</v>
      </c>
      <c r="D269" s="31">
        <f>COUNTIF(Лист1!$A$3:$A$50,B269)+COUNTIF(Лист1!$E$3:$E$50,B269)</f>
        <v>0</v>
      </c>
    </row>
    <row r="270" spans="2:4">
      <c r="B270" s="24" t="str">
        <f>LEFT(Лист1!L270,30)</f>
        <v/>
      </c>
      <c r="C270" s="46">
        <f>Лист1!K270</f>
        <v>0</v>
      </c>
      <c r="D270" s="31">
        <f>COUNTIF(Лист1!$A$3:$A$50,B270)+COUNTIF(Лист1!$E$3:$E$50,B270)</f>
        <v>0</v>
      </c>
    </row>
    <row r="271" spans="2:4">
      <c r="B271" s="24" t="str">
        <f>LEFT(Лист1!L271,30)</f>
        <v/>
      </c>
      <c r="C271" s="46">
        <f>Лист1!K271</f>
        <v>0</v>
      </c>
      <c r="D271" s="31">
        <f>COUNTIF(Лист1!$A$3:$A$50,B271)+COUNTIF(Лист1!$E$3:$E$50,B271)</f>
        <v>0</v>
      </c>
    </row>
    <row r="272" spans="2:4">
      <c r="B272" s="24" t="str">
        <f>LEFT(Лист1!L272,30)</f>
        <v/>
      </c>
      <c r="C272" s="46">
        <f>Лист1!K272</f>
        <v>0</v>
      </c>
      <c r="D272" s="31">
        <f>COUNTIF(Лист1!$A$3:$A$50,B272)+COUNTIF(Лист1!$E$3:$E$50,B272)</f>
        <v>0</v>
      </c>
    </row>
    <row r="273" spans="2:4">
      <c r="B273" s="24" t="str">
        <f>LEFT(Лист1!L273,30)</f>
        <v/>
      </c>
      <c r="C273" s="46">
        <f>Лист1!K273</f>
        <v>0</v>
      </c>
      <c r="D273" s="31">
        <f>COUNTIF(Лист1!$A$3:$A$50,B273)+COUNTIF(Лист1!$E$3:$E$50,B273)</f>
        <v>0</v>
      </c>
    </row>
    <row r="274" spans="2:4">
      <c r="B274" s="24" t="str">
        <f>LEFT(Лист1!L274,30)</f>
        <v/>
      </c>
      <c r="C274" s="46">
        <f>Лист1!K274</f>
        <v>0</v>
      </c>
      <c r="D274" s="31">
        <f>COUNTIF(Лист1!$A$3:$A$50,B274)+COUNTIF(Лист1!$E$3:$E$50,B274)</f>
        <v>0</v>
      </c>
    </row>
    <row r="275" spans="2:4">
      <c r="B275" s="24" t="str">
        <f>LEFT(Лист1!L275,30)</f>
        <v/>
      </c>
      <c r="C275" s="46">
        <f>Лист1!K275</f>
        <v>0</v>
      </c>
      <c r="D275" s="31">
        <f>COUNTIF(Лист1!$A$3:$A$50,B275)+COUNTIF(Лист1!$E$3:$E$50,B275)</f>
        <v>0</v>
      </c>
    </row>
    <row r="276" spans="2:4">
      <c r="B276" s="24" t="str">
        <f>LEFT(Лист1!L276,30)</f>
        <v/>
      </c>
      <c r="C276" s="46">
        <f>Лист1!K276</f>
        <v>0</v>
      </c>
      <c r="D276" s="31">
        <f>COUNTIF(Лист1!$A$3:$A$50,B276)+COUNTIF(Лист1!$E$3:$E$50,B276)</f>
        <v>0</v>
      </c>
    </row>
    <row r="277" spans="2:4">
      <c r="B277" s="24" t="str">
        <f>LEFT(Лист1!L277,30)</f>
        <v/>
      </c>
      <c r="C277" s="46">
        <f>Лист1!K277</f>
        <v>0</v>
      </c>
      <c r="D277" s="31">
        <f>COUNTIF(Лист1!$A$3:$A$50,B277)+COUNTIF(Лист1!$E$3:$E$50,B277)</f>
        <v>0</v>
      </c>
    </row>
    <row r="278" spans="2:4">
      <c r="B278" s="24" t="str">
        <f>LEFT(Лист1!L278,30)</f>
        <v/>
      </c>
      <c r="C278" s="46">
        <f>Лист1!K278</f>
        <v>0</v>
      </c>
      <c r="D278" s="31">
        <f>COUNTIF(Лист1!$A$3:$A$50,B278)+COUNTIF(Лист1!$E$3:$E$50,B278)</f>
        <v>0</v>
      </c>
    </row>
    <row r="279" spans="2:4">
      <c r="B279" s="24" t="str">
        <f>LEFT(Лист1!L279,30)</f>
        <v/>
      </c>
      <c r="C279" s="46">
        <f>Лист1!K279</f>
        <v>0</v>
      </c>
      <c r="D279" s="31">
        <f>COUNTIF(Лист1!$A$3:$A$50,B279)+COUNTIF(Лист1!$E$3:$E$50,B279)</f>
        <v>0</v>
      </c>
    </row>
    <row r="280" spans="2:4">
      <c r="B280" s="24" t="str">
        <f>LEFT(Лист1!L280,30)</f>
        <v/>
      </c>
      <c r="C280" s="46">
        <f>Лист1!K280</f>
        <v>0</v>
      </c>
      <c r="D280" s="31">
        <f>COUNTIF(Лист1!$A$3:$A$50,B280)+COUNTIF(Лист1!$E$3:$E$50,B280)</f>
        <v>0</v>
      </c>
    </row>
    <row r="281" spans="2:4">
      <c r="B281" s="24" t="str">
        <f>LEFT(Лист1!L281,30)</f>
        <v/>
      </c>
      <c r="C281" s="46">
        <f>Лист1!K281</f>
        <v>0</v>
      </c>
      <c r="D281" s="31">
        <f>COUNTIF(Лист1!$A$3:$A$50,B281)+COUNTIF(Лист1!$E$3:$E$50,B281)</f>
        <v>0</v>
      </c>
    </row>
    <row r="282" spans="2:4">
      <c r="B282" s="24" t="str">
        <f>LEFT(Лист1!L282,30)</f>
        <v/>
      </c>
      <c r="C282" s="46">
        <f>Лист1!K282</f>
        <v>0</v>
      </c>
      <c r="D282" s="31">
        <f>COUNTIF(Лист1!$A$3:$A$50,B282)+COUNTIF(Лист1!$E$3:$E$50,B282)</f>
        <v>0</v>
      </c>
    </row>
    <row r="283" spans="2:4">
      <c r="B283" s="24" t="str">
        <f>LEFT(Лист1!L283,30)</f>
        <v/>
      </c>
      <c r="C283" s="46">
        <f>Лист1!K283</f>
        <v>0</v>
      </c>
      <c r="D283" s="31">
        <f>COUNTIF(Лист1!$A$3:$A$50,B283)+COUNTIF(Лист1!$E$3:$E$50,B283)</f>
        <v>0</v>
      </c>
    </row>
    <row r="284" spans="2:4">
      <c r="B284" s="24" t="str">
        <f>LEFT(Лист1!L284,30)</f>
        <v/>
      </c>
      <c r="C284" s="46">
        <f>Лист1!K284</f>
        <v>0</v>
      </c>
      <c r="D284" s="31">
        <f>COUNTIF(Лист1!$A$3:$A$50,B284)+COUNTIF(Лист1!$E$3:$E$50,B284)</f>
        <v>0</v>
      </c>
    </row>
    <row r="285" spans="2:4">
      <c r="B285" s="24" t="str">
        <f>LEFT(Лист1!L285,30)</f>
        <v/>
      </c>
      <c r="C285" s="46">
        <f>Лист1!K285</f>
        <v>0</v>
      </c>
      <c r="D285" s="31">
        <f>COUNTIF(Лист1!$A$3:$A$50,B285)+COUNTIF(Лист1!$E$3:$E$50,B285)</f>
        <v>0</v>
      </c>
    </row>
    <row r="286" spans="2:4">
      <c r="B286" s="24" t="str">
        <f>LEFT(Лист1!L286,30)</f>
        <v/>
      </c>
      <c r="C286" s="46">
        <f>Лист1!K286</f>
        <v>0</v>
      </c>
      <c r="D286" s="31">
        <f>COUNTIF(Лист1!$A$3:$A$50,B286)+COUNTIF(Лист1!$E$3:$E$50,B286)</f>
        <v>0</v>
      </c>
    </row>
    <row r="287" spans="2:4">
      <c r="B287" s="24" t="str">
        <f>LEFT(Лист1!L287,30)</f>
        <v/>
      </c>
      <c r="C287" s="46">
        <f>Лист1!K287</f>
        <v>0</v>
      </c>
      <c r="D287" s="31">
        <f>COUNTIF(Лист1!$A$3:$A$50,B287)+COUNTIF(Лист1!$E$3:$E$50,B287)</f>
        <v>0</v>
      </c>
    </row>
    <row r="288" spans="2:4">
      <c r="B288" s="24" t="str">
        <f>LEFT(Лист1!L288,30)</f>
        <v/>
      </c>
      <c r="C288" s="46">
        <f>Лист1!K288</f>
        <v>0</v>
      </c>
      <c r="D288" s="31">
        <f>COUNTIF(Лист1!$A$3:$A$50,B288)+COUNTIF(Лист1!$E$3:$E$50,B288)</f>
        <v>0</v>
      </c>
    </row>
    <row r="289" spans="2:4">
      <c r="B289" s="24" t="str">
        <f>LEFT(Лист1!L289,30)</f>
        <v/>
      </c>
      <c r="C289" s="46">
        <f>Лист1!K289</f>
        <v>0</v>
      </c>
      <c r="D289" s="31">
        <f>COUNTIF(Лист1!$A$3:$A$50,B289)+COUNTIF(Лист1!$E$3:$E$50,B289)</f>
        <v>0</v>
      </c>
    </row>
    <row r="290" spans="2:4">
      <c r="B290" s="24" t="str">
        <f>LEFT(Лист1!L290,30)</f>
        <v/>
      </c>
      <c r="C290" s="46">
        <f>Лист1!K290</f>
        <v>0</v>
      </c>
      <c r="D290" s="31">
        <f>COUNTIF(Лист1!$A$3:$A$50,B290)+COUNTIF(Лист1!$E$3:$E$50,B290)</f>
        <v>0</v>
      </c>
    </row>
    <row r="291" spans="2:4">
      <c r="B291" s="24" t="str">
        <f>LEFT(Лист1!L291,30)</f>
        <v/>
      </c>
      <c r="C291" s="46">
        <f>Лист1!K291</f>
        <v>0</v>
      </c>
      <c r="D291" s="31">
        <f>COUNTIF(Лист1!$A$3:$A$50,B291)+COUNTIF(Лист1!$E$3:$E$50,B291)</f>
        <v>0</v>
      </c>
    </row>
    <row r="292" spans="2:4">
      <c r="B292" s="24" t="str">
        <f>LEFT(Лист1!L292,30)</f>
        <v/>
      </c>
      <c r="C292" s="46">
        <f>Лист1!K292</f>
        <v>0</v>
      </c>
      <c r="D292" s="31">
        <f>COUNTIF(Лист1!$A$3:$A$50,B292)+COUNTIF(Лист1!$E$3:$E$50,B292)</f>
        <v>0</v>
      </c>
    </row>
    <row r="293" spans="2:4">
      <c r="B293" s="24" t="str">
        <f>LEFT(Лист1!L293,30)</f>
        <v/>
      </c>
      <c r="C293" s="46">
        <f>Лист1!K293</f>
        <v>0</v>
      </c>
      <c r="D293" s="31">
        <f>COUNTIF(Лист1!$A$3:$A$50,B293)+COUNTIF(Лист1!$E$3:$E$50,B293)</f>
        <v>0</v>
      </c>
    </row>
    <row r="294" spans="2:4">
      <c r="B294" s="24" t="str">
        <f>LEFT(Лист1!L294,30)</f>
        <v/>
      </c>
      <c r="C294" s="46">
        <f>Лист1!K294</f>
        <v>0</v>
      </c>
      <c r="D294" s="31">
        <f>COUNTIF(Лист1!$A$3:$A$50,B294)+COUNTIF(Лист1!$E$3:$E$50,B294)</f>
        <v>0</v>
      </c>
    </row>
    <row r="295" spans="2:4">
      <c r="B295" s="24" t="str">
        <f>LEFT(Лист1!L295,30)</f>
        <v/>
      </c>
      <c r="C295" s="46">
        <f>Лист1!K295</f>
        <v>0</v>
      </c>
      <c r="D295" s="31">
        <f>COUNTIF(Лист1!$A$3:$A$50,B295)+COUNTIF(Лист1!$E$3:$E$50,B295)</f>
        <v>0</v>
      </c>
    </row>
    <row r="296" spans="2:4">
      <c r="B296" s="24" t="str">
        <f>LEFT(Лист1!L296,30)</f>
        <v/>
      </c>
      <c r="C296" s="46">
        <f>Лист1!K296</f>
        <v>0</v>
      </c>
      <c r="D296" s="31">
        <f>COUNTIF(Лист1!$A$3:$A$50,B296)+COUNTIF(Лист1!$E$3:$E$50,B296)</f>
        <v>0</v>
      </c>
    </row>
    <row r="297" spans="2:4">
      <c r="B297" s="24" t="str">
        <f>LEFT(Лист1!L297,30)</f>
        <v/>
      </c>
      <c r="C297" s="46">
        <f>Лист1!K297</f>
        <v>0</v>
      </c>
      <c r="D297" s="31">
        <f>COUNTIF(Лист1!$A$3:$A$50,B297)+COUNTIF(Лист1!$E$3:$E$50,B297)</f>
        <v>0</v>
      </c>
    </row>
    <row r="298" spans="2:4">
      <c r="B298" s="24" t="str">
        <f>LEFT(Лист1!L298,30)</f>
        <v/>
      </c>
      <c r="C298" s="46">
        <f>Лист1!K298</f>
        <v>0</v>
      </c>
      <c r="D298" s="31">
        <f>COUNTIF(Лист1!$A$3:$A$50,B298)+COUNTIF(Лист1!$E$3:$E$50,B298)</f>
        <v>0</v>
      </c>
    </row>
    <row r="299" spans="2:4">
      <c r="B299" s="24" t="str">
        <f>LEFT(Лист1!L299,30)</f>
        <v/>
      </c>
      <c r="C299" s="46">
        <f>Лист1!K299</f>
        <v>0</v>
      </c>
      <c r="D299" s="31">
        <f>COUNTIF(Лист1!$A$3:$A$50,B299)+COUNTIF(Лист1!$E$3:$E$50,B299)</f>
        <v>0</v>
      </c>
    </row>
    <row r="300" spans="2:4">
      <c r="B300" s="24" t="str">
        <f>LEFT(Лист1!L300,30)</f>
        <v/>
      </c>
      <c r="C300" s="46">
        <f>Лист1!K300</f>
        <v>0</v>
      </c>
      <c r="D300" s="31">
        <f>COUNTIF(Лист1!$A$3:$A$50,B300)+COUNTIF(Лист1!$E$3:$E$50,B300)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Лист1</vt:lpstr>
      <vt:lpstr>Количество</vt:lpstr>
      <vt:lpstr>Лист1!Извлечь</vt:lpstr>
      <vt:lpstr>Сотрудники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2025-03-26T15:11:21Z</dcterms:modified>
</cp:coreProperties>
</file>