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ЭтаКнига" defaultThemeVersion="124226"/>
  <bookViews>
    <workbookView xWindow="60" yWindow="45" windowWidth="9165" windowHeight="9810"/>
  </bookViews>
  <sheets>
    <sheet name="Лист1" sheetId="1" r:id="rId1"/>
    <sheet name="Количество" sheetId="2" r:id="rId2"/>
  </sheets>
  <definedNames>
    <definedName name="_xlnm._FilterDatabase" localSheetId="1" hidden="1">Количество!$B$2:$F$122</definedName>
    <definedName name="_xlnm._FilterDatabase" localSheetId="0" hidden="1">Лист1!$A$53:$A$63</definedName>
    <definedName name="_xlnm.Extract" localSheetId="0">Лист1!$N$7</definedName>
    <definedName name="Сотрудники">Лист1!$A$3:$A$5</definedName>
  </definedNames>
  <calcPr calcId="124519"/>
</workbook>
</file>

<file path=xl/calcChain.xml><?xml version="1.0" encoding="utf-8"?>
<calcChain xmlns="http://schemas.openxmlformats.org/spreadsheetml/2006/main">
  <c r="J4" i="1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B34" s="1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3"/>
  <c r="A3" s="1"/>
  <c r="C3" i="2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3"/>
  <c r="B4" i="1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5"/>
  <c r="B36"/>
  <c r="B37"/>
  <c r="B38"/>
  <c r="B39"/>
  <c r="B40"/>
  <c r="B41"/>
  <c r="B42"/>
  <c r="B43"/>
  <c r="B44"/>
  <c r="B45"/>
  <c r="B46"/>
  <c r="B47"/>
  <c r="B48"/>
  <c r="B49"/>
  <c r="B50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B3"/>
  <c r="A49" l="1"/>
  <c r="A47"/>
  <c r="A45"/>
  <c r="A43"/>
  <c r="A41"/>
  <c r="A39"/>
  <c r="A37"/>
  <c r="A35"/>
  <c r="A33"/>
  <c r="A31"/>
  <c r="A29"/>
  <c r="A27"/>
  <c r="A25"/>
  <c r="A23"/>
  <c r="A21"/>
  <c r="A19"/>
  <c r="A17"/>
  <c r="A15"/>
  <c r="A13"/>
  <c r="A11"/>
  <c r="A9"/>
  <c r="A7"/>
  <c r="A5"/>
  <c r="E3"/>
  <c r="E48"/>
  <c r="E46"/>
  <c r="E44"/>
  <c r="E42"/>
  <c r="E40"/>
  <c r="E38"/>
  <c r="E36"/>
  <c r="E34"/>
  <c r="E32"/>
  <c r="E30"/>
  <c r="E28"/>
  <c r="E26"/>
  <c r="E24"/>
  <c r="E22"/>
  <c r="E20"/>
  <c r="E18"/>
  <c r="E16"/>
  <c r="E14"/>
  <c r="E12"/>
  <c r="E10"/>
  <c r="E8"/>
  <c r="E6"/>
  <c r="E4"/>
  <c r="A50"/>
  <c r="A48"/>
  <c r="A46"/>
  <c r="A44"/>
  <c r="A42"/>
  <c r="A40"/>
  <c r="A38"/>
  <c r="A36"/>
  <c r="A34"/>
  <c r="A32"/>
  <c r="A30"/>
  <c r="A28"/>
  <c r="A26"/>
  <c r="A24"/>
  <c r="A22"/>
  <c r="A20"/>
  <c r="A18"/>
  <c r="A16"/>
  <c r="A14"/>
  <c r="A12"/>
  <c r="A10"/>
  <c r="A8"/>
  <c r="A6"/>
  <c r="A4"/>
  <c r="E49"/>
  <c r="E47"/>
  <c r="E45"/>
  <c r="E43"/>
  <c r="E41"/>
  <c r="E39"/>
  <c r="E37"/>
  <c r="E35"/>
  <c r="E33"/>
  <c r="E31"/>
  <c r="E29"/>
  <c r="E27"/>
  <c r="E25"/>
  <c r="E23"/>
  <c r="E21"/>
  <c r="E19"/>
  <c r="E17"/>
  <c r="E15"/>
  <c r="E13"/>
  <c r="E11"/>
  <c r="E9"/>
  <c r="E7"/>
  <c r="E5"/>
  <c r="E50"/>
  <c r="A1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3"/>
  <c r="F4" i="2" l="1"/>
  <c r="F6"/>
  <c r="F8"/>
  <c r="F10"/>
  <c r="F12"/>
  <c r="F14"/>
  <c r="F16"/>
  <c r="F18"/>
  <c r="F20"/>
  <c r="F22"/>
  <c r="F24"/>
  <c r="F26"/>
  <c r="F28"/>
  <c r="F30"/>
  <c r="F32"/>
  <c r="F34"/>
  <c r="F36"/>
  <c r="F38"/>
  <c r="F40"/>
  <c r="F42"/>
  <c r="F44"/>
  <c r="F46"/>
  <c r="F48"/>
  <c r="F50"/>
  <c r="F52"/>
  <c r="F54"/>
  <c r="F56"/>
  <c r="F58"/>
  <c r="F60"/>
  <c r="F62"/>
  <c r="F64"/>
  <c r="F66"/>
  <c r="F68"/>
  <c r="F70"/>
  <c r="F72"/>
  <c r="F74"/>
  <c r="F76"/>
  <c r="F78"/>
  <c r="F80"/>
  <c r="F82"/>
  <c r="F84"/>
  <c r="F86"/>
  <c r="F88"/>
  <c r="F90"/>
  <c r="F92"/>
  <c r="F94"/>
  <c r="F96"/>
  <c r="F98"/>
  <c r="F100"/>
  <c r="F102"/>
  <c r="F104"/>
  <c r="F106"/>
  <c r="F108"/>
  <c r="F110"/>
  <c r="F112"/>
  <c r="F114"/>
  <c r="F116"/>
  <c r="F118"/>
  <c r="F120"/>
  <c r="F122"/>
  <c r="F124"/>
  <c r="F126"/>
  <c r="F128"/>
  <c r="F130"/>
  <c r="F132"/>
  <c r="F134"/>
  <c r="F136"/>
  <c r="F138"/>
  <c r="F140"/>
  <c r="F142"/>
  <c r="F144"/>
  <c r="F146"/>
  <c r="F148"/>
  <c r="F150"/>
  <c r="F152"/>
  <c r="F154"/>
  <c r="F156"/>
  <c r="F158"/>
  <c r="F160"/>
  <c r="F162"/>
  <c r="F164"/>
  <c r="F166"/>
  <c r="F168"/>
  <c r="F170"/>
  <c r="F172"/>
  <c r="F5"/>
  <c r="F7"/>
  <c r="F9"/>
  <c r="F11"/>
  <c r="F13"/>
  <c r="F15"/>
  <c r="F17"/>
  <c r="F19"/>
  <c r="F21"/>
  <c r="F23"/>
  <c r="F25"/>
  <c r="F27"/>
  <c r="F29"/>
  <c r="F31"/>
  <c r="F33"/>
  <c r="F35"/>
  <c r="F37"/>
  <c r="F39"/>
  <c r="F41"/>
  <c r="F43"/>
  <c r="F45"/>
  <c r="F47"/>
  <c r="F49"/>
  <c r="F51"/>
  <c r="F53"/>
  <c r="F55"/>
  <c r="F57"/>
  <c r="F59"/>
  <c r="F61"/>
  <c r="F63"/>
  <c r="F65"/>
  <c r="F67"/>
  <c r="F69"/>
  <c r="F71"/>
  <c r="F73"/>
  <c r="F75"/>
  <c r="F77"/>
  <c r="F79"/>
  <c r="F81"/>
  <c r="F83"/>
  <c r="F85"/>
  <c r="F87"/>
  <c r="F89"/>
  <c r="F91"/>
  <c r="F93"/>
  <c r="F95"/>
  <c r="F97"/>
  <c r="F99"/>
  <c r="F101"/>
  <c r="F103"/>
  <c r="F105"/>
  <c r="F107"/>
  <c r="F109"/>
  <c r="F111"/>
  <c r="F113"/>
  <c r="F115"/>
  <c r="F117"/>
  <c r="F119"/>
  <c r="F121"/>
  <c r="F123"/>
  <c r="F125"/>
  <c r="F127"/>
  <c r="F129"/>
  <c r="F131"/>
  <c r="F133"/>
  <c r="F135"/>
  <c r="F137"/>
  <c r="F139"/>
  <c r="F141"/>
  <c r="F143"/>
  <c r="F145"/>
  <c r="F147"/>
  <c r="F149"/>
  <c r="F151"/>
  <c r="F153"/>
  <c r="F155"/>
  <c r="F157"/>
  <c r="F159"/>
  <c r="F161"/>
  <c r="F163"/>
  <c r="F165"/>
  <c r="F167"/>
  <c r="F169"/>
  <c r="F171"/>
  <c r="E5"/>
  <c r="D5" s="1"/>
  <c r="E7"/>
  <c r="D7" s="1"/>
  <c r="E9"/>
  <c r="E11"/>
  <c r="E13"/>
  <c r="E15"/>
  <c r="D15" s="1"/>
  <c r="E17"/>
  <c r="E19"/>
  <c r="D19" s="1"/>
  <c r="E21"/>
  <c r="E23"/>
  <c r="D23" s="1"/>
  <c r="E25"/>
  <c r="E27"/>
  <c r="E29"/>
  <c r="E31"/>
  <c r="D31" s="1"/>
  <c r="E33"/>
  <c r="E35"/>
  <c r="D35" s="1"/>
  <c r="E37"/>
  <c r="E39"/>
  <c r="D39" s="1"/>
  <c r="E41"/>
  <c r="E43"/>
  <c r="E45"/>
  <c r="E47"/>
  <c r="D47" s="1"/>
  <c r="E49"/>
  <c r="E51"/>
  <c r="D51" s="1"/>
  <c r="E53"/>
  <c r="E55"/>
  <c r="D55" s="1"/>
  <c r="E57"/>
  <c r="E59"/>
  <c r="E61"/>
  <c r="E63"/>
  <c r="D63" s="1"/>
  <c r="E65"/>
  <c r="E67"/>
  <c r="D67" s="1"/>
  <c r="E69"/>
  <c r="E71"/>
  <c r="D71" s="1"/>
  <c r="E73"/>
  <c r="E75"/>
  <c r="D75" s="1"/>
  <c r="E77"/>
  <c r="E79"/>
  <c r="E81"/>
  <c r="E83"/>
  <c r="D83" s="1"/>
  <c r="E85"/>
  <c r="E87"/>
  <c r="D87" s="1"/>
  <c r="E89"/>
  <c r="E91"/>
  <c r="D91" s="1"/>
  <c r="E93"/>
  <c r="E95"/>
  <c r="D95" s="1"/>
  <c r="E97"/>
  <c r="E99"/>
  <c r="D99" s="1"/>
  <c r="E101"/>
  <c r="E103"/>
  <c r="D103" s="1"/>
  <c r="E105"/>
  <c r="E107"/>
  <c r="D107" s="1"/>
  <c r="E109"/>
  <c r="E111"/>
  <c r="E113"/>
  <c r="E115"/>
  <c r="D115" s="1"/>
  <c r="E117"/>
  <c r="E119"/>
  <c r="D119" s="1"/>
  <c r="E121"/>
  <c r="E123"/>
  <c r="E125"/>
  <c r="E127"/>
  <c r="E129"/>
  <c r="E131"/>
  <c r="E133"/>
  <c r="E136"/>
  <c r="E138"/>
  <c r="E140"/>
  <c r="D140" s="1"/>
  <c r="E142"/>
  <c r="E144"/>
  <c r="D144" s="1"/>
  <c r="E146"/>
  <c r="E148"/>
  <c r="E150"/>
  <c r="E152"/>
  <c r="E154"/>
  <c r="E156"/>
  <c r="D156" s="1"/>
  <c r="E158"/>
  <c r="E160"/>
  <c r="E162"/>
  <c r="E164"/>
  <c r="D164" s="1"/>
  <c r="E166"/>
  <c r="E168"/>
  <c r="E170"/>
  <c r="E172"/>
  <c r="E134"/>
  <c r="E4"/>
  <c r="D4" s="1"/>
  <c r="E6"/>
  <c r="D6" s="1"/>
  <c r="E8"/>
  <c r="D8" s="1"/>
  <c r="E10"/>
  <c r="D10" s="1"/>
  <c r="E12"/>
  <c r="D12" s="1"/>
  <c r="E14"/>
  <c r="D14" s="1"/>
  <c r="E16"/>
  <c r="D16" s="1"/>
  <c r="E18"/>
  <c r="D18" s="1"/>
  <c r="E20"/>
  <c r="D20" s="1"/>
  <c r="E22"/>
  <c r="E24"/>
  <c r="D24" s="1"/>
  <c r="E26"/>
  <c r="D26" s="1"/>
  <c r="E28"/>
  <c r="D28" s="1"/>
  <c r="E30"/>
  <c r="D30" s="1"/>
  <c r="E32"/>
  <c r="D32" s="1"/>
  <c r="E34"/>
  <c r="D34" s="1"/>
  <c r="E36"/>
  <c r="D36" s="1"/>
  <c r="E38"/>
  <c r="D38" s="1"/>
  <c r="E40"/>
  <c r="D40" s="1"/>
  <c r="E42"/>
  <c r="D42" s="1"/>
  <c r="E44"/>
  <c r="D44" s="1"/>
  <c r="E46"/>
  <c r="D46" s="1"/>
  <c r="E48"/>
  <c r="D48" s="1"/>
  <c r="E50"/>
  <c r="D50" s="1"/>
  <c r="E52"/>
  <c r="D52" s="1"/>
  <c r="E54"/>
  <c r="D54" s="1"/>
  <c r="E56"/>
  <c r="D56" s="1"/>
  <c r="E58"/>
  <c r="D58" s="1"/>
  <c r="E60"/>
  <c r="D60" s="1"/>
  <c r="E62"/>
  <c r="D62" s="1"/>
  <c r="E64"/>
  <c r="D64" s="1"/>
  <c r="E66"/>
  <c r="D66" s="1"/>
  <c r="E68"/>
  <c r="D68" s="1"/>
  <c r="E70"/>
  <c r="D70" s="1"/>
  <c r="E72"/>
  <c r="D72" s="1"/>
  <c r="E74"/>
  <c r="D74" s="1"/>
  <c r="E76"/>
  <c r="D76" s="1"/>
  <c r="E78"/>
  <c r="D78" s="1"/>
  <c r="E80"/>
  <c r="D80" s="1"/>
  <c r="E82"/>
  <c r="D82" s="1"/>
  <c r="E84"/>
  <c r="D84" s="1"/>
  <c r="E86"/>
  <c r="D86" s="1"/>
  <c r="E88"/>
  <c r="D88" s="1"/>
  <c r="E90"/>
  <c r="D90" s="1"/>
  <c r="E92"/>
  <c r="D92" s="1"/>
  <c r="E94"/>
  <c r="D94" s="1"/>
  <c r="E96"/>
  <c r="E98"/>
  <c r="D98" s="1"/>
  <c r="E100"/>
  <c r="D100" s="1"/>
  <c r="E102"/>
  <c r="D102" s="1"/>
  <c r="E104"/>
  <c r="D104" s="1"/>
  <c r="E106"/>
  <c r="D106" s="1"/>
  <c r="E108"/>
  <c r="D108" s="1"/>
  <c r="E110"/>
  <c r="D110" s="1"/>
  <c r="E112"/>
  <c r="D112" s="1"/>
  <c r="E114"/>
  <c r="D114" s="1"/>
  <c r="E116"/>
  <c r="D116" s="1"/>
  <c r="E118"/>
  <c r="D118" s="1"/>
  <c r="E120"/>
  <c r="E122"/>
  <c r="E124"/>
  <c r="E126"/>
  <c r="E128"/>
  <c r="D128" s="1"/>
  <c r="E130"/>
  <c r="E132"/>
  <c r="D132" s="1"/>
  <c r="E135"/>
  <c r="E137"/>
  <c r="E139"/>
  <c r="E141"/>
  <c r="D141" s="1"/>
  <c r="E143"/>
  <c r="E145"/>
  <c r="D145" s="1"/>
  <c r="E147"/>
  <c r="E149"/>
  <c r="E151"/>
  <c r="E153"/>
  <c r="E155"/>
  <c r="E157"/>
  <c r="E159"/>
  <c r="E161"/>
  <c r="D161" s="1"/>
  <c r="E163"/>
  <c r="E165"/>
  <c r="D165" s="1"/>
  <c r="E167"/>
  <c r="E169"/>
  <c r="E171"/>
  <c r="D124"/>
  <c r="D126"/>
  <c r="D134"/>
  <c r="D154"/>
  <c r="D160"/>
  <c r="D170"/>
  <c r="D125"/>
  <c r="D129"/>
  <c r="D133"/>
  <c r="D130"/>
  <c r="D146"/>
  <c r="D142"/>
  <c r="F3"/>
  <c r="D22"/>
  <c r="D96"/>
  <c r="E3"/>
  <c r="D11"/>
  <c r="D27"/>
  <c r="D43"/>
  <c r="D59"/>
  <c r="D79"/>
  <c r="D111"/>
  <c r="D3" l="1"/>
  <c r="D143"/>
  <c r="D171"/>
  <c r="D167"/>
  <c r="D159"/>
  <c r="D151"/>
  <c r="D135"/>
  <c r="D162"/>
  <c r="D138"/>
  <c r="D136"/>
  <c r="D169"/>
  <c r="D157"/>
  <c r="D153"/>
  <c r="D149"/>
  <c r="D137"/>
  <c r="D172"/>
  <c r="D168"/>
  <c r="D152"/>
  <c r="D148"/>
  <c r="D150"/>
  <c r="D158"/>
  <c r="D123"/>
  <c r="D166"/>
  <c r="D163"/>
  <c r="D155"/>
  <c r="D147"/>
  <c r="D139"/>
  <c r="D131"/>
  <c r="D127"/>
  <c r="D122"/>
  <c r="D120"/>
  <c r="D121"/>
  <c r="D117"/>
  <c r="D113"/>
  <c r="D109"/>
  <c r="D105"/>
  <c r="D101"/>
  <c r="D97"/>
  <c r="D93"/>
  <c r="D89"/>
  <c r="D85"/>
  <c r="D81"/>
  <c r="D77"/>
  <c r="D73"/>
  <c r="D69"/>
  <c r="D65"/>
  <c r="D61"/>
  <c r="D57"/>
  <c r="D53"/>
  <c r="D49"/>
  <c r="D45"/>
  <c r="D41"/>
  <c r="D37"/>
  <c r="D33"/>
  <c r="D29"/>
  <c r="D25"/>
  <c r="D21"/>
  <c r="D17"/>
  <c r="D13"/>
  <c r="D9"/>
</calcChain>
</file>

<file path=xl/sharedStrings.xml><?xml version="1.0" encoding="utf-8"?>
<sst xmlns="http://schemas.openxmlformats.org/spreadsheetml/2006/main" count="168" uniqueCount="161">
  <si>
    <t>Наименование</t>
  </si>
  <si>
    <t>Артикул</t>
  </si>
  <si>
    <t>Серийный номер</t>
  </si>
  <si>
    <t>Скан</t>
  </si>
  <si>
    <t>База</t>
  </si>
  <si>
    <t>K5 Compact</t>
  </si>
  <si>
    <t>Артикул из скана</t>
  </si>
  <si>
    <t>K3</t>
  </si>
  <si>
    <t>K4 Compact Home</t>
  </si>
  <si>
    <t>K4 Compact</t>
  </si>
  <si>
    <t>K5 Compact Home</t>
  </si>
  <si>
    <t>K5 Premium</t>
  </si>
  <si>
    <t>K7 Compact Home</t>
  </si>
  <si>
    <t>K7 Compact</t>
  </si>
  <si>
    <t>HD5/15 C</t>
  </si>
  <si>
    <t>HD9/20-4 Classic</t>
  </si>
  <si>
    <t>HD9/20-4M</t>
  </si>
  <si>
    <t>HD10/23-4S</t>
  </si>
  <si>
    <t>HD10/21-4S</t>
  </si>
  <si>
    <t>SC1</t>
  </si>
  <si>
    <t>SC3 Premium</t>
  </si>
  <si>
    <t>SC4 Prem EasyFix</t>
  </si>
  <si>
    <t>SV7 (White)</t>
  </si>
  <si>
    <t>SC5 Premium</t>
  </si>
  <si>
    <t>SP3 Dirt</t>
  </si>
  <si>
    <t>SP5 Dirt</t>
  </si>
  <si>
    <t>SP7 Dirt</t>
  </si>
  <si>
    <t>SP2 Flat</t>
  </si>
  <si>
    <t>BP1 Barrel</t>
  </si>
  <si>
    <t>BP1 Barrel Set</t>
  </si>
  <si>
    <t>BP3 Home</t>
  </si>
  <si>
    <t>BP3 Garden</t>
  </si>
  <si>
    <t>T7/1 Classic</t>
  </si>
  <si>
    <t>T8/1 L</t>
  </si>
  <si>
    <t>T10/1 Adv</t>
  </si>
  <si>
    <t>NT65/2 Ap</t>
  </si>
  <si>
    <t>NT70/2 Me Classic</t>
  </si>
  <si>
    <t>NT90/2 Me Classic</t>
  </si>
  <si>
    <t>PUZZI 8/1 C</t>
  </si>
  <si>
    <t>PUZZI 10/1</t>
  </si>
  <si>
    <t>VC5</t>
  </si>
  <si>
    <t>VC3 Premium</t>
  </si>
  <si>
    <t>VC3</t>
  </si>
  <si>
    <t>SE6.100</t>
  </si>
  <si>
    <t>FC5 Premium</t>
  </si>
  <si>
    <t>FC5</t>
  </si>
  <si>
    <t>SI4 Premium EasyFix</t>
  </si>
  <si>
    <t>Пароль для снятия защиты: 0000.</t>
  </si>
  <si>
    <t>SC3 Easy Fix Premium</t>
  </si>
  <si>
    <t>SC4 Easy Fix</t>
  </si>
  <si>
    <t>SP5 Dual</t>
  </si>
  <si>
    <t>SC2 EasyFix Premium</t>
  </si>
  <si>
    <t>HD6/15 M</t>
  </si>
  <si>
    <t>NT 22/1 Ap Te</t>
  </si>
  <si>
    <t>NT 22/1 Ap</t>
  </si>
  <si>
    <t>BP3 Home&amp;Garden</t>
  </si>
  <si>
    <t>SC2 EasyFix</t>
  </si>
  <si>
    <t>SC2 Deluxe EasyFix</t>
  </si>
  <si>
    <t>SC5 EasyFix Premium</t>
  </si>
  <si>
    <t>T14/1 Classic</t>
  </si>
  <si>
    <t>SC1 EasyFix Floorkit</t>
  </si>
  <si>
    <t>SC4 EasyFix Prem Iron</t>
  </si>
  <si>
    <t>SC1 EasyFix Premium</t>
  </si>
  <si>
    <t>HD6/15 M Cage</t>
  </si>
  <si>
    <t>HD7/17 M Cage</t>
  </si>
  <si>
    <t>VC5 Cordless Premium</t>
  </si>
  <si>
    <t>VC2 Premium</t>
  </si>
  <si>
    <t>SC5 EasyFix Iron Plug</t>
  </si>
  <si>
    <t>SP 6 Flat Inox</t>
  </si>
  <si>
    <t>VC5 Premium</t>
  </si>
  <si>
    <t>Количество</t>
  </si>
  <si>
    <t>SC3 Upright EF Prem</t>
  </si>
  <si>
    <t>K2 Compact</t>
  </si>
  <si>
    <t>KB5 Premium</t>
  </si>
  <si>
    <t>K2 Universal Edition</t>
  </si>
  <si>
    <t>K4 Universal</t>
  </si>
  <si>
    <t>T8/1 Classic</t>
  </si>
  <si>
    <t>HD 5/12C</t>
  </si>
  <si>
    <t>LTR 36-33 Battery</t>
  </si>
  <si>
    <t>LBL 4 Battery</t>
  </si>
  <si>
    <t>HGE 36-60 Battery</t>
  </si>
  <si>
    <t>LMO 36-46 Battery Set</t>
  </si>
  <si>
    <t>FC3 Cordless</t>
  </si>
  <si>
    <t>SC2 Upright Easy Fix</t>
  </si>
  <si>
    <t>NT30/1 Ap L</t>
  </si>
  <si>
    <t>BP4 Home&amp;Garden</t>
  </si>
  <si>
    <t>FC7 Cordless Premium</t>
  </si>
  <si>
    <t>SC5 Premium Iron Kit</t>
  </si>
  <si>
    <t>NT 30/1 Me Classic</t>
  </si>
  <si>
    <t>K5 Power Control</t>
  </si>
  <si>
    <t>HD 10/21-4S</t>
  </si>
  <si>
    <t>K2 Classic</t>
  </si>
  <si>
    <t>AD4 Premium</t>
  </si>
  <si>
    <t>K4 Compact UM</t>
  </si>
  <si>
    <t>HD9/18 Cage Classic</t>
  </si>
  <si>
    <t>K3 Compact</t>
  </si>
  <si>
    <t>FC 5 Cordless Premium</t>
  </si>
  <si>
    <t>HD5/11 P</t>
  </si>
  <si>
    <t>K2 Power Control</t>
  </si>
  <si>
    <t>DS6 Premium Plus</t>
  </si>
  <si>
    <t>EWM2 Premium</t>
  </si>
  <si>
    <t>K Mini</t>
  </si>
  <si>
    <t>WD 3 S V-17/4/20</t>
  </si>
  <si>
    <t>WD 2 PLUS V-12/4/18</t>
  </si>
  <si>
    <t>WD 5 S V-25/5/22</t>
  </si>
  <si>
    <t>LTR 18-33 Battery Set</t>
  </si>
  <si>
    <t>SP1 Dirt Connector Set</t>
  </si>
  <si>
    <t>K7  Smart Control</t>
  </si>
  <si>
    <t>WD2 Plus V-12/4/18/C</t>
  </si>
  <si>
    <t>WD3 P S V-17/4/20</t>
  </si>
  <si>
    <t>WD3 V-15/4/20</t>
  </si>
  <si>
    <t>WD4 S V-20/5/22</t>
  </si>
  <si>
    <t>WD6 P V-25/8/22/T</t>
  </si>
  <si>
    <t>VC4 Cordless myHome</t>
  </si>
  <si>
    <t>VC6 Cordless ourFamily</t>
  </si>
  <si>
    <t>WD6 P S V-30/6/22/T</t>
  </si>
  <si>
    <t>K4 Compact UM LE</t>
  </si>
  <si>
    <t>K7 Prem Smart Control</t>
  </si>
  <si>
    <t>K4 Basic</t>
  </si>
  <si>
    <t>LMO 18-36 Battery Set</t>
  </si>
  <si>
    <t>LTR 18-30 Battery LE</t>
  </si>
  <si>
    <t>BLV 18-200 Battery</t>
  </si>
  <si>
    <t>K7 Power</t>
  </si>
  <si>
    <t>BP5 Home&amp;Garden</t>
  </si>
  <si>
    <t>CVH 2</t>
  </si>
  <si>
    <t>K7 Premium Power</t>
  </si>
  <si>
    <t>GSH 18-20 Battery</t>
  </si>
  <si>
    <t>BP2 Garden</t>
  </si>
  <si>
    <t>K5 Premium Power Control</t>
  </si>
  <si>
    <t>VC4 Cordless Prem myHome</t>
  </si>
  <si>
    <t>VC6 Cord. Prem. ourFamily</t>
  </si>
  <si>
    <t>SC3 Deluxe EasyFix</t>
  </si>
  <si>
    <t>SC3 Deluxe EasyFix Premium</t>
  </si>
  <si>
    <t>SC4 Deluxe EasyFix</t>
  </si>
  <si>
    <t>SC4 Deluxe EasyFix Prem Iron</t>
  </si>
  <si>
    <t>SC4 Deluxe EasyFix Premium</t>
  </si>
  <si>
    <t>SP1 Dirt</t>
  </si>
  <si>
    <t>WD3 V-17/4/35 +Nozzles</t>
  </si>
  <si>
    <t>EDI 4</t>
  </si>
  <si>
    <t>WD3 S V-19/4/20 Suct. Brush</t>
  </si>
  <si>
    <t>VC2</t>
  </si>
  <si>
    <t>KWD3 V-17/4/20 Suct.Brush</t>
  </si>
  <si>
    <t>PSU 4-18</t>
  </si>
  <si>
    <t>PCL 4</t>
  </si>
  <si>
    <t>SP 3 Dirt House Set</t>
  </si>
  <si>
    <t>K 4 WCM Premium</t>
  </si>
  <si>
    <t>K 4 WCM</t>
  </si>
  <si>
    <t>HGE 18-45 Battery Set</t>
  </si>
  <si>
    <t>SC 2 Deluxe EF Prem (white)</t>
  </si>
  <si>
    <t>BD 50/50 C Classic Bp</t>
  </si>
  <si>
    <t>WD3 S V-17/6/20 Car</t>
  </si>
  <si>
    <t>SE 4001 Plus Limited Edition</t>
  </si>
  <si>
    <t>SC 3 EasyFix Limited Edition</t>
  </si>
  <si>
    <t>KWD3 S V-15/4/20 L E</t>
  </si>
  <si>
    <t>NT 22/1 Ap Te L + мешки</t>
  </si>
  <si>
    <t>BLV 36-240 Battery</t>
  </si>
  <si>
    <t>К 6 Special</t>
  </si>
  <si>
    <t>HGE 18-50 Battery</t>
  </si>
  <si>
    <t>HD 6/15-4 Classic</t>
  </si>
  <si>
    <t>VC 6 Cordless ourFamily Extra</t>
  </si>
  <si>
    <t>VC 6 Cordless ourFamily Car</t>
  </si>
</sst>
</file>

<file path=xl/styles.xml><?xml version="1.0" encoding="utf-8"?>
<styleSheet xmlns="http://schemas.openxmlformats.org/spreadsheetml/2006/main">
  <numFmts count="3">
    <numFmt numFmtId="164" formatCode="[$-F800]dddd\,\ mmmm\ dd\,\ yyyy"/>
    <numFmt numFmtId="165" formatCode="#&quot;.&quot;###&quot;-&quot;###&quot;.0&quot;"/>
    <numFmt numFmtId="166" formatCode="#&quot;.&quot;###&quot;-&quot;###&quot;.&quot;#"/>
  </numFmts>
  <fonts count="14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8"/>
      <color rgb="FF000000"/>
      <name val="Calibri"/>
      <family val="2"/>
      <charset val="204"/>
      <scheme val="minor"/>
    </font>
    <font>
      <b/>
      <sz val="16"/>
      <color rgb="FF00000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9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24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C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BFFC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1"/>
        <bgColor rgb="FF000000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Border="1"/>
    <xf numFmtId="49" fontId="1" fillId="0" borderId="1" xfId="0" applyNumberFormat="1" applyFont="1" applyBorder="1" applyAlignment="1">
      <alignment horizontal="center" vertical="center"/>
    </xf>
    <xf numFmtId="0" fontId="0" fillId="2" borderId="6" xfId="0" applyNumberFormat="1" applyFill="1" applyBorder="1" applyAlignment="1">
      <alignment horizontal="left"/>
    </xf>
    <xf numFmtId="0" fontId="0" fillId="2" borderId="11" xfId="0" applyNumberFormat="1" applyFill="1" applyBorder="1" applyAlignment="1">
      <alignment horizontal="left"/>
    </xf>
    <xf numFmtId="0" fontId="0" fillId="2" borderId="8" xfId="0" applyNumberFormat="1" applyFill="1" applyBorder="1" applyAlignment="1">
      <alignment horizontal="left"/>
    </xf>
    <xf numFmtId="0" fontId="2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left"/>
    </xf>
    <xf numFmtId="49" fontId="5" fillId="3" borderId="5" xfId="0" applyNumberFormat="1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4" borderId="9" xfId="0" applyNumberFormat="1" applyFill="1" applyBorder="1" applyAlignment="1" applyProtection="1">
      <alignment horizontal="center"/>
      <protection locked="0"/>
    </xf>
    <xf numFmtId="49" fontId="0" fillId="5" borderId="0" xfId="0" applyNumberFormat="1" applyFill="1"/>
    <xf numFmtId="0" fontId="0" fillId="5" borderId="0" xfId="0" applyFill="1"/>
    <xf numFmtId="1" fontId="0" fillId="5" borderId="0" xfId="0" applyNumberFormat="1" applyFill="1"/>
    <xf numFmtId="0" fontId="8" fillId="6" borderId="6" xfId="0" applyFont="1" applyFill="1" applyBorder="1" applyAlignment="1">
      <alignment horizontal="left"/>
    </xf>
    <xf numFmtId="0" fontId="8" fillId="6" borderId="11" xfId="0" applyFont="1" applyFill="1" applyBorder="1" applyAlignment="1">
      <alignment horizontal="left"/>
    </xf>
    <xf numFmtId="0" fontId="9" fillId="0" borderId="0" xfId="0" applyFont="1"/>
    <xf numFmtId="49" fontId="1" fillId="0" borderId="0" xfId="0" applyNumberFormat="1" applyFont="1"/>
    <xf numFmtId="0" fontId="0" fillId="0" borderId="15" xfId="0" applyBorder="1"/>
    <xf numFmtId="0" fontId="10" fillId="0" borderId="17" xfId="0" applyFont="1" applyBorder="1"/>
    <xf numFmtId="0" fontId="10" fillId="0" borderId="16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1" fontId="0" fillId="3" borderId="9" xfId="0" applyNumberFormat="1" applyFill="1" applyBorder="1" applyAlignment="1">
      <alignment horizontal="right"/>
    </xf>
    <xf numFmtId="0" fontId="0" fillId="4" borderId="17" xfId="0" applyFill="1" applyBorder="1"/>
    <xf numFmtId="0" fontId="0" fillId="4" borderId="19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10" fillId="0" borderId="16" xfId="0" applyFont="1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</xf>
    <xf numFmtId="0" fontId="13" fillId="2" borderId="6" xfId="0" applyNumberFormat="1" applyFont="1" applyFill="1" applyBorder="1" applyAlignment="1">
      <alignment horizontal="left"/>
    </xf>
    <xf numFmtId="0" fontId="1" fillId="0" borderId="2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165" fontId="1" fillId="0" borderId="2" xfId="0" applyNumberFormat="1" applyFont="1" applyBorder="1" applyAlignment="1">
      <alignment horizontal="center" vertical="center"/>
    </xf>
    <xf numFmtId="0" fontId="0" fillId="2" borderId="21" xfId="0" applyNumberFormat="1" applyFill="1" applyBorder="1" applyAlignment="1">
      <alignment horizontal="left"/>
    </xf>
    <xf numFmtId="0" fontId="1" fillId="0" borderId="1" xfId="0" applyNumberFormat="1" applyFont="1" applyBorder="1" applyAlignment="1">
      <alignment horizontal="left" vertical="center"/>
    </xf>
    <xf numFmtId="0" fontId="13" fillId="0" borderId="0" xfId="0" applyFont="1"/>
    <xf numFmtId="2" fontId="0" fillId="2" borderId="20" xfId="0" applyNumberFormat="1" applyFill="1" applyBorder="1"/>
    <xf numFmtId="2" fontId="0" fillId="2" borderId="7" xfId="0" applyNumberFormat="1" applyFill="1" applyBorder="1"/>
    <xf numFmtId="0" fontId="0" fillId="2" borderId="5" xfId="0" applyNumberFormat="1" applyFill="1" applyBorder="1" applyAlignment="1">
      <alignment horizontal="right"/>
    </xf>
    <xf numFmtId="0" fontId="13" fillId="2" borderId="5" xfId="0" applyNumberFormat="1" applyFont="1" applyFill="1" applyBorder="1" applyAlignment="1">
      <alignment horizontal="right"/>
    </xf>
    <xf numFmtId="0" fontId="0" fillId="2" borderId="10" xfId="0" applyNumberFormat="1" applyFill="1" applyBorder="1" applyAlignment="1">
      <alignment horizontal="right"/>
    </xf>
    <xf numFmtId="0" fontId="8" fillId="6" borderId="5" xfId="0" applyNumberFormat="1" applyFont="1" applyFill="1" applyBorder="1" applyAlignment="1">
      <alignment horizontal="right"/>
    </xf>
    <xf numFmtId="0" fontId="8" fillId="6" borderId="10" xfId="0" applyNumberFormat="1" applyFont="1" applyFill="1" applyBorder="1" applyAlignment="1">
      <alignment horizontal="right"/>
    </xf>
    <xf numFmtId="0" fontId="0" fillId="2" borderId="20" xfId="0" applyNumberFormat="1" applyFill="1" applyBorder="1" applyAlignment="1">
      <alignment horizontal="right"/>
    </xf>
    <xf numFmtId="166" fontId="0" fillId="0" borderId="15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0" fontId="0" fillId="5" borderId="14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49" fontId="3" fillId="3" borderId="12" xfId="0" applyNumberFormat="1" applyFont="1" applyFill="1" applyBorder="1" applyAlignment="1">
      <alignment horizontal="center" vertical="center"/>
    </xf>
    <xf numFmtId="49" fontId="3" fillId="3" borderId="13" xfId="0" applyNumberFormat="1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theme="0"/>
      </font>
    </dxf>
  </dxfs>
  <tableStyles count="0" defaultTableStyle="TableStyleMedium9" defaultPivotStyle="PivotStyleLight16"/>
  <colors>
    <mruColors>
      <color rgb="FF9BFFC8"/>
      <color rgb="FFFFFFC1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114300</xdr:colOff>
      <xdr:row>0</xdr:row>
      <xdr:rowOff>0</xdr:rowOff>
    </xdr:from>
    <xdr:to>
      <xdr:col>7</xdr:col>
      <xdr:colOff>16875</xdr:colOff>
      <xdr:row>0</xdr:row>
      <xdr:rowOff>419100</xdr:rowOff>
    </xdr:to>
    <xdr:pic>
      <xdr:nvPicPr>
        <xdr:cNvPr id="2" name="Рисунок 1" descr="1398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18163" t="17285" r="18663" b="18207"/>
        <a:stretch>
          <a:fillRect/>
        </a:stretch>
      </xdr:blipFill>
      <xdr:spPr>
        <a:xfrm>
          <a:off x="5191125" y="0"/>
          <a:ext cx="1445625" cy="4191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P172"/>
  <sheetViews>
    <sheetView tabSelected="1" workbookViewId="0">
      <selection activeCell="I3" sqref="I3"/>
    </sheetView>
  </sheetViews>
  <sheetFormatPr defaultColWidth="9.140625" defaultRowHeight="15"/>
  <cols>
    <col min="1" max="1" width="27.140625" style="1" customWidth="1"/>
    <col min="2" max="2" width="11.28515625" style="39" customWidth="1"/>
    <col min="3" max="3" width="10.28515625" style="1" customWidth="1"/>
    <col min="4" max="4" width="1.140625" style="1" customWidth="1"/>
    <col min="5" max="5" width="27.140625" style="1" customWidth="1"/>
    <col min="6" max="6" width="11.28515625" style="39" customWidth="1"/>
    <col min="7" max="7" width="10.28515625" style="1" customWidth="1"/>
    <col min="8" max="8" width="4.42578125" style="7" customWidth="1"/>
    <col min="9" max="9" width="17.42578125" style="5" customWidth="1"/>
    <col min="10" max="10" width="13.140625" customWidth="1"/>
    <col min="11" max="11" width="12.140625" customWidth="1"/>
    <col min="12" max="12" width="27.140625" style="6" customWidth="1"/>
    <col min="13" max="13" width="10" style="6" customWidth="1"/>
    <col min="14" max="14" width="12.5703125" customWidth="1"/>
    <col min="15" max="15" width="10.85546875" customWidth="1"/>
    <col min="16" max="16" width="9.28515625" customWidth="1"/>
  </cols>
  <sheetData>
    <row r="1" spans="1:16" ht="37.5" customHeight="1">
      <c r="A1" s="14">
        <f ca="1">TODAY()</f>
        <v>45257</v>
      </c>
      <c r="I1" s="58" t="s">
        <v>3</v>
      </c>
      <c r="J1" s="60" t="s">
        <v>6</v>
      </c>
      <c r="K1" s="56" t="s">
        <v>4</v>
      </c>
      <c r="L1" s="57"/>
      <c r="M1" s="19"/>
      <c r="N1" s="20"/>
      <c r="O1" s="20"/>
      <c r="P1" s="20"/>
    </row>
    <row r="2" spans="1:16" ht="30">
      <c r="A2" s="2" t="s">
        <v>0</v>
      </c>
      <c r="B2" s="38" t="s">
        <v>1</v>
      </c>
      <c r="C2" s="17" t="s">
        <v>2</v>
      </c>
      <c r="D2" s="3"/>
      <c r="E2" s="2" t="s">
        <v>0</v>
      </c>
      <c r="F2" s="38" t="s">
        <v>1</v>
      </c>
      <c r="G2" s="17" t="s">
        <v>2</v>
      </c>
      <c r="I2" s="59"/>
      <c r="J2" s="61"/>
      <c r="K2" s="15" t="s">
        <v>1</v>
      </c>
      <c r="L2" s="16" t="s">
        <v>0</v>
      </c>
      <c r="M2" s="19"/>
      <c r="N2" s="20"/>
      <c r="O2" s="20"/>
      <c r="P2" s="20"/>
    </row>
    <row r="3" spans="1:16">
      <c r="A3" s="42" t="e">
        <f>VLOOKUP(J3,$K$3:$L$172,2,0)</f>
        <v>#VALUE!</v>
      </c>
      <c r="B3" s="40" t="e">
        <f>VALUE(MID(J3,1,7))</f>
        <v>#VALUE!</v>
      </c>
      <c r="C3" s="9" t="str">
        <f>RIGHT(I3,6)</f>
        <v/>
      </c>
      <c r="E3" s="42" t="e">
        <f>VLOOKUP(J51,$K$3:$L$172,2,0)</f>
        <v>#VALUE!</v>
      </c>
      <c r="F3" s="40" t="e">
        <f>VALUE(MID(J51,1,7))</f>
        <v>#VALUE!</v>
      </c>
      <c r="G3" s="9" t="str">
        <f>RIGHT(I51,6)</f>
        <v/>
      </c>
      <c r="H3" s="13">
        <v>1</v>
      </c>
      <c r="I3" s="18"/>
      <c r="J3" s="31" t="e">
        <f>IF(LEN(I3)=14,VALUE(MID(I3,1,8)),VALUE(MID(I3,3,8)))</f>
        <v>#VALUE!</v>
      </c>
      <c r="K3" s="46">
        <v>11800800</v>
      </c>
      <c r="L3" s="10" t="s">
        <v>118</v>
      </c>
      <c r="M3" s="21"/>
      <c r="N3" s="20"/>
      <c r="O3" s="20"/>
      <c r="P3" s="20"/>
    </row>
    <row r="4" spans="1:16">
      <c r="A4" s="42" t="e">
        <f t="shared" ref="A4:A50" si="0">VLOOKUP(J4,$K$3:$L$172,2,0)</f>
        <v>#VALUE!</v>
      </c>
      <c r="B4" s="40" t="e">
        <f t="shared" ref="B4:B50" si="1">VALUE((MID(J4,1,7)))</f>
        <v>#VALUE!</v>
      </c>
      <c r="C4" s="9" t="str">
        <f t="shared" ref="C4:C50" si="2">RIGHT(I4,6)</f>
        <v/>
      </c>
      <c r="E4" s="42" t="e">
        <f t="shared" ref="E4:E50" si="3">VLOOKUP(J52,$K$3:$L$172,2,0)</f>
        <v>#VALUE!</v>
      </c>
      <c r="F4" s="40" t="e">
        <f t="shared" ref="F4:F50" si="4">VALUE(MID(J52,1,7))</f>
        <v>#VALUE!</v>
      </c>
      <c r="G4" s="9" t="str">
        <f t="shared" ref="G4:G50" si="5">RIGHT(I52,6)</f>
        <v/>
      </c>
      <c r="H4" s="13">
        <v>2</v>
      </c>
      <c r="I4" s="18"/>
      <c r="J4" s="31" t="e">
        <f t="shared" ref="J4:J67" si="6">IF(LEN(I4)=14,VALUE(MID(I4,1,8)),VALUE(MID(I4,3,8)))</f>
        <v>#VALUE!</v>
      </c>
      <c r="K4" s="46">
        <v>16794060</v>
      </c>
      <c r="L4" s="10" t="s">
        <v>116</v>
      </c>
      <c r="M4" s="54" t="s">
        <v>47</v>
      </c>
      <c r="N4" s="55"/>
      <c r="O4" s="55"/>
      <c r="P4" s="55"/>
    </row>
    <row r="5" spans="1:16">
      <c r="A5" s="42" t="e">
        <f t="shared" si="0"/>
        <v>#VALUE!</v>
      </c>
      <c r="B5" s="40" t="e">
        <f t="shared" si="1"/>
        <v>#VALUE!</v>
      </c>
      <c r="C5" s="9" t="str">
        <f t="shared" si="2"/>
        <v/>
      </c>
      <c r="E5" s="42" t="e">
        <f t="shared" si="3"/>
        <v>#VALUE!</v>
      </c>
      <c r="F5" s="40" t="e">
        <f t="shared" si="4"/>
        <v>#VALUE!</v>
      </c>
      <c r="G5" s="9" t="str">
        <f t="shared" si="5"/>
        <v/>
      </c>
      <c r="H5" s="13">
        <v>3</v>
      </c>
      <c r="I5" s="18"/>
      <c r="J5" s="31" t="e">
        <f t="shared" si="6"/>
        <v>#VALUE!</v>
      </c>
      <c r="K5" s="46">
        <v>16793000</v>
      </c>
      <c r="L5" s="10" t="s">
        <v>75</v>
      </c>
    </row>
    <row r="6" spans="1:16">
      <c r="A6" s="42" t="e">
        <f t="shared" si="0"/>
        <v>#VALUE!</v>
      </c>
      <c r="B6" s="40" t="e">
        <f t="shared" si="1"/>
        <v>#VALUE!</v>
      </c>
      <c r="C6" s="9" t="str">
        <f t="shared" si="2"/>
        <v/>
      </c>
      <c r="E6" s="42" t="e">
        <f t="shared" si="3"/>
        <v>#VALUE!</v>
      </c>
      <c r="F6" s="40" t="e">
        <f t="shared" si="4"/>
        <v>#VALUE!</v>
      </c>
      <c r="G6" s="9" t="str">
        <f t="shared" si="5"/>
        <v/>
      </c>
      <c r="H6" s="13">
        <v>4</v>
      </c>
      <c r="I6" s="18"/>
      <c r="J6" s="31" t="e">
        <f t="shared" si="6"/>
        <v>#VALUE!</v>
      </c>
      <c r="K6" s="46">
        <v>16018880</v>
      </c>
      <c r="L6" s="10" t="s">
        <v>7</v>
      </c>
      <c r="M6" s="4"/>
    </row>
    <row r="7" spans="1:16">
      <c r="A7" s="42" t="e">
        <f t="shared" si="0"/>
        <v>#VALUE!</v>
      </c>
      <c r="B7" s="40" t="e">
        <f t="shared" si="1"/>
        <v>#VALUE!</v>
      </c>
      <c r="C7" s="9" t="str">
        <f t="shared" si="2"/>
        <v/>
      </c>
      <c r="E7" s="42" t="e">
        <f t="shared" si="3"/>
        <v>#VALUE!</v>
      </c>
      <c r="F7" s="40" t="e">
        <f t="shared" si="4"/>
        <v>#VALUE!</v>
      </c>
      <c r="G7" s="9" t="str">
        <f t="shared" si="5"/>
        <v/>
      </c>
      <c r="H7" s="13">
        <v>5</v>
      </c>
      <c r="I7" s="18"/>
      <c r="J7" s="31" t="e">
        <f t="shared" si="6"/>
        <v>#VALUE!</v>
      </c>
      <c r="K7" s="46">
        <v>16375030</v>
      </c>
      <c r="L7" s="10" t="s">
        <v>8</v>
      </c>
    </row>
    <row r="8" spans="1:16">
      <c r="A8" s="42" t="e">
        <f t="shared" si="0"/>
        <v>#VALUE!</v>
      </c>
      <c r="B8" s="40" t="e">
        <f t="shared" si="1"/>
        <v>#VALUE!</v>
      </c>
      <c r="C8" s="9" t="str">
        <f t="shared" si="2"/>
        <v/>
      </c>
      <c r="E8" s="42" t="e">
        <f t="shared" si="3"/>
        <v>#VALUE!</v>
      </c>
      <c r="F8" s="40" t="e">
        <f t="shared" si="4"/>
        <v>#VALUE!</v>
      </c>
      <c r="G8" s="9" t="str">
        <f t="shared" si="5"/>
        <v/>
      </c>
      <c r="H8" s="13">
        <v>6</v>
      </c>
      <c r="I8" s="18"/>
      <c r="J8" s="31" t="e">
        <f t="shared" si="6"/>
        <v>#VALUE!</v>
      </c>
      <c r="K8" s="46">
        <v>10553010</v>
      </c>
      <c r="L8" s="10" t="s">
        <v>82</v>
      </c>
    </row>
    <row r="9" spans="1:16">
      <c r="A9" s="42" t="e">
        <f t="shared" si="0"/>
        <v>#VALUE!</v>
      </c>
      <c r="B9" s="40" t="e">
        <f t="shared" si="1"/>
        <v>#VALUE!</v>
      </c>
      <c r="C9" s="9" t="str">
        <f t="shared" si="2"/>
        <v/>
      </c>
      <c r="E9" s="42" t="e">
        <f t="shared" si="3"/>
        <v>#VALUE!</v>
      </c>
      <c r="F9" s="40" t="e">
        <f t="shared" si="4"/>
        <v>#VALUE!</v>
      </c>
      <c r="G9" s="9" t="str">
        <f t="shared" si="5"/>
        <v/>
      </c>
      <c r="H9" s="13">
        <v>7</v>
      </c>
      <c r="I9" s="18"/>
      <c r="J9" s="31" t="e">
        <f t="shared" si="6"/>
        <v>#VALUE!</v>
      </c>
      <c r="K9" s="46">
        <v>16375000</v>
      </c>
      <c r="L9" s="10" t="s">
        <v>9</v>
      </c>
    </row>
    <row r="10" spans="1:16">
      <c r="A10" s="42" t="e">
        <f t="shared" si="0"/>
        <v>#VALUE!</v>
      </c>
      <c r="B10" s="40" t="e">
        <f t="shared" si="1"/>
        <v>#VALUE!</v>
      </c>
      <c r="C10" s="9" t="str">
        <f t="shared" si="2"/>
        <v/>
      </c>
      <c r="E10" s="42" t="e">
        <f t="shared" si="3"/>
        <v>#VALUE!</v>
      </c>
      <c r="F10" s="40" t="e">
        <f t="shared" si="4"/>
        <v>#VALUE!</v>
      </c>
      <c r="G10" s="9" t="str">
        <f t="shared" si="5"/>
        <v/>
      </c>
      <c r="H10" s="13">
        <v>8</v>
      </c>
      <c r="I10" s="18"/>
      <c r="J10" s="31" t="e">
        <f t="shared" si="6"/>
        <v>#VALUE!</v>
      </c>
      <c r="K10" s="46">
        <v>11986600</v>
      </c>
      <c r="L10" s="10" t="s">
        <v>114</v>
      </c>
    </row>
    <row r="11" spans="1:16">
      <c r="A11" s="42" t="e">
        <f t="shared" si="0"/>
        <v>#VALUE!</v>
      </c>
      <c r="B11" s="40" t="e">
        <f t="shared" si="1"/>
        <v>#VALUE!</v>
      </c>
      <c r="C11" s="9" t="str">
        <f t="shared" si="2"/>
        <v/>
      </c>
      <c r="E11" s="42" t="e">
        <f t="shared" si="3"/>
        <v>#VALUE!</v>
      </c>
      <c r="F11" s="40" t="e">
        <f t="shared" si="4"/>
        <v>#VALUE!</v>
      </c>
      <c r="G11" s="9" t="str">
        <f t="shared" si="5"/>
        <v/>
      </c>
      <c r="H11" s="13">
        <v>9</v>
      </c>
      <c r="I11" s="18"/>
      <c r="J11" s="31" t="e">
        <f t="shared" si="6"/>
        <v>#VALUE!</v>
      </c>
      <c r="K11" s="46">
        <v>16009790</v>
      </c>
      <c r="L11" s="10" t="s">
        <v>91</v>
      </c>
    </row>
    <row r="12" spans="1:16">
      <c r="A12" s="42" t="e">
        <f t="shared" si="0"/>
        <v>#VALUE!</v>
      </c>
      <c r="B12" s="40" t="e">
        <f t="shared" si="1"/>
        <v>#VALUE!</v>
      </c>
      <c r="C12" s="9" t="str">
        <f t="shared" si="2"/>
        <v/>
      </c>
      <c r="E12" s="42" t="e">
        <f t="shared" si="3"/>
        <v>#VALUE!</v>
      </c>
      <c r="F12" s="40" t="e">
        <f t="shared" si="4"/>
        <v>#VALUE!</v>
      </c>
      <c r="G12" s="9" t="str">
        <f t="shared" si="5"/>
        <v/>
      </c>
      <c r="H12" s="13">
        <v>10</v>
      </c>
      <c r="I12" s="18"/>
      <c r="J12" s="31" t="e">
        <f t="shared" si="6"/>
        <v>#VALUE!</v>
      </c>
      <c r="K12" s="46">
        <v>16307500</v>
      </c>
      <c r="L12" s="10" t="s">
        <v>5</v>
      </c>
    </row>
    <row r="13" spans="1:16">
      <c r="A13" s="42" t="e">
        <f t="shared" si="0"/>
        <v>#VALUE!</v>
      </c>
      <c r="B13" s="40" t="e">
        <f t="shared" si="1"/>
        <v>#VALUE!</v>
      </c>
      <c r="C13" s="9" t="str">
        <f t="shared" si="2"/>
        <v/>
      </c>
      <c r="E13" s="42" t="e">
        <f t="shared" si="3"/>
        <v>#VALUE!</v>
      </c>
      <c r="F13" s="40" t="e">
        <f t="shared" si="4"/>
        <v>#VALUE!</v>
      </c>
      <c r="G13" s="9" t="str">
        <f t="shared" si="5"/>
        <v/>
      </c>
      <c r="H13" s="13">
        <v>11</v>
      </c>
      <c r="I13" s="18"/>
      <c r="J13" s="31" t="e">
        <f t="shared" si="6"/>
        <v>#VALUE!</v>
      </c>
      <c r="K13" s="46">
        <v>16307530</v>
      </c>
      <c r="L13" s="10" t="s">
        <v>10</v>
      </c>
    </row>
    <row r="14" spans="1:16">
      <c r="A14" s="42" t="e">
        <f t="shared" si="0"/>
        <v>#VALUE!</v>
      </c>
      <c r="B14" s="40" t="e">
        <f t="shared" si="1"/>
        <v>#VALUE!</v>
      </c>
      <c r="C14" s="9" t="str">
        <f t="shared" si="2"/>
        <v/>
      </c>
      <c r="E14" s="42" t="e">
        <f t="shared" si="3"/>
        <v>#VALUE!</v>
      </c>
      <c r="F14" s="40" t="e">
        <f t="shared" si="4"/>
        <v>#VALUE!</v>
      </c>
      <c r="G14" s="9" t="str">
        <f t="shared" si="5"/>
        <v/>
      </c>
      <c r="H14" s="13">
        <v>12</v>
      </c>
      <c r="I14" s="18"/>
      <c r="J14" s="31" t="e">
        <f t="shared" si="6"/>
        <v>#VALUE!</v>
      </c>
      <c r="K14" s="46">
        <v>13245730</v>
      </c>
      <c r="L14" s="10" t="s">
        <v>128</v>
      </c>
    </row>
    <row r="15" spans="1:16">
      <c r="A15" s="42" t="e">
        <f t="shared" si="0"/>
        <v>#VALUE!</v>
      </c>
      <c r="B15" s="40" t="e">
        <f t="shared" si="1"/>
        <v>#VALUE!</v>
      </c>
      <c r="C15" s="9" t="str">
        <f t="shared" si="2"/>
        <v/>
      </c>
      <c r="E15" s="42" t="e">
        <f t="shared" si="3"/>
        <v>#VALUE!</v>
      </c>
      <c r="F15" s="40" t="e">
        <f t="shared" si="4"/>
        <v>#VALUE!</v>
      </c>
      <c r="G15" s="9" t="str">
        <f t="shared" si="5"/>
        <v/>
      </c>
      <c r="H15" s="13">
        <v>13</v>
      </c>
      <c r="I15" s="18"/>
      <c r="J15" s="31" t="e">
        <f t="shared" si="6"/>
        <v>#VALUE!</v>
      </c>
      <c r="K15" s="46">
        <v>14285680</v>
      </c>
      <c r="L15" s="10" t="s">
        <v>88</v>
      </c>
    </row>
    <row r="16" spans="1:16">
      <c r="A16" s="42" t="e">
        <f t="shared" si="0"/>
        <v>#VALUE!</v>
      </c>
      <c r="B16" s="40" t="e">
        <f t="shared" si="1"/>
        <v>#VALUE!</v>
      </c>
      <c r="C16" s="9" t="str">
        <f t="shared" si="2"/>
        <v/>
      </c>
      <c r="E16" s="42" t="e">
        <f t="shared" si="3"/>
        <v>#VALUE!</v>
      </c>
      <c r="F16" s="40" t="e">
        <f t="shared" si="4"/>
        <v>#VALUE!</v>
      </c>
      <c r="G16" s="9" t="str">
        <f t="shared" si="5"/>
        <v/>
      </c>
      <c r="H16" s="13">
        <v>14</v>
      </c>
      <c r="I16" s="18"/>
      <c r="J16" s="31" t="e">
        <f t="shared" si="6"/>
        <v>#VALUE!</v>
      </c>
      <c r="K16" s="46">
        <v>16735000</v>
      </c>
      <c r="L16" s="10" t="s">
        <v>72</v>
      </c>
    </row>
    <row r="17" spans="1:12">
      <c r="A17" s="42" t="e">
        <f t="shared" si="0"/>
        <v>#VALUE!</v>
      </c>
      <c r="B17" s="40" t="e">
        <f t="shared" si="1"/>
        <v>#VALUE!</v>
      </c>
      <c r="C17" s="9" t="str">
        <f t="shared" si="2"/>
        <v/>
      </c>
      <c r="E17" s="42" t="e">
        <f t="shared" si="3"/>
        <v>#VALUE!</v>
      </c>
      <c r="F17" s="40" t="e">
        <f t="shared" si="4"/>
        <v>#VALUE!</v>
      </c>
      <c r="G17" s="9" t="str">
        <f t="shared" si="5"/>
        <v/>
      </c>
      <c r="H17" s="13">
        <v>15</v>
      </c>
      <c r="I17" s="18"/>
      <c r="J17" s="31" t="e">
        <f t="shared" si="6"/>
        <v>#VALUE!</v>
      </c>
      <c r="K17" s="46">
        <v>11813130</v>
      </c>
      <c r="L17" s="10" t="s">
        <v>11</v>
      </c>
    </row>
    <row r="18" spans="1:12">
      <c r="A18" s="42" t="e">
        <f t="shared" si="0"/>
        <v>#VALUE!</v>
      </c>
      <c r="B18" s="40" t="e">
        <f t="shared" si="1"/>
        <v>#VALUE!</v>
      </c>
      <c r="C18" s="9" t="str">
        <f t="shared" si="2"/>
        <v/>
      </c>
      <c r="E18" s="42" t="e">
        <f t="shared" si="3"/>
        <v>#VALUE!</v>
      </c>
      <c r="F18" s="40" t="e">
        <f t="shared" si="4"/>
        <v>#VALUE!</v>
      </c>
      <c r="G18" s="9" t="str">
        <f t="shared" si="5"/>
        <v/>
      </c>
      <c r="H18" s="13">
        <v>16</v>
      </c>
      <c r="I18" s="18"/>
      <c r="J18" s="31" t="e">
        <f t="shared" si="6"/>
        <v>#VALUE!</v>
      </c>
      <c r="K18" s="46">
        <v>15209600</v>
      </c>
      <c r="L18" s="10" t="s">
        <v>97</v>
      </c>
    </row>
    <row r="19" spans="1:12">
      <c r="A19" s="42" t="e">
        <f t="shared" si="0"/>
        <v>#VALUE!</v>
      </c>
      <c r="B19" s="40" t="e">
        <f t="shared" si="1"/>
        <v>#VALUE!</v>
      </c>
      <c r="C19" s="9" t="str">
        <f t="shared" si="2"/>
        <v/>
      </c>
      <c r="E19" s="42" t="e">
        <f t="shared" si="3"/>
        <v>#VALUE!</v>
      </c>
      <c r="F19" s="40" t="e">
        <f t="shared" si="4"/>
        <v>#VALUE!</v>
      </c>
      <c r="G19" s="9" t="str">
        <f t="shared" si="5"/>
        <v/>
      </c>
      <c r="H19" s="13">
        <v>17</v>
      </c>
      <c r="I19" s="18"/>
      <c r="J19" s="31" t="e">
        <f t="shared" si="6"/>
        <v>#VALUE!</v>
      </c>
      <c r="K19" s="46">
        <v>14470530</v>
      </c>
      <c r="L19" s="10" t="s">
        <v>12</v>
      </c>
    </row>
    <row r="20" spans="1:12">
      <c r="A20" s="42" t="e">
        <f t="shared" si="0"/>
        <v>#VALUE!</v>
      </c>
      <c r="B20" s="40" t="e">
        <f t="shared" si="1"/>
        <v>#VALUE!</v>
      </c>
      <c r="C20" s="9" t="str">
        <f t="shared" si="2"/>
        <v/>
      </c>
      <c r="E20" s="42" t="e">
        <f t="shared" si="3"/>
        <v>#VALUE!</v>
      </c>
      <c r="F20" s="40" t="e">
        <f t="shared" si="4"/>
        <v>#VALUE!</v>
      </c>
      <c r="G20" s="9" t="str">
        <f t="shared" si="5"/>
        <v/>
      </c>
      <c r="H20" s="13">
        <v>18</v>
      </c>
      <c r="I20" s="18"/>
      <c r="J20" s="31" t="e">
        <f t="shared" si="6"/>
        <v>#VALUE!</v>
      </c>
      <c r="K20" s="46">
        <v>14470500</v>
      </c>
      <c r="L20" s="10" t="s">
        <v>13</v>
      </c>
    </row>
    <row r="21" spans="1:12">
      <c r="A21" s="42" t="e">
        <f t="shared" si="0"/>
        <v>#VALUE!</v>
      </c>
      <c r="B21" s="40" t="e">
        <f t="shared" si="1"/>
        <v>#VALUE!</v>
      </c>
      <c r="C21" s="9" t="str">
        <f t="shared" si="2"/>
        <v/>
      </c>
      <c r="E21" s="42" t="e">
        <f t="shared" si="3"/>
        <v>#VALUE!</v>
      </c>
      <c r="F21" s="40" t="e">
        <f t="shared" si="4"/>
        <v>#VALUE!</v>
      </c>
      <c r="G21" s="9" t="str">
        <f t="shared" si="5"/>
        <v/>
      </c>
      <c r="H21" s="13">
        <v>19</v>
      </c>
      <c r="I21" s="18"/>
      <c r="J21" s="31" t="e">
        <f t="shared" si="6"/>
        <v>#VALUE!</v>
      </c>
      <c r="K21" s="46">
        <v>13172300</v>
      </c>
      <c r="L21" s="10" t="s">
        <v>117</v>
      </c>
    </row>
    <row r="22" spans="1:12">
      <c r="A22" s="42" t="e">
        <f t="shared" si="0"/>
        <v>#VALUE!</v>
      </c>
      <c r="B22" s="40" t="e">
        <f t="shared" si="1"/>
        <v>#VALUE!</v>
      </c>
      <c r="C22" s="9" t="str">
        <f t="shared" si="2"/>
        <v/>
      </c>
      <c r="E22" s="42" t="e">
        <f t="shared" si="3"/>
        <v>#VALUE!</v>
      </c>
      <c r="F22" s="40" t="e">
        <f t="shared" si="4"/>
        <v>#VALUE!</v>
      </c>
      <c r="G22" s="9" t="str">
        <f t="shared" si="5"/>
        <v/>
      </c>
      <c r="H22" s="13">
        <v>20</v>
      </c>
      <c r="I22" s="18"/>
      <c r="J22" s="31" t="e">
        <f t="shared" si="6"/>
        <v>#VALUE!</v>
      </c>
      <c r="K22" s="46">
        <v>13172000</v>
      </c>
      <c r="L22" s="10" t="s">
        <v>107</v>
      </c>
    </row>
    <row r="23" spans="1:12">
      <c r="A23" s="42" t="e">
        <f t="shared" si="0"/>
        <v>#VALUE!</v>
      </c>
      <c r="B23" s="40" t="e">
        <f t="shared" si="1"/>
        <v>#VALUE!</v>
      </c>
      <c r="C23" s="9" t="str">
        <f t="shared" si="2"/>
        <v/>
      </c>
      <c r="E23" s="42" t="e">
        <f t="shared" si="3"/>
        <v>#VALUE!</v>
      </c>
      <c r="F23" s="40" t="e">
        <f t="shared" si="4"/>
        <v>#VALUE!</v>
      </c>
      <c r="G23" s="9" t="str">
        <f t="shared" si="5"/>
        <v/>
      </c>
      <c r="H23" s="13">
        <v>21</v>
      </c>
      <c r="I23" s="18"/>
      <c r="J23" s="31" t="e">
        <f t="shared" si="6"/>
        <v>#VALUE!</v>
      </c>
      <c r="K23" s="46">
        <v>15209300</v>
      </c>
      <c r="L23" s="10" t="s">
        <v>14</v>
      </c>
    </row>
    <row r="24" spans="1:12">
      <c r="A24" s="42" t="e">
        <f t="shared" si="0"/>
        <v>#VALUE!</v>
      </c>
      <c r="B24" s="40" t="e">
        <f t="shared" si="1"/>
        <v>#VALUE!</v>
      </c>
      <c r="C24" s="9" t="str">
        <f t="shared" si="2"/>
        <v/>
      </c>
      <c r="E24" s="42" t="e">
        <f t="shared" si="3"/>
        <v>#VALUE!</v>
      </c>
      <c r="F24" s="40" t="e">
        <f t="shared" si="4"/>
        <v>#VALUE!</v>
      </c>
      <c r="G24" s="9" t="str">
        <f t="shared" si="5"/>
        <v/>
      </c>
      <c r="H24" s="13">
        <v>22</v>
      </c>
      <c r="I24" s="18"/>
      <c r="J24" s="31" t="e">
        <f t="shared" si="6"/>
        <v>#VALUE!</v>
      </c>
      <c r="K24" s="46">
        <v>14441000</v>
      </c>
      <c r="L24" s="10" t="s">
        <v>121</v>
      </c>
    </row>
    <row r="25" spans="1:12">
      <c r="A25" s="42" t="e">
        <f t="shared" si="0"/>
        <v>#VALUE!</v>
      </c>
      <c r="B25" s="40" t="e">
        <f t="shared" si="1"/>
        <v>#VALUE!</v>
      </c>
      <c r="C25" s="9" t="str">
        <f t="shared" si="2"/>
        <v/>
      </c>
      <c r="E25" s="42" t="e">
        <f t="shared" si="3"/>
        <v>#VALUE!</v>
      </c>
      <c r="F25" s="40" t="e">
        <f t="shared" si="4"/>
        <v>#VALUE!</v>
      </c>
      <c r="G25" s="9" t="str">
        <f t="shared" si="5"/>
        <v/>
      </c>
      <c r="H25" s="13">
        <v>23</v>
      </c>
      <c r="I25" s="18"/>
      <c r="J25" s="31" t="e">
        <f t="shared" si="6"/>
        <v>#VALUE!</v>
      </c>
      <c r="K25" s="46">
        <v>13673080</v>
      </c>
      <c r="L25" s="10" t="s">
        <v>15</v>
      </c>
    </row>
    <row r="26" spans="1:12">
      <c r="A26" s="42" t="e">
        <f t="shared" si="0"/>
        <v>#VALUE!</v>
      </c>
      <c r="B26" s="40" t="e">
        <f t="shared" si="1"/>
        <v>#VALUE!</v>
      </c>
      <c r="C26" s="9" t="str">
        <f t="shared" si="2"/>
        <v/>
      </c>
      <c r="E26" s="42" t="e">
        <f t="shared" si="3"/>
        <v>#VALUE!</v>
      </c>
      <c r="F26" s="40" t="e">
        <f t="shared" si="4"/>
        <v>#VALUE!</v>
      </c>
      <c r="G26" s="9" t="str">
        <f t="shared" si="5"/>
        <v/>
      </c>
      <c r="H26" s="13">
        <v>24</v>
      </c>
      <c r="I26" s="18"/>
      <c r="J26" s="31" t="e">
        <f t="shared" si="6"/>
        <v>#VALUE!</v>
      </c>
      <c r="K26" s="46">
        <v>15249240</v>
      </c>
      <c r="L26" s="10" t="s">
        <v>16</v>
      </c>
    </row>
    <row r="27" spans="1:12">
      <c r="A27" s="42" t="e">
        <f t="shared" si="0"/>
        <v>#VALUE!</v>
      </c>
      <c r="B27" s="40" t="e">
        <f t="shared" si="1"/>
        <v>#VALUE!</v>
      </c>
      <c r="C27" s="9" t="str">
        <f t="shared" si="2"/>
        <v/>
      </c>
      <c r="E27" s="42" t="e">
        <f t="shared" si="3"/>
        <v>#VALUE!</v>
      </c>
      <c r="F27" s="40" t="e">
        <f t="shared" si="4"/>
        <v>#VALUE!</v>
      </c>
      <c r="G27" s="9" t="str">
        <f t="shared" si="5"/>
        <v/>
      </c>
      <c r="H27" s="13">
        <v>25</v>
      </c>
      <c r="I27" s="18"/>
      <c r="J27" s="31" t="e">
        <f t="shared" si="6"/>
        <v>#VALUE!</v>
      </c>
      <c r="K27" s="46">
        <v>12869220</v>
      </c>
      <c r="L27" s="10" t="s">
        <v>17</v>
      </c>
    </row>
    <row r="28" spans="1:12">
      <c r="A28" s="42" t="e">
        <f t="shared" si="0"/>
        <v>#VALUE!</v>
      </c>
      <c r="B28" s="40" t="e">
        <f t="shared" si="1"/>
        <v>#VALUE!</v>
      </c>
      <c r="C28" s="9" t="str">
        <f t="shared" si="2"/>
        <v/>
      </c>
      <c r="E28" s="42" t="e">
        <f t="shared" si="3"/>
        <v>#VALUE!</v>
      </c>
      <c r="F28" s="40" t="e">
        <f t="shared" si="4"/>
        <v>#VALUE!</v>
      </c>
      <c r="G28" s="9" t="str">
        <f t="shared" si="5"/>
        <v/>
      </c>
      <c r="H28" s="13">
        <v>26</v>
      </c>
      <c r="I28" s="18"/>
      <c r="J28" s="31" t="e">
        <f t="shared" si="6"/>
        <v>#VALUE!</v>
      </c>
      <c r="K28" s="46">
        <v>12869160</v>
      </c>
      <c r="L28" s="10" t="s">
        <v>18</v>
      </c>
    </row>
    <row r="29" spans="1:12">
      <c r="A29" s="42" t="e">
        <f t="shared" si="0"/>
        <v>#VALUE!</v>
      </c>
      <c r="B29" s="40" t="e">
        <f t="shared" si="1"/>
        <v>#VALUE!</v>
      </c>
      <c r="C29" s="9" t="str">
        <f t="shared" si="2"/>
        <v/>
      </c>
      <c r="E29" s="42" t="e">
        <f t="shared" si="3"/>
        <v>#VALUE!</v>
      </c>
      <c r="F29" s="40" t="e">
        <f t="shared" si="4"/>
        <v>#VALUE!</v>
      </c>
      <c r="G29" s="9" t="str">
        <f t="shared" si="5"/>
        <v/>
      </c>
      <c r="H29" s="13">
        <v>27</v>
      </c>
      <c r="I29" s="18"/>
      <c r="J29" s="31" t="e">
        <f t="shared" si="6"/>
        <v>#VALUE!</v>
      </c>
      <c r="K29" s="46">
        <v>15163750</v>
      </c>
      <c r="L29" s="10" t="s">
        <v>62</v>
      </c>
    </row>
    <row r="30" spans="1:12">
      <c r="A30" s="42" t="e">
        <f t="shared" si="0"/>
        <v>#VALUE!</v>
      </c>
      <c r="B30" s="40" t="e">
        <f t="shared" si="1"/>
        <v>#VALUE!</v>
      </c>
      <c r="C30" s="9" t="str">
        <f t="shared" si="2"/>
        <v/>
      </c>
      <c r="E30" s="42" t="e">
        <f t="shared" si="3"/>
        <v>#VALUE!</v>
      </c>
      <c r="F30" s="40" t="e">
        <f t="shared" si="4"/>
        <v>#VALUE!</v>
      </c>
      <c r="G30" s="9" t="str">
        <f t="shared" si="5"/>
        <v/>
      </c>
      <c r="H30" s="13">
        <v>28</v>
      </c>
      <c r="I30" s="18"/>
      <c r="J30" s="31" t="e">
        <f t="shared" si="6"/>
        <v>#VALUE!</v>
      </c>
      <c r="K30" s="46">
        <v>15163320</v>
      </c>
      <c r="L30" s="10" t="s">
        <v>60</v>
      </c>
    </row>
    <row r="31" spans="1:12">
      <c r="A31" s="42" t="e">
        <f t="shared" si="0"/>
        <v>#VALUE!</v>
      </c>
      <c r="B31" s="40" t="e">
        <f t="shared" si="1"/>
        <v>#VALUE!</v>
      </c>
      <c r="C31" s="9" t="str">
        <f t="shared" si="2"/>
        <v/>
      </c>
      <c r="E31" s="42" t="e">
        <f t="shared" si="3"/>
        <v>#VALUE!</v>
      </c>
      <c r="F31" s="40" t="e">
        <f t="shared" si="4"/>
        <v>#VALUE!</v>
      </c>
      <c r="G31" s="9" t="str">
        <f t="shared" si="5"/>
        <v/>
      </c>
      <c r="H31" s="13">
        <v>29</v>
      </c>
      <c r="I31" s="18"/>
      <c r="J31" s="31" t="e">
        <f t="shared" si="6"/>
        <v>#VALUE!</v>
      </c>
      <c r="K31" s="46">
        <v>15163000</v>
      </c>
      <c r="L31" s="10" t="s">
        <v>19</v>
      </c>
    </row>
    <row r="32" spans="1:12">
      <c r="A32" s="42" t="e">
        <f t="shared" si="0"/>
        <v>#VALUE!</v>
      </c>
      <c r="B32" s="40" t="e">
        <f t="shared" si="1"/>
        <v>#VALUE!</v>
      </c>
      <c r="C32" s="9" t="str">
        <f t="shared" si="2"/>
        <v/>
      </c>
      <c r="E32" s="42" t="e">
        <f t="shared" si="3"/>
        <v>#VALUE!</v>
      </c>
      <c r="F32" s="40" t="e">
        <f t="shared" si="4"/>
        <v>#VALUE!</v>
      </c>
      <c r="G32" s="9" t="str">
        <f t="shared" si="5"/>
        <v/>
      </c>
      <c r="H32" s="13">
        <v>30</v>
      </c>
      <c r="I32" s="18"/>
      <c r="J32" s="31" t="e">
        <f t="shared" si="6"/>
        <v>#VALUE!</v>
      </c>
      <c r="K32" s="46">
        <v>15125500</v>
      </c>
      <c r="L32" s="10" t="s">
        <v>58</v>
      </c>
    </row>
    <row r="33" spans="1:12">
      <c r="A33" s="42" t="e">
        <f t="shared" si="0"/>
        <v>#VALUE!</v>
      </c>
      <c r="B33" s="40" t="e">
        <f t="shared" si="1"/>
        <v>#VALUE!</v>
      </c>
      <c r="C33" s="9" t="str">
        <f t="shared" si="2"/>
        <v/>
      </c>
      <c r="E33" s="42" t="e">
        <f t="shared" si="3"/>
        <v>#VALUE!</v>
      </c>
      <c r="F33" s="40" t="e">
        <f t="shared" si="4"/>
        <v>#VALUE!</v>
      </c>
      <c r="G33" s="9" t="str">
        <f t="shared" si="5"/>
        <v/>
      </c>
      <c r="H33" s="13">
        <v>31</v>
      </c>
      <c r="I33" s="18"/>
      <c r="J33" s="31" t="e">
        <f t="shared" si="6"/>
        <v>#VALUE!</v>
      </c>
      <c r="K33" s="46">
        <v>15120630</v>
      </c>
      <c r="L33" s="10" t="s">
        <v>56</v>
      </c>
    </row>
    <row r="34" spans="1:12">
      <c r="A34" s="42" t="e">
        <f t="shared" si="0"/>
        <v>#VALUE!</v>
      </c>
      <c r="B34" s="40" t="e">
        <f t="shared" si="1"/>
        <v>#VALUE!</v>
      </c>
      <c r="C34" s="9" t="str">
        <f t="shared" si="2"/>
        <v/>
      </c>
      <c r="E34" s="42" t="e">
        <f t="shared" si="3"/>
        <v>#VALUE!</v>
      </c>
      <c r="F34" s="40" t="e">
        <f t="shared" si="4"/>
        <v>#VALUE!</v>
      </c>
      <c r="G34" s="9" t="str">
        <f t="shared" si="5"/>
        <v/>
      </c>
      <c r="H34" s="13">
        <v>32</v>
      </c>
      <c r="I34" s="18"/>
      <c r="J34" s="31" t="e">
        <f t="shared" si="6"/>
        <v>#VALUE!</v>
      </c>
      <c r="K34" s="46">
        <v>15120900</v>
      </c>
      <c r="L34" s="10" t="s">
        <v>51</v>
      </c>
    </row>
    <row r="35" spans="1:12">
      <c r="A35" s="42" t="e">
        <f t="shared" si="0"/>
        <v>#VALUE!</v>
      </c>
      <c r="B35" s="40" t="e">
        <f t="shared" si="1"/>
        <v>#VALUE!</v>
      </c>
      <c r="C35" s="9" t="str">
        <f t="shared" si="2"/>
        <v/>
      </c>
      <c r="E35" s="42" t="e">
        <f t="shared" si="3"/>
        <v>#VALUE!</v>
      </c>
      <c r="F35" s="40" t="e">
        <f t="shared" si="4"/>
        <v>#VALUE!</v>
      </c>
      <c r="G35" s="9" t="str">
        <f t="shared" si="5"/>
        <v/>
      </c>
      <c r="H35" s="13">
        <v>33</v>
      </c>
      <c r="I35" s="18"/>
      <c r="J35" s="31" t="e">
        <f t="shared" si="6"/>
        <v>#VALUE!</v>
      </c>
      <c r="K35" s="46">
        <v>15130500</v>
      </c>
      <c r="L35" s="10" t="s">
        <v>20</v>
      </c>
    </row>
    <row r="36" spans="1:12">
      <c r="A36" s="42" t="e">
        <f t="shared" si="0"/>
        <v>#VALUE!</v>
      </c>
      <c r="B36" s="40" t="e">
        <f t="shared" si="1"/>
        <v>#VALUE!</v>
      </c>
      <c r="C36" s="9" t="str">
        <f t="shared" si="2"/>
        <v/>
      </c>
      <c r="E36" s="42" t="e">
        <f t="shared" si="3"/>
        <v>#VALUE!</v>
      </c>
      <c r="F36" s="40" t="e">
        <f t="shared" si="4"/>
        <v>#VALUE!</v>
      </c>
      <c r="G36" s="9" t="str">
        <f t="shared" si="5"/>
        <v/>
      </c>
      <c r="H36" s="13">
        <v>34</v>
      </c>
      <c r="I36" s="18"/>
      <c r="J36" s="31" t="e">
        <f t="shared" si="6"/>
        <v>#VALUE!</v>
      </c>
      <c r="K36" s="46">
        <v>15124500</v>
      </c>
      <c r="L36" s="10" t="s">
        <v>49</v>
      </c>
    </row>
    <row r="37" spans="1:12">
      <c r="A37" s="42" t="e">
        <f t="shared" si="0"/>
        <v>#VALUE!</v>
      </c>
      <c r="B37" s="40" t="e">
        <f t="shared" si="1"/>
        <v>#VALUE!</v>
      </c>
      <c r="C37" s="9" t="str">
        <f t="shared" si="2"/>
        <v/>
      </c>
      <c r="E37" s="42" t="e">
        <f t="shared" si="3"/>
        <v>#VALUE!</v>
      </c>
      <c r="F37" s="40" t="e">
        <f t="shared" si="4"/>
        <v>#VALUE!</v>
      </c>
      <c r="G37" s="9" t="str">
        <f t="shared" si="5"/>
        <v/>
      </c>
      <c r="H37" s="13">
        <v>35</v>
      </c>
      <c r="I37" s="18"/>
      <c r="J37" s="31" t="e">
        <f t="shared" si="6"/>
        <v>#VALUE!</v>
      </c>
      <c r="K37" s="46">
        <v>15124800</v>
      </c>
      <c r="L37" s="10" t="s">
        <v>21</v>
      </c>
    </row>
    <row r="38" spans="1:12">
      <c r="A38" s="42" t="e">
        <f t="shared" si="0"/>
        <v>#VALUE!</v>
      </c>
      <c r="B38" s="40" t="e">
        <f t="shared" si="1"/>
        <v>#VALUE!</v>
      </c>
      <c r="C38" s="9" t="str">
        <f t="shared" si="2"/>
        <v/>
      </c>
      <c r="E38" s="42" t="e">
        <f t="shared" si="3"/>
        <v>#VALUE!</v>
      </c>
      <c r="F38" s="40" t="e">
        <f t="shared" si="4"/>
        <v>#VALUE!</v>
      </c>
      <c r="G38" s="9" t="str">
        <f t="shared" si="5"/>
        <v/>
      </c>
      <c r="H38" s="13">
        <v>36</v>
      </c>
      <c r="I38" s="18"/>
      <c r="J38" s="31" t="e">
        <f t="shared" si="6"/>
        <v>#VALUE!</v>
      </c>
      <c r="K38" s="46">
        <v>14394200</v>
      </c>
      <c r="L38" s="10" t="s">
        <v>22</v>
      </c>
    </row>
    <row r="39" spans="1:12">
      <c r="A39" s="42" t="e">
        <f t="shared" si="0"/>
        <v>#VALUE!</v>
      </c>
      <c r="B39" s="40" t="e">
        <f t="shared" si="1"/>
        <v>#VALUE!</v>
      </c>
      <c r="C39" s="9" t="str">
        <f t="shared" si="2"/>
        <v/>
      </c>
      <c r="E39" s="42" t="e">
        <f t="shared" si="3"/>
        <v>#VALUE!</v>
      </c>
      <c r="F39" s="40" t="e">
        <f t="shared" si="4"/>
        <v>#VALUE!</v>
      </c>
      <c r="G39" s="9" t="str">
        <f t="shared" si="5"/>
        <v/>
      </c>
      <c r="H39" s="13">
        <v>37</v>
      </c>
      <c r="I39" s="18"/>
      <c r="J39" s="31" t="e">
        <f t="shared" si="6"/>
        <v>#VALUE!</v>
      </c>
      <c r="K39" s="46">
        <v>15271600</v>
      </c>
      <c r="L39" s="10" t="s">
        <v>76</v>
      </c>
    </row>
    <row r="40" spans="1:12">
      <c r="A40" s="42" t="e">
        <f t="shared" si="0"/>
        <v>#VALUE!</v>
      </c>
      <c r="B40" s="40" t="e">
        <f t="shared" si="1"/>
        <v>#VALUE!</v>
      </c>
      <c r="C40" s="9" t="str">
        <f t="shared" si="2"/>
        <v/>
      </c>
      <c r="E40" s="42" t="e">
        <f t="shared" si="3"/>
        <v>#VALUE!</v>
      </c>
      <c r="F40" s="40" t="e">
        <f t="shared" si="4"/>
        <v>#VALUE!</v>
      </c>
      <c r="G40" s="9" t="str">
        <f t="shared" si="5"/>
        <v/>
      </c>
      <c r="H40" s="13">
        <v>38</v>
      </c>
      <c r="I40" s="18"/>
      <c r="J40" s="31" t="e">
        <f t="shared" si="6"/>
        <v>#VALUE!</v>
      </c>
      <c r="K40" s="46">
        <v>15124890</v>
      </c>
      <c r="L40" s="10" t="s">
        <v>61</v>
      </c>
    </row>
    <row r="41" spans="1:12">
      <c r="A41" s="42" t="e">
        <f t="shared" si="0"/>
        <v>#VALUE!</v>
      </c>
      <c r="B41" s="40" t="e">
        <f t="shared" si="1"/>
        <v>#VALUE!</v>
      </c>
      <c r="C41" s="9" t="str">
        <f t="shared" si="2"/>
        <v/>
      </c>
      <c r="E41" s="42" t="e">
        <f t="shared" si="3"/>
        <v>#VALUE!</v>
      </c>
      <c r="F41" s="40" t="e">
        <f t="shared" si="4"/>
        <v>#VALUE!</v>
      </c>
      <c r="G41" s="9" t="str">
        <f t="shared" si="5"/>
        <v/>
      </c>
      <c r="H41" s="13">
        <v>39</v>
      </c>
      <c r="I41" s="18"/>
      <c r="J41" s="31" t="e">
        <f t="shared" si="6"/>
        <v>#VALUE!</v>
      </c>
      <c r="K41" s="46">
        <v>15125200</v>
      </c>
      <c r="L41" s="10" t="s">
        <v>23</v>
      </c>
    </row>
    <row r="42" spans="1:12">
      <c r="A42" s="42" t="e">
        <f t="shared" si="0"/>
        <v>#VALUE!</v>
      </c>
      <c r="B42" s="40" t="e">
        <f t="shared" si="1"/>
        <v>#VALUE!</v>
      </c>
      <c r="C42" s="9" t="str">
        <f t="shared" si="2"/>
        <v/>
      </c>
      <c r="E42" s="42" t="e">
        <f t="shared" si="3"/>
        <v>#VALUE!</v>
      </c>
      <c r="F42" s="40" t="e">
        <f t="shared" si="4"/>
        <v>#VALUE!</v>
      </c>
      <c r="G42" s="9" t="str">
        <f t="shared" si="5"/>
        <v/>
      </c>
      <c r="H42" s="13">
        <v>40</v>
      </c>
      <c r="I42" s="18"/>
      <c r="J42" s="31" t="e">
        <f t="shared" si="6"/>
        <v>#VALUE!</v>
      </c>
      <c r="K42" s="46">
        <v>15124900</v>
      </c>
      <c r="L42" s="10" t="s">
        <v>46</v>
      </c>
    </row>
    <row r="43" spans="1:12">
      <c r="A43" s="42" t="e">
        <f t="shared" si="0"/>
        <v>#VALUE!</v>
      </c>
      <c r="B43" s="40" t="e">
        <f t="shared" si="1"/>
        <v>#VALUE!</v>
      </c>
      <c r="C43" s="9" t="str">
        <f t="shared" si="2"/>
        <v/>
      </c>
      <c r="E43" s="42" t="e">
        <f t="shared" si="3"/>
        <v>#VALUE!</v>
      </c>
      <c r="F43" s="40" t="e">
        <f t="shared" si="4"/>
        <v>#VALUE!</v>
      </c>
      <c r="G43" s="9" t="str">
        <f t="shared" si="5"/>
        <v/>
      </c>
      <c r="H43" s="13">
        <v>41</v>
      </c>
      <c r="I43" s="18"/>
      <c r="J43" s="31" t="e">
        <f t="shared" si="6"/>
        <v>#VALUE!</v>
      </c>
      <c r="K43" s="46">
        <v>15125570</v>
      </c>
      <c r="L43" s="10" t="s">
        <v>87</v>
      </c>
    </row>
    <row r="44" spans="1:12">
      <c r="A44" s="42" t="e">
        <f t="shared" si="0"/>
        <v>#VALUE!</v>
      </c>
      <c r="B44" s="40" t="e">
        <f t="shared" si="1"/>
        <v>#VALUE!</v>
      </c>
      <c r="C44" s="9" t="str">
        <f t="shared" si="2"/>
        <v/>
      </c>
      <c r="E44" s="42" t="e">
        <f t="shared" si="3"/>
        <v>#VALUE!</v>
      </c>
      <c r="F44" s="40" t="e">
        <f t="shared" si="4"/>
        <v>#VALUE!</v>
      </c>
      <c r="G44" s="9" t="str">
        <f t="shared" si="5"/>
        <v/>
      </c>
      <c r="H44" s="13">
        <v>42</v>
      </c>
      <c r="I44" s="18"/>
      <c r="J44" s="31" t="e">
        <f t="shared" si="6"/>
        <v>#VALUE!</v>
      </c>
      <c r="K44" s="46">
        <v>16455340</v>
      </c>
      <c r="L44" s="10" t="s">
        <v>106</v>
      </c>
    </row>
    <row r="45" spans="1:12">
      <c r="A45" s="42" t="e">
        <f t="shared" si="0"/>
        <v>#VALUE!</v>
      </c>
      <c r="B45" s="40" t="e">
        <f t="shared" si="1"/>
        <v>#VALUE!</v>
      </c>
      <c r="C45" s="9" t="str">
        <f t="shared" si="2"/>
        <v/>
      </c>
      <c r="E45" s="42" t="e">
        <f t="shared" si="3"/>
        <v>#VALUE!</v>
      </c>
      <c r="F45" s="40" t="e">
        <f t="shared" si="4"/>
        <v>#VALUE!</v>
      </c>
      <c r="G45" s="9" t="str">
        <f t="shared" si="5"/>
        <v/>
      </c>
      <c r="H45" s="13">
        <v>43</v>
      </c>
      <c r="I45" s="18"/>
      <c r="J45" s="31" t="e">
        <f t="shared" si="6"/>
        <v>#VALUE!</v>
      </c>
      <c r="K45" s="46">
        <v>16455020</v>
      </c>
      <c r="L45" s="10" t="s">
        <v>24</v>
      </c>
    </row>
    <row r="46" spans="1:12">
      <c r="A46" s="42" t="e">
        <f t="shared" si="0"/>
        <v>#VALUE!</v>
      </c>
      <c r="B46" s="40" t="e">
        <f t="shared" si="1"/>
        <v>#VALUE!</v>
      </c>
      <c r="C46" s="9" t="str">
        <f t="shared" si="2"/>
        <v/>
      </c>
      <c r="E46" s="42" t="e">
        <f t="shared" si="3"/>
        <v>#VALUE!</v>
      </c>
      <c r="F46" s="40" t="e">
        <f t="shared" si="4"/>
        <v>#VALUE!</v>
      </c>
      <c r="G46" s="9" t="str">
        <f t="shared" si="5"/>
        <v/>
      </c>
      <c r="H46" s="13">
        <v>44</v>
      </c>
      <c r="I46" s="18"/>
      <c r="J46" s="31" t="e">
        <f t="shared" si="6"/>
        <v>#VALUE!</v>
      </c>
      <c r="K46" s="46">
        <v>16455030</v>
      </c>
      <c r="L46" s="10" t="s">
        <v>25</v>
      </c>
    </row>
    <row r="47" spans="1:12">
      <c r="A47" s="42" t="e">
        <f t="shared" si="0"/>
        <v>#VALUE!</v>
      </c>
      <c r="B47" s="40" t="e">
        <f t="shared" si="1"/>
        <v>#VALUE!</v>
      </c>
      <c r="C47" s="9" t="str">
        <f t="shared" si="2"/>
        <v/>
      </c>
      <c r="E47" s="42" t="e">
        <f t="shared" si="3"/>
        <v>#VALUE!</v>
      </c>
      <c r="F47" s="40" t="e">
        <f t="shared" si="4"/>
        <v>#VALUE!</v>
      </c>
      <c r="G47" s="9" t="str">
        <f t="shared" si="5"/>
        <v/>
      </c>
      <c r="H47" s="13">
        <v>45</v>
      </c>
      <c r="I47" s="18"/>
      <c r="J47" s="31" t="e">
        <f t="shared" si="6"/>
        <v>#VALUE!</v>
      </c>
      <c r="K47" s="46">
        <v>16455040</v>
      </c>
      <c r="L47" s="10" t="s">
        <v>26</v>
      </c>
    </row>
    <row r="48" spans="1:12">
      <c r="A48" s="42" t="e">
        <f t="shared" si="0"/>
        <v>#VALUE!</v>
      </c>
      <c r="B48" s="40" t="e">
        <f t="shared" si="1"/>
        <v>#VALUE!</v>
      </c>
      <c r="C48" s="9" t="str">
        <f t="shared" si="2"/>
        <v/>
      </c>
      <c r="E48" s="42" t="e">
        <f t="shared" si="3"/>
        <v>#VALUE!</v>
      </c>
      <c r="F48" s="40" t="e">
        <f t="shared" si="4"/>
        <v>#VALUE!</v>
      </c>
      <c r="G48" s="9" t="str">
        <f t="shared" si="5"/>
        <v/>
      </c>
      <c r="H48" s="13">
        <v>46</v>
      </c>
      <c r="I48" s="18"/>
      <c r="J48" s="31" t="e">
        <f t="shared" si="6"/>
        <v>#VALUE!</v>
      </c>
      <c r="K48" s="46">
        <v>16283600</v>
      </c>
      <c r="L48" s="10" t="s">
        <v>115</v>
      </c>
    </row>
    <row r="49" spans="1:12">
      <c r="A49" s="42" t="e">
        <f t="shared" si="0"/>
        <v>#VALUE!</v>
      </c>
      <c r="B49" s="40" t="e">
        <f t="shared" si="1"/>
        <v>#VALUE!</v>
      </c>
      <c r="C49" s="9" t="str">
        <f t="shared" si="2"/>
        <v/>
      </c>
      <c r="E49" s="42" t="e">
        <f t="shared" si="3"/>
        <v>#VALUE!</v>
      </c>
      <c r="F49" s="40" t="e">
        <f t="shared" si="4"/>
        <v>#VALUE!</v>
      </c>
      <c r="G49" s="9" t="str">
        <f t="shared" si="5"/>
        <v/>
      </c>
      <c r="H49" s="13">
        <v>47</v>
      </c>
      <c r="I49" s="18"/>
      <c r="J49" s="31" t="e">
        <f t="shared" si="6"/>
        <v>#VALUE!</v>
      </c>
      <c r="K49" s="46">
        <v>16455010</v>
      </c>
      <c r="L49" s="10" t="s">
        <v>27</v>
      </c>
    </row>
    <row r="50" spans="1:12">
      <c r="A50" s="42" t="e">
        <f t="shared" si="0"/>
        <v>#VALUE!</v>
      </c>
      <c r="B50" s="40" t="e">
        <f t="shared" si="1"/>
        <v>#VALUE!</v>
      </c>
      <c r="C50" s="9" t="str">
        <f t="shared" si="2"/>
        <v/>
      </c>
      <c r="E50" s="42" t="e">
        <f t="shared" si="3"/>
        <v>#VALUE!</v>
      </c>
      <c r="F50" s="40" t="e">
        <f t="shared" si="4"/>
        <v>#VALUE!</v>
      </c>
      <c r="G50" s="9" t="str">
        <f t="shared" si="5"/>
        <v/>
      </c>
      <c r="H50" s="13">
        <v>48</v>
      </c>
      <c r="I50" s="18"/>
      <c r="J50" s="31" t="e">
        <f t="shared" si="6"/>
        <v>#VALUE!</v>
      </c>
      <c r="K50" s="46">
        <v>15133200</v>
      </c>
      <c r="L50" s="10" t="s">
        <v>71</v>
      </c>
    </row>
    <row r="51" spans="1:12">
      <c r="H51" s="13">
        <v>1</v>
      </c>
      <c r="I51" s="18"/>
      <c r="J51" s="31" t="e">
        <f t="shared" si="6"/>
        <v>#VALUE!</v>
      </c>
      <c r="K51" s="46">
        <v>16454600</v>
      </c>
      <c r="L51" s="10" t="s">
        <v>28</v>
      </c>
    </row>
    <row r="52" spans="1:12">
      <c r="A52" s="24"/>
      <c r="H52" s="13">
        <v>2</v>
      </c>
      <c r="I52" s="18"/>
      <c r="J52" s="31" t="e">
        <f t="shared" si="6"/>
        <v>#VALUE!</v>
      </c>
      <c r="K52" s="46">
        <v>16454650</v>
      </c>
      <c r="L52" s="10" t="s">
        <v>29</v>
      </c>
    </row>
    <row r="53" spans="1:12">
      <c r="A53"/>
      <c r="H53" s="13">
        <v>3</v>
      </c>
      <c r="I53" s="18"/>
      <c r="J53" s="31" t="e">
        <f t="shared" si="6"/>
        <v>#VALUE!</v>
      </c>
      <c r="K53" s="46">
        <v>15125300</v>
      </c>
      <c r="L53" s="10" t="s">
        <v>67</v>
      </c>
    </row>
    <row r="54" spans="1:12">
      <c r="A54"/>
      <c r="H54" s="13">
        <v>4</v>
      </c>
      <c r="I54" s="18"/>
      <c r="J54" s="31" t="e">
        <f t="shared" si="6"/>
        <v>#VALUE!</v>
      </c>
      <c r="K54" s="46">
        <v>16453650</v>
      </c>
      <c r="L54" s="10" t="s">
        <v>30</v>
      </c>
    </row>
    <row r="55" spans="1:12">
      <c r="A55"/>
      <c r="H55" s="13">
        <v>5</v>
      </c>
      <c r="I55" s="18"/>
      <c r="J55" s="31" t="e">
        <f t="shared" si="6"/>
        <v>#VALUE!</v>
      </c>
      <c r="K55" s="46">
        <v>11482210</v>
      </c>
      <c r="L55" s="10" t="s">
        <v>84</v>
      </c>
    </row>
    <row r="56" spans="1:12">
      <c r="A56"/>
      <c r="H56" s="13">
        <v>6</v>
      </c>
      <c r="I56" s="18"/>
      <c r="J56" s="31" t="e">
        <f t="shared" si="6"/>
        <v>#VALUE!</v>
      </c>
      <c r="K56" s="46">
        <v>13245500</v>
      </c>
      <c r="L56" s="10" t="s">
        <v>89</v>
      </c>
    </row>
    <row r="57" spans="1:12">
      <c r="A57"/>
      <c r="H57" s="13">
        <v>7</v>
      </c>
      <c r="I57" s="18"/>
      <c r="J57" s="31" t="e">
        <f t="shared" si="6"/>
        <v>#VALUE!</v>
      </c>
      <c r="K57" s="46">
        <v>15133450</v>
      </c>
      <c r="L57" s="10" t="s">
        <v>83</v>
      </c>
    </row>
    <row r="58" spans="1:12">
      <c r="A58"/>
      <c r="H58" s="13">
        <v>8</v>
      </c>
      <c r="I58" s="18"/>
      <c r="J58" s="31" t="e">
        <f t="shared" si="6"/>
        <v>#VALUE!</v>
      </c>
      <c r="K58" s="46">
        <v>16453630</v>
      </c>
      <c r="L58" s="10" t="s">
        <v>85</v>
      </c>
    </row>
    <row r="59" spans="1:12">
      <c r="A59"/>
      <c r="H59" s="13">
        <v>9</v>
      </c>
      <c r="I59" s="18"/>
      <c r="J59" s="31" t="e">
        <f t="shared" si="6"/>
        <v>#VALUE!</v>
      </c>
      <c r="K59" s="46">
        <v>16453510</v>
      </c>
      <c r="L59" s="10" t="s">
        <v>31</v>
      </c>
    </row>
    <row r="60" spans="1:12">
      <c r="A60"/>
      <c r="H60" s="13">
        <v>10</v>
      </c>
      <c r="I60" s="18"/>
      <c r="J60" s="31" t="e">
        <f t="shared" si="6"/>
        <v>#VALUE!</v>
      </c>
      <c r="K60" s="46">
        <v>15271810</v>
      </c>
      <c r="L60" s="10" t="s">
        <v>32</v>
      </c>
    </row>
    <row r="61" spans="1:12">
      <c r="A61"/>
      <c r="H61" s="13">
        <v>11</v>
      </c>
      <c r="I61" s="18"/>
      <c r="J61" s="31" t="e">
        <f t="shared" si="6"/>
        <v>#VALUE!</v>
      </c>
      <c r="K61" s="46">
        <v>15271880</v>
      </c>
      <c r="L61" s="10" t="s">
        <v>33</v>
      </c>
    </row>
    <row r="62" spans="1:12">
      <c r="A62"/>
      <c r="H62" s="13">
        <v>12</v>
      </c>
      <c r="I62" s="18"/>
      <c r="J62" s="31" t="e">
        <f t="shared" si="6"/>
        <v>#VALUE!</v>
      </c>
      <c r="K62" s="46">
        <v>15271540</v>
      </c>
      <c r="L62" s="10" t="s">
        <v>34</v>
      </c>
    </row>
    <row r="63" spans="1:12">
      <c r="A63"/>
      <c r="H63" s="13">
        <v>13</v>
      </c>
      <c r="I63" s="18"/>
      <c r="J63" s="31" t="e">
        <f t="shared" si="6"/>
        <v>#VALUE!</v>
      </c>
      <c r="K63" s="46">
        <v>16794000</v>
      </c>
      <c r="L63" s="10" t="s">
        <v>93</v>
      </c>
    </row>
    <row r="64" spans="1:12">
      <c r="A64"/>
      <c r="H64" s="13">
        <v>14</v>
      </c>
      <c r="I64" s="18"/>
      <c r="J64" s="31" t="e">
        <f t="shared" si="6"/>
        <v>#VALUE!</v>
      </c>
      <c r="K64" s="46">
        <v>13673060</v>
      </c>
      <c r="L64" s="10" t="s">
        <v>158</v>
      </c>
    </row>
    <row r="65" spans="1:12">
      <c r="A65"/>
      <c r="H65" s="13">
        <v>15</v>
      </c>
      <c r="I65" s="18"/>
      <c r="J65" s="31" t="e">
        <f t="shared" si="6"/>
        <v>#VALUE!</v>
      </c>
      <c r="K65" s="46">
        <v>16736000</v>
      </c>
      <c r="L65" s="10" t="s">
        <v>98</v>
      </c>
    </row>
    <row r="66" spans="1:12">
      <c r="A66"/>
      <c r="H66" s="13">
        <v>16</v>
      </c>
      <c r="I66" s="18"/>
      <c r="J66" s="31" t="e">
        <f t="shared" si="6"/>
        <v>#VALUE!</v>
      </c>
      <c r="K66" s="46">
        <v>16000540</v>
      </c>
      <c r="L66" s="10" t="s">
        <v>101</v>
      </c>
    </row>
    <row r="67" spans="1:12">
      <c r="A67"/>
      <c r="H67" s="13">
        <v>17</v>
      </c>
      <c r="I67" s="18"/>
      <c r="J67" s="31" t="e">
        <f t="shared" si="6"/>
        <v>#VALUE!</v>
      </c>
      <c r="K67" s="46">
        <v>14444700</v>
      </c>
      <c r="L67" s="10" t="s">
        <v>81</v>
      </c>
    </row>
    <row r="68" spans="1:12">
      <c r="A68"/>
      <c r="H68" s="13">
        <v>18</v>
      </c>
      <c r="I68" s="18"/>
      <c r="J68" s="31" t="e">
        <f t="shared" ref="J68:J98" si="7">IF(LEN(I68)=14,VALUE(MID(I68,1,8)),VALUE(MID(I68,3,8)))</f>
        <v>#VALUE!</v>
      </c>
      <c r="K68" s="46">
        <v>16672910</v>
      </c>
      <c r="L68" s="10" t="s">
        <v>35</v>
      </c>
    </row>
    <row r="69" spans="1:12">
      <c r="A69"/>
      <c r="H69" s="13">
        <v>19</v>
      </c>
      <c r="I69" s="18"/>
      <c r="J69" s="31" t="e">
        <f t="shared" si="7"/>
        <v>#VALUE!</v>
      </c>
      <c r="K69" s="46">
        <v>13171500</v>
      </c>
      <c r="L69" s="10" t="s">
        <v>122</v>
      </c>
    </row>
    <row r="70" spans="1:12">
      <c r="A70"/>
      <c r="H70" s="13">
        <v>20</v>
      </c>
      <c r="I70" s="18"/>
      <c r="J70" s="31" t="e">
        <f t="shared" si="7"/>
        <v>#VALUE!</v>
      </c>
      <c r="K70" s="46">
        <v>16673060</v>
      </c>
      <c r="L70" s="10" t="s">
        <v>36</v>
      </c>
    </row>
    <row r="71" spans="1:12">
      <c r="A71"/>
      <c r="H71" s="13">
        <v>21</v>
      </c>
      <c r="I71" s="18"/>
      <c r="J71" s="31" t="e">
        <f t="shared" si="7"/>
        <v>#VALUE!</v>
      </c>
      <c r="K71" s="46">
        <v>16677000</v>
      </c>
      <c r="L71" s="10" t="s">
        <v>37</v>
      </c>
    </row>
    <row r="72" spans="1:12">
      <c r="A72"/>
      <c r="H72" s="13">
        <v>22</v>
      </c>
      <c r="I72" s="18"/>
      <c r="J72" s="31" t="e">
        <f t="shared" si="7"/>
        <v>#VALUE!</v>
      </c>
      <c r="K72" s="46">
        <v>11002400</v>
      </c>
      <c r="L72" s="10" t="s">
        <v>38</v>
      </c>
    </row>
    <row r="73" spans="1:12">
      <c r="A73"/>
      <c r="H73" s="13">
        <v>23</v>
      </c>
      <c r="I73" s="18"/>
      <c r="J73" s="31" t="e">
        <f t="shared" si="7"/>
        <v>#VALUE!</v>
      </c>
      <c r="K73" s="46">
        <v>11001300</v>
      </c>
      <c r="L73" s="10" t="s">
        <v>39</v>
      </c>
    </row>
    <row r="74" spans="1:12">
      <c r="A74"/>
      <c r="H74" s="13">
        <v>24</v>
      </c>
      <c r="I74" s="18"/>
      <c r="J74" s="31" t="e">
        <f t="shared" si="7"/>
        <v>#VALUE!</v>
      </c>
      <c r="K74" s="46">
        <v>14443130</v>
      </c>
      <c r="L74" s="10" t="s">
        <v>120</v>
      </c>
    </row>
    <row r="75" spans="1:12">
      <c r="A75" s="25"/>
      <c r="H75" s="13">
        <v>25</v>
      </c>
      <c r="I75" s="18"/>
      <c r="J75" s="31" t="e">
        <f t="shared" si="7"/>
        <v>#VALUE!</v>
      </c>
      <c r="K75" s="46">
        <v>13491050</v>
      </c>
      <c r="L75" s="10" t="s">
        <v>40</v>
      </c>
    </row>
    <row r="76" spans="1:12">
      <c r="A76" s="25"/>
      <c r="H76" s="13">
        <v>26</v>
      </c>
      <c r="I76" s="18"/>
      <c r="J76" s="31" t="e">
        <f t="shared" si="7"/>
        <v>#VALUE!</v>
      </c>
      <c r="K76" s="46">
        <v>11952420</v>
      </c>
      <c r="L76" s="10" t="s">
        <v>99</v>
      </c>
    </row>
    <row r="77" spans="1:12">
      <c r="A77" s="25"/>
      <c r="H77" s="13">
        <v>27</v>
      </c>
      <c r="I77" s="18"/>
      <c r="J77" s="31" t="e">
        <f t="shared" si="7"/>
        <v>#VALUE!</v>
      </c>
      <c r="K77" s="46">
        <v>16730000</v>
      </c>
      <c r="L77" s="10" t="s">
        <v>74</v>
      </c>
    </row>
    <row r="78" spans="1:12">
      <c r="A78" s="25"/>
      <c r="H78" s="13">
        <v>28</v>
      </c>
      <c r="I78" s="18"/>
      <c r="J78" s="31" t="e">
        <f t="shared" si="7"/>
        <v>#VALUE!</v>
      </c>
      <c r="K78" s="46">
        <v>11981350</v>
      </c>
      <c r="L78" s="10" t="s">
        <v>41</v>
      </c>
    </row>
    <row r="79" spans="1:12">
      <c r="A79" s="25"/>
      <c r="H79" s="13">
        <v>29</v>
      </c>
      <c r="I79" s="18"/>
      <c r="J79" s="31" t="e">
        <f t="shared" si="7"/>
        <v>#VALUE!</v>
      </c>
      <c r="K79" s="46">
        <v>11981250</v>
      </c>
      <c r="L79" s="10" t="s">
        <v>42</v>
      </c>
    </row>
    <row r="80" spans="1:12">
      <c r="A80" s="25"/>
      <c r="H80" s="13">
        <v>30</v>
      </c>
      <c r="I80" s="18"/>
      <c r="J80" s="31" t="e">
        <f t="shared" si="7"/>
        <v>#VALUE!</v>
      </c>
      <c r="K80" s="46">
        <v>14442500</v>
      </c>
      <c r="L80" s="10" t="s">
        <v>80</v>
      </c>
    </row>
    <row r="81" spans="1:12">
      <c r="A81" s="25"/>
      <c r="H81" s="13">
        <v>31</v>
      </c>
      <c r="I81" s="18"/>
      <c r="J81" s="31" t="e">
        <f t="shared" si="7"/>
        <v>#VALUE!</v>
      </c>
      <c r="K81" s="46">
        <v>16281040</v>
      </c>
      <c r="L81" s="10" t="s">
        <v>110</v>
      </c>
    </row>
    <row r="82" spans="1:12">
      <c r="A82" s="25"/>
      <c r="H82" s="13">
        <v>32</v>
      </c>
      <c r="I82" s="18"/>
      <c r="J82" s="31" t="e">
        <f t="shared" si="7"/>
        <v>#VALUE!</v>
      </c>
      <c r="K82" s="46">
        <v>13492040</v>
      </c>
      <c r="L82" s="10" t="s">
        <v>69</v>
      </c>
    </row>
    <row r="83" spans="1:12">
      <c r="A83" s="25"/>
      <c r="H83" s="13">
        <v>33</v>
      </c>
      <c r="I83" s="18"/>
      <c r="J83" s="31" t="e">
        <f t="shared" si="7"/>
        <v>#VALUE!</v>
      </c>
      <c r="K83" s="46">
        <v>16280000</v>
      </c>
      <c r="L83" s="10" t="s">
        <v>103</v>
      </c>
    </row>
    <row r="84" spans="1:12">
      <c r="A84" s="25"/>
      <c r="H84" s="13">
        <v>34</v>
      </c>
      <c r="I84" s="18"/>
      <c r="J84" s="31" t="e">
        <f t="shared" si="7"/>
        <v>#VALUE!</v>
      </c>
      <c r="K84" s="46">
        <v>16762000</v>
      </c>
      <c r="L84" s="10" t="s">
        <v>95</v>
      </c>
    </row>
    <row r="85" spans="1:12">
      <c r="A85" s="25"/>
      <c r="H85" s="13">
        <v>35</v>
      </c>
      <c r="I85" s="18"/>
      <c r="J85" s="31" t="e">
        <f t="shared" si="7"/>
        <v>#VALUE!</v>
      </c>
      <c r="K85" s="46">
        <v>16281490</v>
      </c>
      <c r="L85" s="10" t="s">
        <v>150</v>
      </c>
    </row>
    <row r="86" spans="1:12">
      <c r="A86" s="25"/>
      <c r="H86" s="13">
        <v>36</v>
      </c>
      <c r="I86" s="18"/>
      <c r="J86" s="31" t="e">
        <f t="shared" si="7"/>
        <v>#VALUE!</v>
      </c>
      <c r="K86" s="46">
        <v>16281350</v>
      </c>
      <c r="L86" s="10" t="s">
        <v>102</v>
      </c>
    </row>
    <row r="87" spans="1:12">
      <c r="A87" s="25"/>
      <c r="H87" s="13">
        <v>37</v>
      </c>
      <c r="I87" s="18"/>
      <c r="J87" s="31" t="e">
        <f t="shared" si="7"/>
        <v>#VALUE!</v>
      </c>
      <c r="K87" s="46">
        <v>16297310</v>
      </c>
      <c r="L87" s="10" t="s">
        <v>92</v>
      </c>
    </row>
    <row r="88" spans="1:12">
      <c r="A88" s="25"/>
      <c r="H88" s="13">
        <v>38</v>
      </c>
      <c r="I88" s="18"/>
      <c r="J88" s="31" t="e">
        <f t="shared" si="7"/>
        <v>#VALUE!</v>
      </c>
      <c r="K88" s="46">
        <v>16281900</v>
      </c>
      <c r="L88" s="10" t="s">
        <v>109</v>
      </c>
    </row>
    <row r="89" spans="1:12">
      <c r="A89" s="25"/>
      <c r="H89" s="13">
        <v>39</v>
      </c>
      <c r="I89" s="18"/>
      <c r="J89" s="31" t="e">
        <f t="shared" si="7"/>
        <v>#VALUE!</v>
      </c>
      <c r="K89" s="46">
        <v>16282500</v>
      </c>
      <c r="L89" s="10" t="s">
        <v>111</v>
      </c>
    </row>
    <row r="90" spans="1:12">
      <c r="A90" s="25"/>
      <c r="H90" s="13">
        <v>40</v>
      </c>
      <c r="I90" s="18"/>
      <c r="J90" s="31" t="e">
        <f t="shared" si="7"/>
        <v>#VALUE!</v>
      </c>
      <c r="K90" s="46">
        <v>16283500</v>
      </c>
      <c r="L90" s="10" t="s">
        <v>104</v>
      </c>
    </row>
    <row r="91" spans="1:12">
      <c r="A91" s="25"/>
      <c r="H91" s="13">
        <v>41</v>
      </c>
      <c r="I91" s="18"/>
      <c r="J91" s="31" t="e">
        <f t="shared" si="7"/>
        <v>#VALUE!</v>
      </c>
      <c r="K91" s="47">
        <v>16283130</v>
      </c>
      <c r="L91" s="37" t="s">
        <v>112</v>
      </c>
    </row>
    <row r="92" spans="1:12">
      <c r="A92" s="25"/>
      <c r="H92" s="13">
        <v>42</v>
      </c>
      <c r="I92" s="18"/>
      <c r="J92" s="31" t="e">
        <f t="shared" si="7"/>
        <v>#VALUE!</v>
      </c>
      <c r="K92" s="46">
        <v>11509700</v>
      </c>
      <c r="L92" s="10" t="s">
        <v>63</v>
      </c>
    </row>
    <row r="93" spans="1:12">
      <c r="A93" s="25"/>
      <c r="H93" s="13">
        <v>43</v>
      </c>
      <c r="I93" s="18"/>
      <c r="J93" s="31" t="e">
        <f t="shared" si="7"/>
        <v>#VALUE!</v>
      </c>
      <c r="K93" s="46">
        <v>11519600</v>
      </c>
      <c r="L93" s="10" t="s">
        <v>64</v>
      </c>
    </row>
    <row r="94" spans="1:12">
      <c r="A94" s="25"/>
      <c r="H94" s="13">
        <v>44</v>
      </c>
      <c r="I94" s="18"/>
      <c r="J94" s="31" t="e">
        <f t="shared" si="7"/>
        <v>#VALUE!</v>
      </c>
      <c r="K94" s="46">
        <v>13673150</v>
      </c>
      <c r="L94" s="10" t="s">
        <v>94</v>
      </c>
    </row>
    <row r="95" spans="1:12">
      <c r="A95" s="25"/>
      <c r="H95" s="13">
        <v>45</v>
      </c>
      <c r="I95" s="18"/>
      <c r="J95" s="31" t="e">
        <f t="shared" si="7"/>
        <v>#VALUE!</v>
      </c>
      <c r="K95" s="46">
        <v>10812200</v>
      </c>
      <c r="L95" s="10" t="s">
        <v>43</v>
      </c>
    </row>
    <row r="96" spans="1:12">
      <c r="A96" s="25"/>
      <c r="H96" s="13">
        <v>46</v>
      </c>
      <c r="I96" s="18"/>
      <c r="J96" s="31" t="e">
        <f t="shared" si="7"/>
        <v>#VALUE!</v>
      </c>
      <c r="K96" s="46">
        <v>10554600</v>
      </c>
      <c r="L96" s="10" t="s">
        <v>44</v>
      </c>
    </row>
    <row r="97" spans="1:12">
      <c r="A97" s="25"/>
      <c r="H97" s="13">
        <v>47</v>
      </c>
      <c r="I97" s="18"/>
      <c r="J97" s="31" t="e">
        <f t="shared" si="7"/>
        <v>#VALUE!</v>
      </c>
      <c r="K97" s="46">
        <v>10563500</v>
      </c>
      <c r="L97" s="10" t="s">
        <v>100</v>
      </c>
    </row>
    <row r="98" spans="1:12">
      <c r="A98" s="25"/>
      <c r="H98" s="13">
        <v>48</v>
      </c>
      <c r="I98" s="18"/>
      <c r="J98" s="31" t="e">
        <f t="shared" si="7"/>
        <v>#VALUE!</v>
      </c>
      <c r="K98" s="46">
        <v>10554000</v>
      </c>
      <c r="L98" s="10" t="s">
        <v>45</v>
      </c>
    </row>
    <row r="99" spans="1:12">
      <c r="A99" s="25"/>
      <c r="I99"/>
      <c r="K99" s="48">
        <v>12580210</v>
      </c>
      <c r="L99" s="11" t="s">
        <v>73</v>
      </c>
    </row>
    <row r="100" spans="1:12">
      <c r="A100" s="25"/>
      <c r="I100"/>
      <c r="K100" s="46">
        <v>16455050</v>
      </c>
      <c r="L100" s="10" t="s">
        <v>68</v>
      </c>
    </row>
    <row r="101" spans="1:12">
      <c r="A101" s="25"/>
      <c r="J101" s="8"/>
      <c r="K101" s="46">
        <v>15132530</v>
      </c>
      <c r="L101" s="10" t="s">
        <v>148</v>
      </c>
    </row>
    <row r="102" spans="1:12">
      <c r="A102" s="25"/>
      <c r="J102" s="8"/>
      <c r="K102" s="46">
        <v>14444210</v>
      </c>
      <c r="L102" s="10" t="s">
        <v>119</v>
      </c>
    </row>
    <row r="103" spans="1:12">
      <c r="A103" s="25"/>
      <c r="J103" s="8"/>
      <c r="K103" s="46">
        <v>15131600</v>
      </c>
      <c r="L103" s="10" t="s">
        <v>48</v>
      </c>
    </row>
    <row r="104" spans="1:12">
      <c r="A104" s="25"/>
      <c r="J104" s="8"/>
      <c r="K104" s="46">
        <v>14451500</v>
      </c>
      <c r="L104" s="10" t="s">
        <v>79</v>
      </c>
    </row>
    <row r="105" spans="1:12">
      <c r="A105" s="25"/>
      <c r="J105" s="8"/>
      <c r="K105" s="46">
        <v>16280090</v>
      </c>
      <c r="L105" s="10" t="s">
        <v>108</v>
      </c>
    </row>
    <row r="106" spans="1:12">
      <c r="A106" s="25"/>
      <c r="J106" s="8"/>
      <c r="K106" s="46">
        <v>15271700</v>
      </c>
      <c r="L106" s="10" t="s">
        <v>59</v>
      </c>
    </row>
    <row r="107" spans="1:12">
      <c r="A107" s="25"/>
      <c r="J107" s="8"/>
      <c r="K107" s="46">
        <v>16455800</v>
      </c>
      <c r="L107" s="10" t="s">
        <v>50</v>
      </c>
    </row>
    <row r="108" spans="1:12">
      <c r="A108" s="25"/>
      <c r="J108" s="8"/>
      <c r="K108" s="46">
        <v>11986200</v>
      </c>
      <c r="L108" s="10" t="s">
        <v>113</v>
      </c>
    </row>
    <row r="109" spans="1:12">
      <c r="A109" s="25"/>
      <c r="J109" s="8"/>
      <c r="K109" s="46">
        <v>11509300</v>
      </c>
      <c r="L109" s="10" t="s">
        <v>52</v>
      </c>
    </row>
    <row r="110" spans="1:12">
      <c r="A110" s="25"/>
      <c r="J110" s="8"/>
      <c r="K110" s="49">
        <v>13786100</v>
      </c>
      <c r="L110" s="22" t="s">
        <v>53</v>
      </c>
    </row>
    <row r="111" spans="1:12">
      <c r="A111" s="25"/>
      <c r="J111" s="8"/>
      <c r="K111" s="50">
        <v>13786000</v>
      </c>
      <c r="L111" s="23" t="s">
        <v>54</v>
      </c>
    </row>
    <row r="112" spans="1:12">
      <c r="A112" s="25"/>
      <c r="J112" s="8"/>
      <c r="K112" s="50">
        <v>16453530</v>
      </c>
      <c r="L112" s="23" t="s">
        <v>55</v>
      </c>
    </row>
    <row r="113" spans="1:12">
      <c r="A113" s="25"/>
      <c r="J113" s="8"/>
      <c r="K113" s="46">
        <v>13494000</v>
      </c>
      <c r="L113" s="10" t="s">
        <v>65</v>
      </c>
    </row>
    <row r="114" spans="1:12">
      <c r="A114" s="25"/>
      <c r="J114" s="8"/>
      <c r="K114" s="46">
        <v>11981050</v>
      </c>
      <c r="L114" s="10" t="s">
        <v>140</v>
      </c>
    </row>
    <row r="115" spans="1:12">
      <c r="A115" s="25"/>
      <c r="J115" s="8"/>
      <c r="K115" s="46">
        <v>14443500</v>
      </c>
      <c r="L115" s="10" t="s">
        <v>78</v>
      </c>
    </row>
    <row r="116" spans="1:12">
      <c r="A116" s="25"/>
      <c r="J116" s="8"/>
      <c r="K116" s="46">
        <v>10556600</v>
      </c>
      <c r="L116" s="10" t="s">
        <v>96</v>
      </c>
    </row>
    <row r="117" spans="1:12">
      <c r="A117" s="25"/>
      <c r="J117" s="8"/>
      <c r="K117" s="46">
        <v>12869190</v>
      </c>
      <c r="L117" s="10" t="s">
        <v>90</v>
      </c>
    </row>
    <row r="118" spans="1:12">
      <c r="A118" s="25"/>
      <c r="J118" s="8"/>
      <c r="K118" s="46">
        <v>15209000</v>
      </c>
      <c r="L118" s="10" t="s">
        <v>77</v>
      </c>
    </row>
    <row r="119" spans="1:12">
      <c r="A119" s="25"/>
      <c r="J119" s="8"/>
      <c r="K119" s="46">
        <v>15132430</v>
      </c>
      <c r="L119" s="10" t="s">
        <v>57</v>
      </c>
    </row>
    <row r="120" spans="1:12">
      <c r="A120" s="25"/>
      <c r="J120" s="8"/>
      <c r="K120" s="46">
        <v>14443110</v>
      </c>
      <c r="L120" s="10" t="s">
        <v>105</v>
      </c>
    </row>
    <row r="121" spans="1:12">
      <c r="A121" s="25"/>
      <c r="J121" s="8"/>
      <c r="K121" s="46">
        <v>10557600</v>
      </c>
      <c r="L121" s="10" t="s">
        <v>86</v>
      </c>
    </row>
    <row r="122" spans="1:12">
      <c r="A122" s="25"/>
      <c r="J122" s="8"/>
      <c r="K122" s="51">
        <v>11981150</v>
      </c>
      <c r="L122" s="41" t="s">
        <v>66</v>
      </c>
    </row>
    <row r="123" spans="1:12">
      <c r="A123" s="25"/>
      <c r="K123" s="51">
        <v>16453550</v>
      </c>
      <c r="L123" s="41" t="s">
        <v>123</v>
      </c>
    </row>
    <row r="124" spans="1:12">
      <c r="A124" s="25"/>
      <c r="K124" s="51">
        <v>11984010</v>
      </c>
      <c r="L124" s="41" t="s">
        <v>124</v>
      </c>
    </row>
    <row r="125" spans="1:12">
      <c r="A125" s="25"/>
      <c r="K125" s="51">
        <v>13171700</v>
      </c>
      <c r="L125" s="41" t="s">
        <v>125</v>
      </c>
    </row>
    <row r="126" spans="1:12">
      <c r="A126" s="25"/>
      <c r="K126" s="51">
        <v>14442000</v>
      </c>
      <c r="L126" s="41" t="s">
        <v>126</v>
      </c>
    </row>
    <row r="127" spans="1:12">
      <c r="A127" s="25"/>
      <c r="K127" s="51">
        <v>16453500</v>
      </c>
      <c r="L127" s="41" t="s">
        <v>127</v>
      </c>
    </row>
    <row r="128" spans="1:12">
      <c r="A128" s="25"/>
      <c r="K128" s="51">
        <v>11986400</v>
      </c>
      <c r="L128" s="41" t="s">
        <v>129</v>
      </c>
    </row>
    <row r="129" spans="1:12">
      <c r="A129" s="25"/>
      <c r="K129" s="51">
        <v>11986800</v>
      </c>
      <c r="L129" s="41" t="s">
        <v>130</v>
      </c>
    </row>
    <row r="130" spans="1:12">
      <c r="A130" s="25"/>
      <c r="K130" s="51">
        <v>15132000</v>
      </c>
      <c r="L130" s="41" t="s">
        <v>131</v>
      </c>
    </row>
    <row r="131" spans="1:12">
      <c r="A131" s="25"/>
      <c r="K131" s="51">
        <v>15132210</v>
      </c>
      <c r="L131" s="41" t="s">
        <v>132</v>
      </c>
    </row>
    <row r="132" spans="1:12">
      <c r="A132" s="25"/>
      <c r="K132" s="51">
        <v>15132600</v>
      </c>
      <c r="L132" s="41" t="s">
        <v>133</v>
      </c>
    </row>
    <row r="133" spans="1:12">
      <c r="A133" s="25"/>
      <c r="K133" s="51">
        <v>15132810</v>
      </c>
      <c r="L133" s="41" t="s">
        <v>134</v>
      </c>
    </row>
    <row r="134" spans="1:12">
      <c r="A134" s="25"/>
      <c r="K134" s="51">
        <v>15132800</v>
      </c>
      <c r="L134" s="41" t="s">
        <v>135</v>
      </c>
    </row>
    <row r="135" spans="1:12">
      <c r="A135" s="25"/>
      <c r="K135" s="51">
        <v>16455000</v>
      </c>
      <c r="L135" s="41" t="s">
        <v>136</v>
      </c>
    </row>
    <row r="136" spans="1:12">
      <c r="A136" s="25"/>
      <c r="K136" s="51">
        <v>16281240</v>
      </c>
      <c r="L136" s="10" t="s">
        <v>137</v>
      </c>
    </row>
    <row r="137" spans="1:12">
      <c r="A137" s="25"/>
      <c r="K137" s="51">
        <v>15989000</v>
      </c>
      <c r="L137" s="41" t="s">
        <v>138</v>
      </c>
    </row>
    <row r="138" spans="1:12">
      <c r="A138" s="25"/>
      <c r="K138" s="51">
        <v>16281540</v>
      </c>
      <c r="L138" s="41" t="s">
        <v>139</v>
      </c>
    </row>
    <row r="139" spans="1:12">
      <c r="A139" s="25"/>
      <c r="K139" s="51">
        <v>16284430</v>
      </c>
      <c r="L139" s="41" t="s">
        <v>141</v>
      </c>
    </row>
    <row r="140" spans="1:12">
      <c r="A140" s="25"/>
      <c r="K140" s="51">
        <v>14453000</v>
      </c>
      <c r="L140" s="41" t="s">
        <v>142</v>
      </c>
    </row>
    <row r="141" spans="1:12">
      <c r="A141" s="25"/>
      <c r="K141" s="51">
        <v>14442310</v>
      </c>
      <c r="L141" s="41" t="s">
        <v>147</v>
      </c>
    </row>
    <row r="142" spans="1:12">
      <c r="A142" s="25"/>
      <c r="K142" s="51">
        <v>16440000</v>
      </c>
      <c r="L142" s="41" t="s">
        <v>143</v>
      </c>
    </row>
    <row r="143" spans="1:12">
      <c r="A143" s="25"/>
      <c r="K143" s="51">
        <v>16455350</v>
      </c>
      <c r="L143" s="41" t="s">
        <v>144</v>
      </c>
    </row>
    <row r="144" spans="1:12">
      <c r="A144" s="25"/>
      <c r="K144" s="51">
        <v>13242300</v>
      </c>
      <c r="L144" s="41" t="s">
        <v>145</v>
      </c>
    </row>
    <row r="145" spans="1:12">
      <c r="A145" s="25"/>
      <c r="K145" s="51">
        <v>13242000</v>
      </c>
      <c r="L145" s="41" t="s">
        <v>146</v>
      </c>
    </row>
    <row r="146" spans="1:12">
      <c r="A146" s="25"/>
      <c r="K146" s="51">
        <v>11270090</v>
      </c>
      <c r="L146" s="41" t="s">
        <v>149</v>
      </c>
    </row>
    <row r="147" spans="1:12">
      <c r="A147" s="25"/>
      <c r="K147" s="51">
        <v>10811380</v>
      </c>
      <c r="L147" s="41" t="s">
        <v>151</v>
      </c>
    </row>
    <row r="148" spans="1:12">
      <c r="A148" s="25"/>
      <c r="K148" s="51">
        <v>15131270</v>
      </c>
      <c r="L148" s="41" t="s">
        <v>152</v>
      </c>
    </row>
    <row r="149" spans="1:12">
      <c r="A149" s="25"/>
      <c r="K149" s="51">
        <v>16284460</v>
      </c>
      <c r="L149" s="41" t="s">
        <v>153</v>
      </c>
    </row>
    <row r="150" spans="1:12">
      <c r="A150" s="25"/>
      <c r="K150" s="51">
        <v>13789820</v>
      </c>
      <c r="L150" s="41" t="s">
        <v>154</v>
      </c>
    </row>
    <row r="151" spans="1:12">
      <c r="A151" s="25"/>
      <c r="K151" s="51">
        <v>14441700</v>
      </c>
      <c r="L151" s="41" t="s">
        <v>155</v>
      </c>
    </row>
    <row r="152" spans="1:12">
      <c r="A152" s="25"/>
      <c r="K152" s="51">
        <v>11685080</v>
      </c>
      <c r="L152" s="41" t="s">
        <v>156</v>
      </c>
    </row>
    <row r="153" spans="1:12">
      <c r="A153" s="25"/>
      <c r="K153" s="51">
        <v>14442400</v>
      </c>
      <c r="L153" s="41" t="s">
        <v>157</v>
      </c>
    </row>
    <row r="154" spans="1:12">
      <c r="A154" s="25"/>
      <c r="K154" s="51">
        <v>11986740</v>
      </c>
      <c r="L154" s="41" t="s">
        <v>159</v>
      </c>
    </row>
    <row r="155" spans="1:12">
      <c r="K155" s="51">
        <v>11986720</v>
      </c>
      <c r="L155" s="41" t="s">
        <v>160</v>
      </c>
    </row>
    <row r="156" spans="1:12">
      <c r="K156" s="44"/>
      <c r="L156" s="41"/>
    </row>
    <row r="157" spans="1:12">
      <c r="K157" s="44"/>
      <c r="L157" s="41"/>
    </row>
    <row r="158" spans="1:12">
      <c r="K158" s="44"/>
      <c r="L158" s="41"/>
    </row>
    <row r="159" spans="1:12">
      <c r="K159" s="44"/>
      <c r="L159" s="41"/>
    </row>
    <row r="160" spans="1:12">
      <c r="K160" s="44"/>
      <c r="L160" s="41"/>
    </row>
    <row r="161" spans="11:12">
      <c r="K161" s="44"/>
      <c r="L161" s="41"/>
    </row>
    <row r="162" spans="11:12">
      <c r="K162" s="44"/>
      <c r="L162" s="41"/>
    </row>
    <row r="163" spans="11:12">
      <c r="K163" s="44"/>
      <c r="L163" s="41"/>
    </row>
    <row r="164" spans="11:12">
      <c r="K164" s="44"/>
      <c r="L164" s="41"/>
    </row>
    <row r="165" spans="11:12">
      <c r="K165" s="44"/>
      <c r="L165" s="41"/>
    </row>
    <row r="166" spans="11:12">
      <c r="K166" s="44"/>
      <c r="L166" s="41"/>
    </row>
    <row r="167" spans="11:12">
      <c r="K167" s="44"/>
      <c r="L167" s="41"/>
    </row>
    <row r="168" spans="11:12">
      <c r="K168" s="44"/>
      <c r="L168" s="41"/>
    </row>
    <row r="169" spans="11:12">
      <c r="K169" s="44"/>
      <c r="L169" s="41"/>
    </row>
    <row r="170" spans="11:12">
      <c r="K170" s="44"/>
      <c r="L170" s="41"/>
    </row>
    <row r="171" spans="11:12">
      <c r="K171" s="44"/>
      <c r="L171" s="41"/>
    </row>
    <row r="172" spans="11:12" ht="15.75" thickBot="1">
      <c r="K172" s="45"/>
      <c r="L172" s="12"/>
    </row>
  </sheetData>
  <sheetProtection sheet="1" objects="1" scenarios="1"/>
  <mergeCells count="4">
    <mergeCell ref="M4:P4"/>
    <mergeCell ref="K1:L1"/>
    <mergeCell ref="I1:I2"/>
    <mergeCell ref="J1:J2"/>
  </mergeCells>
  <conditionalFormatting sqref="A3:B50 E3:F50">
    <cfRule type="containsErrors" dxfId="3" priority="14">
      <formula>ISERROR(A3)</formula>
    </cfRule>
  </conditionalFormatting>
  <conditionalFormatting sqref="K3:K172">
    <cfRule type="duplicateValues" dxfId="2" priority="3"/>
  </conditionalFormatting>
  <conditionalFormatting sqref="K154:K155">
    <cfRule type="duplicateValues" dxfId="1" priority="2"/>
  </conditionalFormatting>
  <conditionalFormatting sqref="K1:K1048576">
    <cfRule type="duplicateValues" dxfId="0" priority="1"/>
  </conditionalFormatting>
  <pageMargins left="0.23622047244094491" right="0.23622047244094491" top="0.39370078740157483" bottom="0.55118110236220474" header="0" footer="0"/>
  <pageSetup paperSize="9" orientation="portrait" horizontalDpi="180" verticalDpi="18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 filterMode="1"/>
  <dimension ref="B1:H172"/>
  <sheetViews>
    <sheetView topLeftCell="B1" workbookViewId="0">
      <selection activeCell="D2" sqref="D2"/>
    </sheetView>
  </sheetViews>
  <sheetFormatPr defaultRowHeight="15"/>
  <cols>
    <col min="1" max="1" width="5.28515625" customWidth="1"/>
    <col min="2" max="2" width="28.85546875" customWidth="1"/>
    <col min="3" max="3" width="13.28515625" style="7" customWidth="1"/>
    <col min="4" max="4" width="17.85546875" style="7" customWidth="1"/>
    <col min="5" max="5" width="4.42578125" style="29" customWidth="1"/>
    <col min="6" max="6" width="4.140625" style="29" customWidth="1"/>
    <col min="7" max="8" width="9.140625" style="43"/>
  </cols>
  <sheetData>
    <row r="1" spans="2:6" ht="75" customHeight="1" thickBot="1">
      <c r="B1" s="32"/>
      <c r="C1" s="33"/>
      <c r="D1" s="34"/>
    </row>
    <row r="2" spans="2:6" ht="15.75" thickBot="1">
      <c r="B2" s="27" t="s">
        <v>0</v>
      </c>
      <c r="C2" s="28" t="s">
        <v>1</v>
      </c>
      <c r="D2" s="35" t="s">
        <v>70</v>
      </c>
      <c r="E2" s="30"/>
      <c r="F2" s="30"/>
    </row>
    <row r="3" spans="2:6" hidden="1">
      <c r="B3" s="26" t="str">
        <f>LEFT(Лист1!L3,30)</f>
        <v>K4 Basic</v>
      </c>
      <c r="C3" s="52">
        <f>Лист1!K3</f>
        <v>11800800</v>
      </c>
      <c r="D3" s="36">
        <f t="shared" ref="D3:D34" si="0">E3+F3</f>
        <v>0</v>
      </c>
      <c r="E3" s="30">
        <f>COUNTIF(Лист1!$A$3:$A$50,B3)</f>
        <v>0</v>
      </c>
      <c r="F3" s="30">
        <f>COUNTIF(Лист1!$E$3:$E$50,B3)</f>
        <v>0</v>
      </c>
    </row>
    <row r="4" spans="2:6" hidden="1">
      <c r="B4" s="26" t="str">
        <f>LEFT(Лист1!L4,30)</f>
        <v>K4 Compact UM LE</v>
      </c>
      <c r="C4" s="53">
        <f>Лист1!K4</f>
        <v>16794060</v>
      </c>
      <c r="D4" s="36">
        <f t="shared" si="0"/>
        <v>0</v>
      </c>
      <c r="E4" s="30">
        <f>COUNTIF(Лист1!$A$3:$A$50,B4)</f>
        <v>0</v>
      </c>
      <c r="F4" s="30">
        <f>COUNTIF(Лист1!$E$3:$E$50,B4)</f>
        <v>0</v>
      </c>
    </row>
    <row r="5" spans="2:6" hidden="1">
      <c r="B5" s="26" t="str">
        <f>LEFT(Лист1!L5,30)</f>
        <v>K4 Universal</v>
      </c>
      <c r="C5" s="53">
        <f>Лист1!K5</f>
        <v>16793000</v>
      </c>
      <c r="D5" s="36">
        <f t="shared" si="0"/>
        <v>0</v>
      </c>
      <c r="E5" s="30">
        <f>COUNTIF(Лист1!$A$3:$A$50,B5)</f>
        <v>0</v>
      </c>
      <c r="F5" s="30">
        <f>COUNTIF(Лист1!$E$3:$E$50,B5)</f>
        <v>0</v>
      </c>
    </row>
    <row r="6" spans="2:6" hidden="1">
      <c r="B6" s="26" t="str">
        <f>LEFT(Лист1!L6,30)</f>
        <v>K3</v>
      </c>
      <c r="C6" s="53">
        <f>Лист1!K6</f>
        <v>16018880</v>
      </c>
      <c r="D6" s="36">
        <f t="shared" si="0"/>
        <v>0</v>
      </c>
      <c r="E6" s="30">
        <f>COUNTIF(Лист1!$A$3:$A$50,B6)</f>
        <v>0</v>
      </c>
      <c r="F6" s="30">
        <f>COUNTIF(Лист1!$E$3:$E$50,B6)</f>
        <v>0</v>
      </c>
    </row>
    <row r="7" spans="2:6" hidden="1">
      <c r="B7" s="26" t="str">
        <f>LEFT(Лист1!L7,30)</f>
        <v>K4 Compact Home</v>
      </c>
      <c r="C7" s="53">
        <f>Лист1!K7</f>
        <v>16375030</v>
      </c>
      <c r="D7" s="36">
        <f t="shared" si="0"/>
        <v>0</v>
      </c>
      <c r="E7" s="30">
        <f>COUNTIF(Лист1!$A$3:$A$50,B7)</f>
        <v>0</v>
      </c>
      <c r="F7" s="30">
        <f>COUNTIF(Лист1!$E$3:$E$50,B7)</f>
        <v>0</v>
      </c>
    </row>
    <row r="8" spans="2:6" hidden="1">
      <c r="B8" s="26" t="str">
        <f>LEFT(Лист1!L8,30)</f>
        <v>FC3 Cordless</v>
      </c>
      <c r="C8" s="53">
        <f>Лист1!K8</f>
        <v>10553010</v>
      </c>
      <c r="D8" s="36">
        <f t="shared" si="0"/>
        <v>0</v>
      </c>
      <c r="E8" s="30">
        <f>COUNTIF(Лист1!$A$3:$A$50,B8)</f>
        <v>0</v>
      </c>
      <c r="F8" s="30">
        <f>COUNTIF(Лист1!$E$3:$E$50,B8)</f>
        <v>0</v>
      </c>
    </row>
    <row r="9" spans="2:6" hidden="1">
      <c r="B9" s="26" t="str">
        <f>LEFT(Лист1!L9,30)</f>
        <v>K4 Compact</v>
      </c>
      <c r="C9" s="53">
        <f>Лист1!K9</f>
        <v>16375000</v>
      </c>
      <c r="D9" s="36">
        <f t="shared" si="0"/>
        <v>0</v>
      </c>
      <c r="E9" s="30">
        <f>COUNTIF(Лист1!$A$3:$A$50,B9)</f>
        <v>0</v>
      </c>
      <c r="F9" s="30">
        <f>COUNTIF(Лист1!$E$3:$E$50,B9)</f>
        <v>0</v>
      </c>
    </row>
    <row r="10" spans="2:6" hidden="1">
      <c r="B10" s="26" t="str">
        <f>LEFT(Лист1!L10,30)</f>
        <v>VC6 Cordless ourFamily</v>
      </c>
      <c r="C10" s="53">
        <f>Лист1!K10</f>
        <v>11986600</v>
      </c>
      <c r="D10" s="36">
        <f t="shared" si="0"/>
        <v>0</v>
      </c>
      <c r="E10" s="30">
        <f>COUNTIF(Лист1!$A$3:$A$50,B10)</f>
        <v>0</v>
      </c>
      <c r="F10" s="30">
        <f>COUNTIF(Лист1!$E$3:$E$50,B10)</f>
        <v>0</v>
      </c>
    </row>
    <row r="11" spans="2:6" hidden="1">
      <c r="B11" s="26" t="str">
        <f>LEFT(Лист1!L11,30)</f>
        <v>K2 Classic</v>
      </c>
      <c r="C11" s="53">
        <f>Лист1!K11</f>
        <v>16009790</v>
      </c>
      <c r="D11" s="36">
        <f t="shared" si="0"/>
        <v>0</v>
      </c>
      <c r="E11" s="30">
        <f>COUNTIF(Лист1!$A$3:$A$50,B11)</f>
        <v>0</v>
      </c>
      <c r="F11" s="30">
        <f>COUNTIF(Лист1!$E$3:$E$50,B11)</f>
        <v>0</v>
      </c>
    </row>
    <row r="12" spans="2:6" hidden="1">
      <c r="B12" s="26" t="str">
        <f>LEFT(Лист1!L12,30)</f>
        <v>K5 Compact</v>
      </c>
      <c r="C12" s="53">
        <f>Лист1!K12</f>
        <v>16307500</v>
      </c>
      <c r="D12" s="36">
        <f t="shared" si="0"/>
        <v>0</v>
      </c>
      <c r="E12" s="30">
        <f>COUNTIF(Лист1!$A$3:$A$50,B12)</f>
        <v>0</v>
      </c>
      <c r="F12" s="30">
        <f>COUNTIF(Лист1!$E$3:$E$50,B12)</f>
        <v>0</v>
      </c>
    </row>
    <row r="13" spans="2:6" hidden="1">
      <c r="B13" s="26" t="str">
        <f>LEFT(Лист1!L13,30)</f>
        <v>K5 Compact Home</v>
      </c>
      <c r="C13" s="53">
        <f>Лист1!K13</f>
        <v>16307530</v>
      </c>
      <c r="D13" s="36">
        <f t="shared" si="0"/>
        <v>0</v>
      </c>
      <c r="E13" s="30">
        <f>COUNTIF(Лист1!$A$3:$A$50,B13)</f>
        <v>0</v>
      </c>
      <c r="F13" s="30">
        <f>COUNTIF(Лист1!$E$3:$E$50,B13)</f>
        <v>0</v>
      </c>
    </row>
    <row r="14" spans="2:6" hidden="1">
      <c r="B14" s="26" t="str">
        <f>LEFT(Лист1!L14,30)</f>
        <v>K5 Premium Power Control</v>
      </c>
      <c r="C14" s="53">
        <f>Лист1!K14</f>
        <v>13245730</v>
      </c>
      <c r="D14" s="36">
        <f t="shared" si="0"/>
        <v>0</v>
      </c>
      <c r="E14" s="30">
        <f>COUNTIF(Лист1!$A$3:$A$50,B14)</f>
        <v>0</v>
      </c>
      <c r="F14" s="30">
        <f>COUNTIF(Лист1!$E$3:$E$50,B14)</f>
        <v>0</v>
      </c>
    </row>
    <row r="15" spans="2:6" hidden="1">
      <c r="B15" s="26" t="str">
        <f>LEFT(Лист1!L15,30)</f>
        <v>NT 30/1 Me Classic</v>
      </c>
      <c r="C15" s="53">
        <f>Лист1!K15</f>
        <v>14285680</v>
      </c>
      <c r="D15" s="36">
        <f t="shared" si="0"/>
        <v>0</v>
      </c>
      <c r="E15" s="30">
        <f>COUNTIF(Лист1!$A$3:$A$50,B15)</f>
        <v>0</v>
      </c>
      <c r="F15" s="30">
        <f>COUNTIF(Лист1!$E$3:$E$50,B15)</f>
        <v>0</v>
      </c>
    </row>
    <row r="16" spans="2:6" hidden="1">
      <c r="B16" s="26" t="str">
        <f>LEFT(Лист1!L16,30)</f>
        <v>K2 Compact</v>
      </c>
      <c r="C16" s="53">
        <f>Лист1!K16</f>
        <v>16735000</v>
      </c>
      <c r="D16" s="36">
        <f t="shared" si="0"/>
        <v>0</v>
      </c>
      <c r="E16" s="30">
        <f>COUNTIF(Лист1!$A$3:$A$50,B16)</f>
        <v>0</v>
      </c>
      <c r="F16" s="30">
        <f>COUNTIF(Лист1!$E$3:$E$50,B16)</f>
        <v>0</v>
      </c>
    </row>
    <row r="17" spans="2:6" hidden="1">
      <c r="B17" s="26" t="str">
        <f>LEFT(Лист1!L17,30)</f>
        <v>K5 Premium</v>
      </c>
      <c r="C17" s="53">
        <f>Лист1!K17</f>
        <v>11813130</v>
      </c>
      <c r="D17" s="36">
        <f t="shared" si="0"/>
        <v>0</v>
      </c>
      <c r="E17" s="30">
        <f>COUNTIF(Лист1!$A$3:$A$50,B17)</f>
        <v>0</v>
      </c>
      <c r="F17" s="30">
        <f>COUNTIF(Лист1!$E$3:$E$50,B17)</f>
        <v>0</v>
      </c>
    </row>
    <row r="18" spans="2:6" hidden="1">
      <c r="B18" s="26" t="str">
        <f>LEFT(Лист1!L18,30)</f>
        <v>HD5/11 P</v>
      </c>
      <c r="C18" s="53">
        <f>Лист1!K18</f>
        <v>15209600</v>
      </c>
      <c r="D18" s="36">
        <f t="shared" si="0"/>
        <v>0</v>
      </c>
      <c r="E18" s="30">
        <f>COUNTIF(Лист1!$A$3:$A$50,B18)</f>
        <v>0</v>
      </c>
      <c r="F18" s="30">
        <f>COUNTIF(Лист1!$E$3:$E$50,B18)</f>
        <v>0</v>
      </c>
    </row>
    <row r="19" spans="2:6" hidden="1">
      <c r="B19" s="26" t="str">
        <f>LEFT(Лист1!L19,30)</f>
        <v>K7 Compact Home</v>
      </c>
      <c r="C19" s="53">
        <f>Лист1!K19</f>
        <v>14470530</v>
      </c>
      <c r="D19" s="36">
        <f t="shared" si="0"/>
        <v>0</v>
      </c>
      <c r="E19" s="30">
        <f>COUNTIF(Лист1!$A$3:$A$50,B19)</f>
        <v>0</v>
      </c>
      <c r="F19" s="30">
        <f>COUNTIF(Лист1!$E$3:$E$50,B19)</f>
        <v>0</v>
      </c>
    </row>
    <row r="20" spans="2:6" hidden="1">
      <c r="B20" s="26" t="str">
        <f>LEFT(Лист1!L20,30)</f>
        <v>K7 Compact</v>
      </c>
      <c r="C20" s="53">
        <f>Лист1!K20</f>
        <v>14470500</v>
      </c>
      <c r="D20" s="36">
        <f t="shared" si="0"/>
        <v>0</v>
      </c>
      <c r="E20" s="30">
        <f>COUNTIF(Лист1!$A$3:$A$50,B20)</f>
        <v>0</v>
      </c>
      <c r="F20" s="30">
        <f>COUNTIF(Лист1!$E$3:$E$50,B20)</f>
        <v>0</v>
      </c>
    </row>
    <row r="21" spans="2:6" hidden="1">
      <c r="B21" s="26" t="str">
        <f>LEFT(Лист1!L21,30)</f>
        <v>K7 Prem Smart Control</v>
      </c>
      <c r="C21" s="53">
        <f>Лист1!K21</f>
        <v>13172300</v>
      </c>
      <c r="D21" s="36">
        <f t="shared" si="0"/>
        <v>0</v>
      </c>
      <c r="E21" s="30">
        <f>COUNTIF(Лист1!$A$3:$A$50,B21)</f>
        <v>0</v>
      </c>
      <c r="F21" s="30">
        <f>COUNTIF(Лист1!$E$3:$E$50,B21)</f>
        <v>0</v>
      </c>
    </row>
    <row r="22" spans="2:6" hidden="1">
      <c r="B22" s="26" t="str">
        <f>LEFT(Лист1!L22,30)</f>
        <v>K7  Smart Control</v>
      </c>
      <c r="C22" s="53">
        <f>Лист1!K22</f>
        <v>13172000</v>
      </c>
      <c r="D22" s="36">
        <f t="shared" si="0"/>
        <v>0</v>
      </c>
      <c r="E22" s="30">
        <f>COUNTIF(Лист1!$A$3:$A$50,B22)</f>
        <v>0</v>
      </c>
      <c r="F22" s="30">
        <f>COUNTIF(Лист1!$E$3:$E$50,B22)</f>
        <v>0</v>
      </c>
    </row>
    <row r="23" spans="2:6" hidden="1">
      <c r="B23" s="26" t="str">
        <f>LEFT(Лист1!L23,30)</f>
        <v>HD5/15 C</v>
      </c>
      <c r="C23" s="53">
        <f>Лист1!K23</f>
        <v>15209300</v>
      </c>
      <c r="D23" s="36">
        <f t="shared" si="0"/>
        <v>0</v>
      </c>
      <c r="E23" s="30">
        <f>COUNTIF(Лист1!$A$3:$A$50,B23)</f>
        <v>0</v>
      </c>
      <c r="F23" s="30">
        <f>COUNTIF(Лист1!$E$3:$E$50,B23)</f>
        <v>0</v>
      </c>
    </row>
    <row r="24" spans="2:6" hidden="1">
      <c r="B24" s="26" t="str">
        <f>LEFT(Лист1!L24,30)</f>
        <v>BLV 18-200 Battery</v>
      </c>
      <c r="C24" s="53">
        <f>Лист1!K24</f>
        <v>14441000</v>
      </c>
      <c r="D24" s="36">
        <f t="shared" si="0"/>
        <v>0</v>
      </c>
      <c r="E24" s="30">
        <f>COUNTIF(Лист1!$A$3:$A$50,B24)</f>
        <v>0</v>
      </c>
      <c r="F24" s="30">
        <f>COUNTIF(Лист1!$E$3:$E$50,B24)</f>
        <v>0</v>
      </c>
    </row>
    <row r="25" spans="2:6" hidden="1">
      <c r="B25" s="26" t="str">
        <f>LEFT(Лист1!L25,30)</f>
        <v>HD9/20-4 Classic</v>
      </c>
      <c r="C25" s="53">
        <f>Лист1!K25</f>
        <v>13673080</v>
      </c>
      <c r="D25" s="36">
        <f t="shared" si="0"/>
        <v>0</v>
      </c>
      <c r="E25" s="30">
        <f>COUNTIF(Лист1!$A$3:$A$50,B25)</f>
        <v>0</v>
      </c>
      <c r="F25" s="30">
        <f>COUNTIF(Лист1!$E$3:$E$50,B25)</f>
        <v>0</v>
      </c>
    </row>
    <row r="26" spans="2:6" hidden="1">
      <c r="B26" s="26" t="str">
        <f>LEFT(Лист1!L26,30)</f>
        <v>HD9/20-4M</v>
      </c>
      <c r="C26" s="53">
        <f>Лист1!K26</f>
        <v>15249240</v>
      </c>
      <c r="D26" s="36">
        <f t="shared" si="0"/>
        <v>0</v>
      </c>
      <c r="E26" s="30">
        <f>COUNTIF(Лист1!$A$3:$A$50,B26)</f>
        <v>0</v>
      </c>
      <c r="F26" s="30">
        <f>COUNTIF(Лист1!$E$3:$E$50,B26)</f>
        <v>0</v>
      </c>
    </row>
    <row r="27" spans="2:6" hidden="1">
      <c r="B27" s="26" t="str">
        <f>LEFT(Лист1!L27,30)</f>
        <v>HD10/23-4S</v>
      </c>
      <c r="C27" s="53">
        <f>Лист1!K27</f>
        <v>12869220</v>
      </c>
      <c r="D27" s="36">
        <f t="shared" si="0"/>
        <v>0</v>
      </c>
      <c r="E27" s="30">
        <f>COUNTIF(Лист1!$A$3:$A$50,B27)</f>
        <v>0</v>
      </c>
      <c r="F27" s="30">
        <f>COUNTIF(Лист1!$E$3:$E$50,B27)</f>
        <v>0</v>
      </c>
    </row>
    <row r="28" spans="2:6" hidden="1">
      <c r="B28" s="26" t="str">
        <f>LEFT(Лист1!L28,30)</f>
        <v>HD10/21-4S</v>
      </c>
      <c r="C28" s="53">
        <f>Лист1!K28</f>
        <v>12869160</v>
      </c>
      <c r="D28" s="36">
        <f t="shared" si="0"/>
        <v>0</v>
      </c>
      <c r="E28" s="30">
        <f>COUNTIF(Лист1!$A$3:$A$50,B28)</f>
        <v>0</v>
      </c>
      <c r="F28" s="30">
        <f>COUNTIF(Лист1!$E$3:$E$50,B28)</f>
        <v>0</v>
      </c>
    </row>
    <row r="29" spans="2:6" hidden="1">
      <c r="B29" s="26" t="str">
        <f>LEFT(Лист1!L29,30)</f>
        <v>SC1 EasyFix Premium</v>
      </c>
      <c r="C29" s="53">
        <f>Лист1!K29</f>
        <v>15163750</v>
      </c>
      <c r="D29" s="36">
        <f t="shared" si="0"/>
        <v>0</v>
      </c>
      <c r="E29" s="30">
        <f>COUNTIF(Лист1!$A$3:$A$50,B29)</f>
        <v>0</v>
      </c>
      <c r="F29" s="30">
        <f>COUNTIF(Лист1!$E$3:$E$50,B29)</f>
        <v>0</v>
      </c>
    </row>
    <row r="30" spans="2:6" hidden="1">
      <c r="B30" s="26" t="str">
        <f>LEFT(Лист1!L30,30)</f>
        <v>SC1 EasyFix Floorkit</v>
      </c>
      <c r="C30" s="53">
        <f>Лист1!K30</f>
        <v>15163320</v>
      </c>
      <c r="D30" s="36">
        <f t="shared" si="0"/>
        <v>0</v>
      </c>
      <c r="E30" s="30">
        <f>COUNTIF(Лист1!$A$3:$A$50,B30)</f>
        <v>0</v>
      </c>
      <c r="F30" s="30">
        <f>COUNTIF(Лист1!$E$3:$E$50,B30)</f>
        <v>0</v>
      </c>
    </row>
    <row r="31" spans="2:6" hidden="1">
      <c r="B31" s="26" t="str">
        <f>LEFT(Лист1!L31,30)</f>
        <v>SC1</v>
      </c>
      <c r="C31" s="53">
        <f>Лист1!K31</f>
        <v>15163000</v>
      </c>
      <c r="D31" s="36">
        <f t="shared" si="0"/>
        <v>0</v>
      </c>
      <c r="E31" s="30">
        <f>COUNTIF(Лист1!$A$3:$A$50,B31)</f>
        <v>0</v>
      </c>
      <c r="F31" s="30">
        <f>COUNTIF(Лист1!$E$3:$E$50,B31)</f>
        <v>0</v>
      </c>
    </row>
    <row r="32" spans="2:6" hidden="1">
      <c r="B32" s="26" t="str">
        <f>LEFT(Лист1!L32,30)</f>
        <v>SC5 EasyFix Premium</v>
      </c>
      <c r="C32" s="53">
        <f>Лист1!K32</f>
        <v>15125500</v>
      </c>
      <c r="D32" s="36">
        <f t="shared" si="0"/>
        <v>0</v>
      </c>
      <c r="E32" s="30">
        <f>COUNTIF(Лист1!$A$3:$A$50,B32)</f>
        <v>0</v>
      </c>
      <c r="F32" s="30">
        <f>COUNTIF(Лист1!$E$3:$E$50,B32)</f>
        <v>0</v>
      </c>
    </row>
    <row r="33" spans="2:6" hidden="1">
      <c r="B33" s="26" t="str">
        <f>LEFT(Лист1!L33,30)</f>
        <v>SC2 EasyFix</v>
      </c>
      <c r="C33" s="53">
        <f>Лист1!K33</f>
        <v>15120630</v>
      </c>
      <c r="D33" s="36">
        <f t="shared" si="0"/>
        <v>0</v>
      </c>
      <c r="E33" s="30">
        <f>COUNTIF(Лист1!$A$3:$A$50,B33)</f>
        <v>0</v>
      </c>
      <c r="F33" s="30">
        <f>COUNTIF(Лист1!$E$3:$E$50,B33)</f>
        <v>0</v>
      </c>
    </row>
    <row r="34" spans="2:6" hidden="1">
      <c r="B34" s="26" t="str">
        <f>LEFT(Лист1!L34,30)</f>
        <v>SC2 EasyFix Premium</v>
      </c>
      <c r="C34" s="53">
        <f>Лист1!K34</f>
        <v>15120900</v>
      </c>
      <c r="D34" s="36">
        <f t="shared" si="0"/>
        <v>0</v>
      </c>
      <c r="E34" s="30">
        <f>COUNTIF(Лист1!$A$3:$A$50,B34)</f>
        <v>0</v>
      </c>
      <c r="F34" s="30">
        <f>COUNTIF(Лист1!$E$3:$E$50,B34)</f>
        <v>0</v>
      </c>
    </row>
    <row r="35" spans="2:6" hidden="1">
      <c r="B35" s="26" t="str">
        <f>LEFT(Лист1!L35,30)</f>
        <v>SC3 Premium</v>
      </c>
      <c r="C35" s="53">
        <f>Лист1!K35</f>
        <v>15130500</v>
      </c>
      <c r="D35" s="36">
        <f t="shared" ref="D35:D66" si="1">E35+F35</f>
        <v>0</v>
      </c>
      <c r="E35" s="30">
        <f>COUNTIF(Лист1!$A$3:$A$50,B35)</f>
        <v>0</v>
      </c>
      <c r="F35" s="30">
        <f>COUNTIF(Лист1!$E$3:$E$50,B35)</f>
        <v>0</v>
      </c>
    </row>
    <row r="36" spans="2:6" hidden="1">
      <c r="B36" s="26" t="str">
        <f>LEFT(Лист1!L36,30)</f>
        <v>SC4 Easy Fix</v>
      </c>
      <c r="C36" s="53">
        <f>Лист1!K36</f>
        <v>15124500</v>
      </c>
      <c r="D36" s="36">
        <f t="shared" si="1"/>
        <v>0</v>
      </c>
      <c r="E36" s="30">
        <f>COUNTIF(Лист1!$A$3:$A$50,B36)</f>
        <v>0</v>
      </c>
      <c r="F36" s="30">
        <f>COUNTIF(Лист1!$E$3:$E$50,B36)</f>
        <v>0</v>
      </c>
    </row>
    <row r="37" spans="2:6" hidden="1">
      <c r="B37" s="26" t="str">
        <f>LEFT(Лист1!L37,30)</f>
        <v>SC4 Prem EasyFix</v>
      </c>
      <c r="C37" s="53">
        <f>Лист1!K37</f>
        <v>15124800</v>
      </c>
      <c r="D37" s="36">
        <f t="shared" si="1"/>
        <v>0</v>
      </c>
      <c r="E37" s="30">
        <f>COUNTIF(Лист1!$A$3:$A$50,B37)</f>
        <v>0</v>
      </c>
      <c r="F37" s="30">
        <f>COUNTIF(Лист1!$E$3:$E$50,B37)</f>
        <v>0</v>
      </c>
    </row>
    <row r="38" spans="2:6" hidden="1">
      <c r="B38" s="26" t="str">
        <f>LEFT(Лист1!L38,30)</f>
        <v>SV7 (White)</v>
      </c>
      <c r="C38" s="53">
        <f>Лист1!K38</f>
        <v>14394200</v>
      </c>
      <c r="D38" s="36">
        <f t="shared" si="1"/>
        <v>0</v>
      </c>
      <c r="E38" s="30">
        <f>COUNTIF(Лист1!$A$3:$A$50,B38)</f>
        <v>0</v>
      </c>
      <c r="F38" s="30">
        <f>COUNTIF(Лист1!$E$3:$E$50,B38)</f>
        <v>0</v>
      </c>
    </row>
    <row r="39" spans="2:6" hidden="1">
      <c r="B39" s="26" t="str">
        <f>LEFT(Лист1!L39,30)</f>
        <v>T8/1 Classic</v>
      </c>
      <c r="C39" s="53">
        <f>Лист1!K39</f>
        <v>15271600</v>
      </c>
      <c r="D39" s="36">
        <f t="shared" si="1"/>
        <v>0</v>
      </c>
      <c r="E39" s="30">
        <f>COUNTIF(Лист1!$A$3:$A$50,B39)</f>
        <v>0</v>
      </c>
      <c r="F39" s="30">
        <f>COUNTIF(Лист1!$E$3:$E$50,B39)</f>
        <v>0</v>
      </c>
    </row>
    <row r="40" spans="2:6" hidden="1">
      <c r="B40" s="26" t="str">
        <f>LEFT(Лист1!L40,30)</f>
        <v>SC4 EasyFix Prem Iron</v>
      </c>
      <c r="C40" s="53">
        <f>Лист1!K40</f>
        <v>15124890</v>
      </c>
      <c r="D40" s="36">
        <f t="shared" si="1"/>
        <v>0</v>
      </c>
      <c r="E40" s="30">
        <f>COUNTIF(Лист1!$A$3:$A$50,B40)</f>
        <v>0</v>
      </c>
      <c r="F40" s="30">
        <f>COUNTIF(Лист1!$E$3:$E$50,B40)</f>
        <v>0</v>
      </c>
    </row>
    <row r="41" spans="2:6" hidden="1">
      <c r="B41" s="26" t="str">
        <f>LEFT(Лист1!L41,30)</f>
        <v>SC5 Premium</v>
      </c>
      <c r="C41" s="53">
        <f>Лист1!K41</f>
        <v>15125200</v>
      </c>
      <c r="D41" s="36">
        <f t="shared" si="1"/>
        <v>0</v>
      </c>
      <c r="E41" s="30">
        <f>COUNTIF(Лист1!$A$3:$A$50,B41)</f>
        <v>0</v>
      </c>
      <c r="F41" s="30">
        <f>COUNTIF(Лист1!$E$3:$E$50,B41)</f>
        <v>0</v>
      </c>
    </row>
    <row r="42" spans="2:6" hidden="1">
      <c r="B42" s="26" t="str">
        <f>LEFT(Лист1!L42,30)</f>
        <v>SI4 Premium EasyFix</v>
      </c>
      <c r="C42" s="53">
        <f>Лист1!K42</f>
        <v>15124900</v>
      </c>
      <c r="D42" s="36">
        <f t="shared" si="1"/>
        <v>0</v>
      </c>
      <c r="E42" s="30">
        <f>COUNTIF(Лист1!$A$3:$A$50,B42)</f>
        <v>0</v>
      </c>
      <c r="F42" s="30">
        <f>COUNTIF(Лист1!$E$3:$E$50,B42)</f>
        <v>0</v>
      </c>
    </row>
    <row r="43" spans="2:6" hidden="1">
      <c r="B43" s="26" t="str">
        <f>LEFT(Лист1!L43,30)</f>
        <v>SC5 Premium Iron Kit</v>
      </c>
      <c r="C43" s="53">
        <f>Лист1!K43</f>
        <v>15125570</v>
      </c>
      <c r="D43" s="36">
        <f t="shared" si="1"/>
        <v>0</v>
      </c>
      <c r="E43" s="30">
        <f>COUNTIF(Лист1!$A$3:$A$50,B43)</f>
        <v>0</v>
      </c>
      <c r="F43" s="30">
        <f>COUNTIF(Лист1!$E$3:$E$50,B43)</f>
        <v>0</v>
      </c>
    </row>
    <row r="44" spans="2:6" hidden="1">
      <c r="B44" s="26" t="str">
        <f>LEFT(Лист1!L44,30)</f>
        <v>SP1 Dirt Connector Set</v>
      </c>
      <c r="C44" s="53">
        <f>Лист1!K44</f>
        <v>16455340</v>
      </c>
      <c r="D44" s="36">
        <f t="shared" si="1"/>
        <v>0</v>
      </c>
      <c r="E44" s="30">
        <f>COUNTIF(Лист1!$A$3:$A$50,B44)</f>
        <v>0</v>
      </c>
      <c r="F44" s="30">
        <f>COUNTIF(Лист1!$E$3:$E$50,B44)</f>
        <v>0</v>
      </c>
    </row>
    <row r="45" spans="2:6" hidden="1">
      <c r="B45" s="26" t="str">
        <f>LEFT(Лист1!L45,30)</f>
        <v>SP3 Dirt</v>
      </c>
      <c r="C45" s="53">
        <f>Лист1!K45</f>
        <v>16455020</v>
      </c>
      <c r="D45" s="36">
        <f t="shared" si="1"/>
        <v>0</v>
      </c>
      <c r="E45" s="30">
        <f>COUNTIF(Лист1!$A$3:$A$50,B45)</f>
        <v>0</v>
      </c>
      <c r="F45" s="30">
        <f>COUNTIF(Лист1!$E$3:$E$50,B45)</f>
        <v>0</v>
      </c>
    </row>
    <row r="46" spans="2:6" hidden="1">
      <c r="B46" s="26" t="str">
        <f>LEFT(Лист1!L46,30)</f>
        <v>SP5 Dirt</v>
      </c>
      <c r="C46" s="53">
        <f>Лист1!K46</f>
        <v>16455030</v>
      </c>
      <c r="D46" s="36">
        <f t="shared" si="1"/>
        <v>0</v>
      </c>
      <c r="E46" s="30">
        <f>COUNTIF(Лист1!$A$3:$A$50,B46)</f>
        <v>0</v>
      </c>
      <c r="F46" s="30">
        <f>COUNTIF(Лист1!$E$3:$E$50,B46)</f>
        <v>0</v>
      </c>
    </row>
    <row r="47" spans="2:6" hidden="1">
      <c r="B47" s="26" t="str">
        <f>LEFT(Лист1!L47,30)</f>
        <v>SP7 Dirt</v>
      </c>
      <c r="C47" s="53">
        <f>Лист1!K47</f>
        <v>16455040</v>
      </c>
      <c r="D47" s="36">
        <f t="shared" si="1"/>
        <v>0</v>
      </c>
      <c r="E47" s="30">
        <f>COUNTIF(Лист1!$A$3:$A$50,B47)</f>
        <v>0</v>
      </c>
      <c r="F47" s="30">
        <f>COUNTIF(Лист1!$E$3:$E$50,B47)</f>
        <v>0</v>
      </c>
    </row>
    <row r="48" spans="2:6" hidden="1">
      <c r="B48" s="26" t="str">
        <f>LEFT(Лист1!L48,30)</f>
        <v>WD6 P S V-30/6/22/T</v>
      </c>
      <c r="C48" s="53">
        <f>Лист1!K48</f>
        <v>16283600</v>
      </c>
      <c r="D48" s="36">
        <f t="shared" si="1"/>
        <v>0</v>
      </c>
      <c r="E48" s="30">
        <f>COUNTIF(Лист1!$A$3:$A$50,B48)</f>
        <v>0</v>
      </c>
      <c r="F48" s="30">
        <f>COUNTIF(Лист1!$E$3:$E$50,B48)</f>
        <v>0</v>
      </c>
    </row>
    <row r="49" spans="2:6" hidden="1">
      <c r="B49" s="26" t="str">
        <f>LEFT(Лист1!L49,30)</f>
        <v>SP2 Flat</v>
      </c>
      <c r="C49" s="53">
        <f>Лист1!K49</f>
        <v>16455010</v>
      </c>
      <c r="D49" s="36">
        <f t="shared" si="1"/>
        <v>0</v>
      </c>
      <c r="E49" s="30">
        <f>COUNTIF(Лист1!$A$3:$A$50,B49)</f>
        <v>0</v>
      </c>
      <c r="F49" s="30">
        <f>COUNTIF(Лист1!$E$3:$E$50,B49)</f>
        <v>0</v>
      </c>
    </row>
    <row r="50" spans="2:6" hidden="1">
      <c r="B50" s="26" t="str">
        <f>LEFT(Лист1!L50,30)</f>
        <v>SC3 Upright EF Prem</v>
      </c>
      <c r="C50" s="53">
        <f>Лист1!K50</f>
        <v>15133200</v>
      </c>
      <c r="D50" s="36">
        <f t="shared" si="1"/>
        <v>0</v>
      </c>
      <c r="E50" s="30">
        <f>COUNTIF(Лист1!$A$3:$A$50,B50)</f>
        <v>0</v>
      </c>
      <c r="F50" s="30">
        <f>COUNTIF(Лист1!$E$3:$E$50,B50)</f>
        <v>0</v>
      </c>
    </row>
    <row r="51" spans="2:6" hidden="1">
      <c r="B51" s="26" t="str">
        <f>LEFT(Лист1!L51,30)</f>
        <v>BP1 Barrel</v>
      </c>
      <c r="C51" s="53">
        <f>Лист1!K51</f>
        <v>16454600</v>
      </c>
      <c r="D51" s="36">
        <f t="shared" si="1"/>
        <v>0</v>
      </c>
      <c r="E51" s="30">
        <f>COUNTIF(Лист1!$A$3:$A$50,B51)</f>
        <v>0</v>
      </c>
      <c r="F51" s="30">
        <f>COUNTIF(Лист1!$E$3:$E$50,B51)</f>
        <v>0</v>
      </c>
    </row>
    <row r="52" spans="2:6" hidden="1">
      <c r="B52" s="26" t="str">
        <f>LEFT(Лист1!L52,30)</f>
        <v>BP1 Barrel Set</v>
      </c>
      <c r="C52" s="53">
        <f>Лист1!K52</f>
        <v>16454650</v>
      </c>
      <c r="D52" s="36">
        <f t="shared" si="1"/>
        <v>0</v>
      </c>
      <c r="E52" s="30">
        <f>COUNTIF(Лист1!$A$3:$A$50,B52)</f>
        <v>0</v>
      </c>
      <c r="F52" s="30">
        <f>COUNTIF(Лист1!$E$3:$E$50,B52)</f>
        <v>0</v>
      </c>
    </row>
    <row r="53" spans="2:6" hidden="1">
      <c r="B53" s="26" t="str">
        <f>LEFT(Лист1!L53,30)</f>
        <v>SC5 EasyFix Iron Plug</v>
      </c>
      <c r="C53" s="53">
        <f>Лист1!K53</f>
        <v>15125300</v>
      </c>
      <c r="D53" s="36">
        <f t="shared" si="1"/>
        <v>0</v>
      </c>
      <c r="E53" s="30">
        <f>COUNTIF(Лист1!$A$3:$A$50,B53)</f>
        <v>0</v>
      </c>
      <c r="F53" s="30">
        <f>COUNTIF(Лист1!$E$3:$E$50,B53)</f>
        <v>0</v>
      </c>
    </row>
    <row r="54" spans="2:6" hidden="1">
      <c r="B54" s="26" t="str">
        <f>LEFT(Лист1!L54,30)</f>
        <v>BP3 Home</v>
      </c>
      <c r="C54" s="53">
        <f>Лист1!K54</f>
        <v>16453650</v>
      </c>
      <c r="D54" s="36">
        <f t="shared" si="1"/>
        <v>0</v>
      </c>
      <c r="E54" s="30">
        <f>COUNTIF(Лист1!$A$3:$A$50,B54)</f>
        <v>0</v>
      </c>
      <c r="F54" s="30">
        <f>COUNTIF(Лист1!$E$3:$E$50,B54)</f>
        <v>0</v>
      </c>
    </row>
    <row r="55" spans="2:6" hidden="1">
      <c r="B55" s="26" t="str">
        <f>LEFT(Лист1!L55,30)</f>
        <v>NT30/1 Ap L</v>
      </c>
      <c r="C55" s="53">
        <f>Лист1!K55</f>
        <v>11482210</v>
      </c>
      <c r="D55" s="36">
        <f t="shared" si="1"/>
        <v>0</v>
      </c>
      <c r="E55" s="30">
        <f>COUNTIF(Лист1!$A$3:$A$50,B55)</f>
        <v>0</v>
      </c>
      <c r="F55" s="30">
        <f>COUNTIF(Лист1!$E$3:$E$50,B55)</f>
        <v>0</v>
      </c>
    </row>
    <row r="56" spans="2:6" hidden="1">
      <c r="B56" s="26" t="str">
        <f>LEFT(Лист1!L56,30)</f>
        <v>K5 Power Control</v>
      </c>
      <c r="C56" s="53">
        <f>Лист1!K56</f>
        <v>13245500</v>
      </c>
      <c r="D56" s="36">
        <f t="shared" si="1"/>
        <v>0</v>
      </c>
      <c r="E56" s="30">
        <f>COUNTIF(Лист1!$A$3:$A$50,B56)</f>
        <v>0</v>
      </c>
      <c r="F56" s="30">
        <f>COUNTIF(Лист1!$E$3:$E$50,B56)</f>
        <v>0</v>
      </c>
    </row>
    <row r="57" spans="2:6" hidden="1">
      <c r="B57" s="26" t="str">
        <f>LEFT(Лист1!L57,30)</f>
        <v>SC2 Upright Easy Fix</v>
      </c>
      <c r="C57" s="53">
        <f>Лист1!K57</f>
        <v>15133450</v>
      </c>
      <c r="D57" s="36">
        <f t="shared" si="1"/>
        <v>0</v>
      </c>
      <c r="E57" s="30">
        <f>COUNTIF(Лист1!$A$3:$A$50,B57)</f>
        <v>0</v>
      </c>
      <c r="F57" s="30">
        <f>COUNTIF(Лист1!$E$3:$E$50,B57)</f>
        <v>0</v>
      </c>
    </row>
    <row r="58" spans="2:6" hidden="1">
      <c r="B58" s="26" t="str">
        <f>LEFT(Лист1!L58,30)</f>
        <v>BP4 Home&amp;Garden</v>
      </c>
      <c r="C58" s="53">
        <f>Лист1!K58</f>
        <v>16453630</v>
      </c>
      <c r="D58" s="36">
        <f t="shared" si="1"/>
        <v>0</v>
      </c>
      <c r="E58" s="30">
        <f>COUNTIF(Лист1!$A$3:$A$50,B58)</f>
        <v>0</v>
      </c>
      <c r="F58" s="30">
        <f>COUNTIF(Лист1!$E$3:$E$50,B58)</f>
        <v>0</v>
      </c>
    </row>
    <row r="59" spans="2:6" hidden="1">
      <c r="B59" s="26" t="str">
        <f>LEFT(Лист1!L59,30)</f>
        <v>BP3 Garden</v>
      </c>
      <c r="C59" s="53">
        <f>Лист1!K59</f>
        <v>16453510</v>
      </c>
      <c r="D59" s="36">
        <f t="shared" si="1"/>
        <v>0</v>
      </c>
      <c r="E59" s="30">
        <f>COUNTIF(Лист1!$A$3:$A$50,B59)</f>
        <v>0</v>
      </c>
      <c r="F59" s="30">
        <f>COUNTIF(Лист1!$E$3:$E$50,B59)</f>
        <v>0</v>
      </c>
    </row>
    <row r="60" spans="2:6" hidden="1">
      <c r="B60" s="26" t="str">
        <f>LEFT(Лист1!L60,30)</f>
        <v>T7/1 Classic</v>
      </c>
      <c r="C60" s="53">
        <f>Лист1!K60</f>
        <v>15271810</v>
      </c>
      <c r="D60" s="36">
        <f t="shared" si="1"/>
        <v>0</v>
      </c>
      <c r="E60" s="30">
        <f>COUNTIF(Лист1!$A$3:$A$50,B60)</f>
        <v>0</v>
      </c>
      <c r="F60" s="30">
        <f>COUNTIF(Лист1!$E$3:$E$50,B60)</f>
        <v>0</v>
      </c>
    </row>
    <row r="61" spans="2:6" hidden="1">
      <c r="B61" s="26" t="str">
        <f>LEFT(Лист1!L61,30)</f>
        <v>T8/1 L</v>
      </c>
      <c r="C61" s="53">
        <f>Лист1!K61</f>
        <v>15271880</v>
      </c>
      <c r="D61" s="36">
        <f t="shared" si="1"/>
        <v>0</v>
      </c>
      <c r="E61" s="30">
        <f>COUNTIF(Лист1!$A$3:$A$50,B61)</f>
        <v>0</v>
      </c>
      <c r="F61" s="30">
        <f>COUNTIF(Лист1!$E$3:$E$50,B61)</f>
        <v>0</v>
      </c>
    </row>
    <row r="62" spans="2:6" hidden="1">
      <c r="B62" s="26" t="str">
        <f>LEFT(Лист1!L62,30)</f>
        <v>T10/1 Adv</v>
      </c>
      <c r="C62" s="53">
        <f>Лист1!K62</f>
        <v>15271540</v>
      </c>
      <c r="D62" s="36">
        <f t="shared" si="1"/>
        <v>0</v>
      </c>
      <c r="E62" s="30">
        <f>COUNTIF(Лист1!$A$3:$A$50,B62)</f>
        <v>0</v>
      </c>
      <c r="F62" s="30">
        <f>COUNTIF(Лист1!$E$3:$E$50,B62)</f>
        <v>0</v>
      </c>
    </row>
    <row r="63" spans="2:6" hidden="1">
      <c r="B63" s="26" t="str">
        <f>LEFT(Лист1!L63,30)</f>
        <v>K4 Compact UM</v>
      </c>
      <c r="C63" s="53">
        <f>Лист1!K63</f>
        <v>16794000</v>
      </c>
      <c r="D63" s="36">
        <f t="shared" si="1"/>
        <v>0</v>
      </c>
      <c r="E63" s="30">
        <f>COUNTIF(Лист1!$A$3:$A$50,B63)</f>
        <v>0</v>
      </c>
      <c r="F63" s="30">
        <f>COUNTIF(Лист1!$E$3:$E$50,B63)</f>
        <v>0</v>
      </c>
    </row>
    <row r="64" spans="2:6" hidden="1">
      <c r="B64" s="26" t="str">
        <f>LEFT(Лист1!L64,30)</f>
        <v>HD 6/15-4 Classic</v>
      </c>
      <c r="C64" s="53">
        <f>Лист1!K64</f>
        <v>13673060</v>
      </c>
      <c r="D64" s="36">
        <f t="shared" si="1"/>
        <v>0</v>
      </c>
      <c r="E64" s="30">
        <f>COUNTIF(Лист1!$A$3:$A$50,B64)</f>
        <v>0</v>
      </c>
      <c r="F64" s="30">
        <f>COUNTIF(Лист1!$E$3:$E$50,B64)</f>
        <v>0</v>
      </c>
    </row>
    <row r="65" spans="2:6" hidden="1">
      <c r="B65" s="26" t="str">
        <f>LEFT(Лист1!L65,30)</f>
        <v>K2 Power Control</v>
      </c>
      <c r="C65" s="53">
        <f>Лист1!K65</f>
        <v>16736000</v>
      </c>
      <c r="D65" s="36">
        <f t="shared" si="1"/>
        <v>0</v>
      </c>
      <c r="E65" s="30">
        <f>COUNTIF(Лист1!$A$3:$A$50,B65)</f>
        <v>0</v>
      </c>
      <c r="F65" s="30">
        <f>COUNTIF(Лист1!$E$3:$E$50,B65)</f>
        <v>0</v>
      </c>
    </row>
    <row r="66" spans="2:6" hidden="1">
      <c r="B66" s="26" t="str">
        <f>LEFT(Лист1!L66,30)</f>
        <v>K Mini</v>
      </c>
      <c r="C66" s="53">
        <f>Лист1!K66</f>
        <v>16000540</v>
      </c>
      <c r="D66" s="36">
        <f t="shared" si="1"/>
        <v>0</v>
      </c>
      <c r="E66" s="30">
        <f>COUNTIF(Лист1!$A$3:$A$50,B66)</f>
        <v>0</v>
      </c>
      <c r="F66" s="30">
        <f>COUNTIF(Лист1!$E$3:$E$50,B66)</f>
        <v>0</v>
      </c>
    </row>
    <row r="67" spans="2:6" hidden="1">
      <c r="B67" s="26" t="str">
        <f>LEFT(Лист1!L67,30)</f>
        <v>LMO 36-46 Battery Set</v>
      </c>
      <c r="C67" s="53">
        <f>Лист1!K67</f>
        <v>14444700</v>
      </c>
      <c r="D67" s="36">
        <f t="shared" ref="D67:D98" si="2">E67+F67</f>
        <v>0</v>
      </c>
      <c r="E67" s="30">
        <f>COUNTIF(Лист1!$A$3:$A$50,B67)</f>
        <v>0</v>
      </c>
      <c r="F67" s="30">
        <f>COUNTIF(Лист1!$E$3:$E$50,B67)</f>
        <v>0</v>
      </c>
    </row>
    <row r="68" spans="2:6" hidden="1">
      <c r="B68" s="26" t="str">
        <f>LEFT(Лист1!L68,30)</f>
        <v>NT65/2 Ap</v>
      </c>
      <c r="C68" s="53">
        <f>Лист1!K68</f>
        <v>16672910</v>
      </c>
      <c r="D68" s="36">
        <f t="shared" si="2"/>
        <v>0</v>
      </c>
      <c r="E68" s="30">
        <f>COUNTIF(Лист1!$A$3:$A$50,B68)</f>
        <v>0</v>
      </c>
      <c r="F68" s="30">
        <f>COUNTIF(Лист1!$E$3:$E$50,B68)</f>
        <v>0</v>
      </c>
    </row>
    <row r="69" spans="2:6" hidden="1">
      <c r="B69" s="26" t="str">
        <f>LEFT(Лист1!L69,30)</f>
        <v>K7 Power</v>
      </c>
      <c r="C69" s="53">
        <f>Лист1!K69</f>
        <v>13171500</v>
      </c>
      <c r="D69" s="36">
        <f t="shared" si="2"/>
        <v>0</v>
      </c>
      <c r="E69" s="30">
        <f>COUNTIF(Лист1!$A$3:$A$50,B69)</f>
        <v>0</v>
      </c>
      <c r="F69" s="30">
        <f>COUNTIF(Лист1!$E$3:$E$50,B69)</f>
        <v>0</v>
      </c>
    </row>
    <row r="70" spans="2:6" hidden="1">
      <c r="B70" s="26" t="str">
        <f>LEFT(Лист1!L70,30)</f>
        <v>NT70/2 Me Classic</v>
      </c>
      <c r="C70" s="53">
        <f>Лист1!K70</f>
        <v>16673060</v>
      </c>
      <c r="D70" s="36">
        <f t="shared" si="2"/>
        <v>0</v>
      </c>
      <c r="E70" s="30">
        <f>COUNTIF(Лист1!$A$3:$A$50,B70)</f>
        <v>0</v>
      </c>
      <c r="F70" s="30">
        <f>COUNTIF(Лист1!$E$3:$E$50,B70)</f>
        <v>0</v>
      </c>
    </row>
    <row r="71" spans="2:6" hidden="1">
      <c r="B71" s="26" t="str">
        <f>LEFT(Лист1!L71,30)</f>
        <v>NT90/2 Me Classic</v>
      </c>
      <c r="C71" s="53">
        <f>Лист1!K71</f>
        <v>16677000</v>
      </c>
      <c r="D71" s="36">
        <f t="shared" si="2"/>
        <v>0</v>
      </c>
      <c r="E71" s="30">
        <f>COUNTIF(Лист1!$A$3:$A$50,B71)</f>
        <v>0</v>
      </c>
      <c r="F71" s="30">
        <f>COUNTIF(Лист1!$E$3:$E$50,B71)</f>
        <v>0</v>
      </c>
    </row>
    <row r="72" spans="2:6" hidden="1">
      <c r="B72" s="26" t="str">
        <f>LEFT(Лист1!L72,30)</f>
        <v>PUZZI 8/1 C</v>
      </c>
      <c r="C72" s="53">
        <f>Лист1!K72</f>
        <v>11002400</v>
      </c>
      <c r="D72" s="36">
        <f t="shared" si="2"/>
        <v>0</v>
      </c>
      <c r="E72" s="30">
        <f>COUNTIF(Лист1!$A$3:$A$50,B72)</f>
        <v>0</v>
      </c>
      <c r="F72" s="30">
        <f>COUNTIF(Лист1!$E$3:$E$50,B72)</f>
        <v>0</v>
      </c>
    </row>
    <row r="73" spans="2:6" hidden="1">
      <c r="B73" s="26" t="str">
        <f>LEFT(Лист1!L73,30)</f>
        <v>PUZZI 10/1</v>
      </c>
      <c r="C73" s="53">
        <f>Лист1!K73</f>
        <v>11001300</v>
      </c>
      <c r="D73" s="36">
        <f t="shared" si="2"/>
        <v>0</v>
      </c>
      <c r="E73" s="30">
        <f>COUNTIF(Лист1!$A$3:$A$50,B73)</f>
        <v>0</v>
      </c>
      <c r="F73" s="30">
        <f>COUNTIF(Лист1!$E$3:$E$50,B73)</f>
        <v>0</v>
      </c>
    </row>
    <row r="74" spans="2:6" hidden="1">
      <c r="B74" s="26" t="str">
        <f>LEFT(Лист1!L74,30)</f>
        <v>LTR 18-30 Battery LE</v>
      </c>
      <c r="C74" s="53">
        <f>Лист1!K74</f>
        <v>14443130</v>
      </c>
      <c r="D74" s="36">
        <f t="shared" si="2"/>
        <v>0</v>
      </c>
      <c r="E74" s="30">
        <f>COUNTIF(Лист1!$A$3:$A$50,B74)</f>
        <v>0</v>
      </c>
      <c r="F74" s="30">
        <f>COUNTIF(Лист1!$E$3:$E$50,B74)</f>
        <v>0</v>
      </c>
    </row>
    <row r="75" spans="2:6" hidden="1">
      <c r="B75" s="26" t="str">
        <f>LEFT(Лист1!L75,30)</f>
        <v>VC5</v>
      </c>
      <c r="C75" s="53">
        <f>Лист1!K75</f>
        <v>13491050</v>
      </c>
      <c r="D75" s="36">
        <f t="shared" si="2"/>
        <v>0</v>
      </c>
      <c r="E75" s="30">
        <f>COUNTIF(Лист1!$A$3:$A$50,B75)</f>
        <v>0</v>
      </c>
      <c r="F75" s="30">
        <f>COUNTIF(Лист1!$E$3:$E$50,B75)</f>
        <v>0</v>
      </c>
    </row>
    <row r="76" spans="2:6" hidden="1">
      <c r="B76" s="26" t="str">
        <f>LEFT(Лист1!L76,30)</f>
        <v>DS6 Premium Plus</v>
      </c>
      <c r="C76" s="53">
        <f>Лист1!K76</f>
        <v>11952420</v>
      </c>
      <c r="D76" s="36">
        <f t="shared" si="2"/>
        <v>0</v>
      </c>
      <c r="E76" s="30">
        <f>COUNTIF(Лист1!$A$3:$A$50,B76)</f>
        <v>0</v>
      </c>
      <c r="F76" s="30">
        <f>COUNTIF(Лист1!$E$3:$E$50,B76)</f>
        <v>0</v>
      </c>
    </row>
    <row r="77" spans="2:6" hidden="1">
      <c r="B77" s="26" t="str">
        <f>LEFT(Лист1!L77,30)</f>
        <v>K2 Universal Edition</v>
      </c>
      <c r="C77" s="53">
        <f>Лист1!K77</f>
        <v>16730000</v>
      </c>
      <c r="D77" s="36">
        <f t="shared" si="2"/>
        <v>0</v>
      </c>
      <c r="E77" s="30">
        <f>COUNTIF(Лист1!$A$3:$A$50,B77)</f>
        <v>0</v>
      </c>
      <c r="F77" s="30">
        <f>COUNTIF(Лист1!$E$3:$E$50,B77)</f>
        <v>0</v>
      </c>
    </row>
    <row r="78" spans="2:6" hidden="1">
      <c r="B78" s="26" t="str">
        <f>LEFT(Лист1!L78,30)</f>
        <v>VC3 Premium</v>
      </c>
      <c r="C78" s="53">
        <f>Лист1!K78</f>
        <v>11981350</v>
      </c>
      <c r="D78" s="36">
        <f t="shared" si="2"/>
        <v>0</v>
      </c>
      <c r="E78" s="30">
        <f>COUNTIF(Лист1!$A$3:$A$50,B78)</f>
        <v>0</v>
      </c>
      <c r="F78" s="30">
        <f>COUNTIF(Лист1!$E$3:$E$50,B78)</f>
        <v>0</v>
      </c>
    </row>
    <row r="79" spans="2:6" hidden="1">
      <c r="B79" s="26" t="str">
        <f>LEFT(Лист1!L79,30)</f>
        <v>VC3</v>
      </c>
      <c r="C79" s="53">
        <f>Лист1!K79</f>
        <v>11981250</v>
      </c>
      <c r="D79" s="36">
        <f t="shared" si="2"/>
        <v>0</v>
      </c>
      <c r="E79" s="30">
        <f>COUNTIF(Лист1!$A$3:$A$50,B79)</f>
        <v>0</v>
      </c>
      <c r="F79" s="30">
        <f>COUNTIF(Лист1!$E$3:$E$50,B79)</f>
        <v>0</v>
      </c>
    </row>
    <row r="80" spans="2:6" hidden="1">
      <c r="B80" s="26" t="str">
        <f>LEFT(Лист1!L80,30)</f>
        <v>HGE 36-60 Battery</v>
      </c>
      <c r="C80" s="53">
        <f>Лист1!K80</f>
        <v>14442500</v>
      </c>
      <c r="D80" s="36">
        <f t="shared" si="2"/>
        <v>0</v>
      </c>
      <c r="E80" s="30">
        <f>COUNTIF(Лист1!$A$3:$A$50,B80)</f>
        <v>0</v>
      </c>
      <c r="F80" s="30">
        <f>COUNTIF(Лист1!$E$3:$E$50,B80)</f>
        <v>0</v>
      </c>
    </row>
    <row r="81" spans="2:6" hidden="1">
      <c r="B81" s="26" t="str">
        <f>LEFT(Лист1!L81,30)</f>
        <v>WD3 V-15/4/20</v>
      </c>
      <c r="C81" s="53">
        <f>Лист1!K81</f>
        <v>16281040</v>
      </c>
      <c r="D81" s="36">
        <f t="shared" si="2"/>
        <v>0</v>
      </c>
      <c r="E81" s="30">
        <f>COUNTIF(Лист1!$A$3:$A$50,B81)</f>
        <v>0</v>
      </c>
      <c r="F81" s="30">
        <f>COUNTIF(Лист1!$E$3:$E$50,B81)</f>
        <v>0</v>
      </c>
    </row>
    <row r="82" spans="2:6" hidden="1">
      <c r="B82" s="26" t="str">
        <f>LEFT(Лист1!L82,30)</f>
        <v>VC5 Premium</v>
      </c>
      <c r="C82" s="53">
        <f>Лист1!K82</f>
        <v>13492040</v>
      </c>
      <c r="D82" s="36">
        <f t="shared" si="2"/>
        <v>0</v>
      </c>
      <c r="E82" s="30">
        <f>COUNTIF(Лист1!$A$3:$A$50,B82)</f>
        <v>0</v>
      </c>
      <c r="F82" s="30">
        <f>COUNTIF(Лист1!$E$3:$E$50,B82)</f>
        <v>0</v>
      </c>
    </row>
    <row r="83" spans="2:6" hidden="1">
      <c r="B83" s="26" t="str">
        <f>LEFT(Лист1!L83,30)</f>
        <v>WD 2 PLUS V-12/4/18</v>
      </c>
      <c r="C83" s="53">
        <f>Лист1!K83</f>
        <v>16280000</v>
      </c>
      <c r="D83" s="36">
        <f t="shared" si="2"/>
        <v>0</v>
      </c>
      <c r="E83" s="30">
        <f>COUNTIF(Лист1!$A$3:$A$50,B83)</f>
        <v>0</v>
      </c>
      <c r="F83" s="30">
        <f>COUNTIF(Лист1!$E$3:$E$50,B83)</f>
        <v>0</v>
      </c>
    </row>
    <row r="84" spans="2:6" hidden="1">
      <c r="B84" s="26" t="str">
        <f>LEFT(Лист1!L84,30)</f>
        <v>K3 Compact</v>
      </c>
      <c r="C84" s="53">
        <f>Лист1!K84</f>
        <v>16762000</v>
      </c>
      <c r="D84" s="36">
        <f t="shared" si="2"/>
        <v>0</v>
      </c>
      <c r="E84" s="30">
        <f>COUNTIF(Лист1!$A$3:$A$50,B84)</f>
        <v>0</v>
      </c>
      <c r="F84" s="30">
        <f>COUNTIF(Лист1!$E$3:$E$50,B84)</f>
        <v>0</v>
      </c>
    </row>
    <row r="85" spans="2:6" hidden="1">
      <c r="B85" s="26" t="str">
        <f>LEFT(Лист1!L85,30)</f>
        <v>WD3 S V-17/6/20 Car</v>
      </c>
      <c r="C85" s="53">
        <f>Лист1!K85</f>
        <v>16281490</v>
      </c>
      <c r="D85" s="36">
        <f t="shared" si="2"/>
        <v>0</v>
      </c>
      <c r="E85" s="30">
        <f>COUNTIF(Лист1!$A$3:$A$50,B85)</f>
        <v>0</v>
      </c>
      <c r="F85" s="30">
        <f>COUNTIF(Лист1!$E$3:$E$50,B85)</f>
        <v>0</v>
      </c>
    </row>
    <row r="86" spans="2:6" hidden="1">
      <c r="B86" s="26" t="str">
        <f>LEFT(Лист1!L86,30)</f>
        <v>WD 3 S V-17/4/20</v>
      </c>
      <c r="C86" s="53">
        <f>Лист1!K86</f>
        <v>16281350</v>
      </c>
      <c r="D86" s="36">
        <f t="shared" si="2"/>
        <v>0</v>
      </c>
      <c r="E86" s="30">
        <f>COUNTIF(Лист1!$A$3:$A$50,B86)</f>
        <v>0</v>
      </c>
      <c r="F86" s="30">
        <f>COUNTIF(Лист1!$E$3:$E$50,B86)</f>
        <v>0</v>
      </c>
    </row>
    <row r="87" spans="2:6" hidden="1">
      <c r="B87" s="26" t="str">
        <f>LEFT(Лист1!L87,30)</f>
        <v>AD4 Premium</v>
      </c>
      <c r="C87" s="53">
        <f>Лист1!K87</f>
        <v>16297310</v>
      </c>
      <c r="D87" s="36">
        <f t="shared" si="2"/>
        <v>0</v>
      </c>
      <c r="E87" s="30">
        <f>COUNTIF(Лист1!$A$3:$A$50,B87)</f>
        <v>0</v>
      </c>
      <c r="F87" s="30">
        <f>COUNTIF(Лист1!$E$3:$E$50,B87)</f>
        <v>0</v>
      </c>
    </row>
    <row r="88" spans="2:6" hidden="1">
      <c r="B88" s="26" t="str">
        <f>LEFT(Лист1!L88,30)</f>
        <v>WD3 P S V-17/4/20</v>
      </c>
      <c r="C88" s="53">
        <f>Лист1!K88</f>
        <v>16281900</v>
      </c>
      <c r="D88" s="36">
        <f t="shared" si="2"/>
        <v>0</v>
      </c>
      <c r="E88" s="30">
        <f>COUNTIF(Лист1!$A$3:$A$50,B88)</f>
        <v>0</v>
      </c>
      <c r="F88" s="30">
        <f>COUNTIF(Лист1!$E$3:$E$50,B88)</f>
        <v>0</v>
      </c>
    </row>
    <row r="89" spans="2:6" hidden="1">
      <c r="B89" s="26" t="str">
        <f>LEFT(Лист1!L89,30)</f>
        <v>WD4 S V-20/5/22</v>
      </c>
      <c r="C89" s="53">
        <f>Лист1!K89</f>
        <v>16282500</v>
      </c>
      <c r="D89" s="36">
        <f t="shared" si="2"/>
        <v>0</v>
      </c>
      <c r="E89" s="30">
        <f>COUNTIF(Лист1!$A$3:$A$50,B89)</f>
        <v>0</v>
      </c>
      <c r="F89" s="30">
        <f>COUNTIF(Лист1!$E$3:$E$50,B89)</f>
        <v>0</v>
      </c>
    </row>
    <row r="90" spans="2:6" hidden="1">
      <c r="B90" s="26" t="str">
        <f>LEFT(Лист1!L90,30)</f>
        <v>WD 5 S V-25/5/22</v>
      </c>
      <c r="C90" s="53">
        <f>Лист1!K90</f>
        <v>16283500</v>
      </c>
      <c r="D90" s="36">
        <f t="shared" si="2"/>
        <v>0</v>
      </c>
      <c r="E90" s="30">
        <f>COUNTIF(Лист1!$A$3:$A$50,B90)</f>
        <v>0</v>
      </c>
      <c r="F90" s="30">
        <f>COUNTIF(Лист1!$E$3:$E$50,B90)</f>
        <v>0</v>
      </c>
    </row>
    <row r="91" spans="2:6" hidden="1">
      <c r="B91" s="26" t="str">
        <f>LEFT(Лист1!L91,30)</f>
        <v>WD6 P V-25/8/22/T</v>
      </c>
      <c r="C91" s="53">
        <f>Лист1!K91</f>
        <v>16283130</v>
      </c>
      <c r="D91" s="36">
        <f t="shared" si="2"/>
        <v>0</v>
      </c>
      <c r="E91" s="30">
        <f>COUNTIF(Лист1!$A$3:$A$50,B91)</f>
        <v>0</v>
      </c>
      <c r="F91" s="30">
        <f>COUNTIF(Лист1!$E$3:$E$50,B91)</f>
        <v>0</v>
      </c>
    </row>
    <row r="92" spans="2:6" hidden="1">
      <c r="B92" s="26" t="str">
        <f>LEFT(Лист1!L92,30)</f>
        <v>HD6/15 M Cage</v>
      </c>
      <c r="C92" s="53">
        <f>Лист1!K92</f>
        <v>11509700</v>
      </c>
      <c r="D92" s="36">
        <f t="shared" si="2"/>
        <v>0</v>
      </c>
      <c r="E92" s="30">
        <f>COUNTIF(Лист1!$A$3:$A$50,B92)</f>
        <v>0</v>
      </c>
      <c r="F92" s="30">
        <f>COUNTIF(Лист1!$E$3:$E$50,B92)</f>
        <v>0</v>
      </c>
    </row>
    <row r="93" spans="2:6" hidden="1">
      <c r="B93" s="26" t="str">
        <f>LEFT(Лист1!L93,30)</f>
        <v>HD7/17 M Cage</v>
      </c>
      <c r="C93" s="53">
        <f>Лист1!K93</f>
        <v>11519600</v>
      </c>
      <c r="D93" s="36">
        <f t="shared" si="2"/>
        <v>0</v>
      </c>
      <c r="E93" s="30">
        <f>COUNTIF(Лист1!$A$3:$A$50,B93)</f>
        <v>0</v>
      </c>
      <c r="F93" s="30">
        <f>COUNTIF(Лист1!$E$3:$E$50,B93)</f>
        <v>0</v>
      </c>
    </row>
    <row r="94" spans="2:6" hidden="1">
      <c r="B94" s="26" t="str">
        <f>LEFT(Лист1!L94,30)</f>
        <v>HD9/18 Cage Classic</v>
      </c>
      <c r="C94" s="53">
        <f>Лист1!K94</f>
        <v>13673150</v>
      </c>
      <c r="D94" s="36">
        <f t="shared" si="2"/>
        <v>0</v>
      </c>
      <c r="E94" s="30">
        <f>COUNTIF(Лист1!$A$3:$A$50,B94)</f>
        <v>0</v>
      </c>
      <c r="F94" s="30">
        <f>COUNTIF(Лист1!$E$3:$E$50,B94)</f>
        <v>0</v>
      </c>
    </row>
    <row r="95" spans="2:6" hidden="1">
      <c r="B95" s="26" t="str">
        <f>LEFT(Лист1!L95,30)</f>
        <v>SE6.100</v>
      </c>
      <c r="C95" s="53">
        <f>Лист1!K95</f>
        <v>10812200</v>
      </c>
      <c r="D95" s="36">
        <f t="shared" si="2"/>
        <v>0</v>
      </c>
      <c r="E95" s="30">
        <f>COUNTIF(Лист1!$A$3:$A$50,B95)</f>
        <v>0</v>
      </c>
      <c r="F95" s="30">
        <f>COUNTIF(Лист1!$E$3:$E$50,B95)</f>
        <v>0</v>
      </c>
    </row>
    <row r="96" spans="2:6" hidden="1">
      <c r="B96" s="26" t="str">
        <f>LEFT(Лист1!L96,30)</f>
        <v>FC5 Premium</v>
      </c>
      <c r="C96" s="53">
        <f>Лист1!K96</f>
        <v>10554600</v>
      </c>
      <c r="D96" s="36">
        <f t="shared" si="2"/>
        <v>0</v>
      </c>
      <c r="E96" s="30">
        <f>COUNTIF(Лист1!$A$3:$A$50,B96)</f>
        <v>0</v>
      </c>
      <c r="F96" s="30">
        <f>COUNTIF(Лист1!$E$3:$E$50,B96)</f>
        <v>0</v>
      </c>
    </row>
    <row r="97" spans="2:6" hidden="1">
      <c r="B97" s="26" t="str">
        <f>LEFT(Лист1!L97,30)</f>
        <v>EWM2 Premium</v>
      </c>
      <c r="C97" s="53">
        <f>Лист1!K97</f>
        <v>10563500</v>
      </c>
      <c r="D97" s="36">
        <f t="shared" si="2"/>
        <v>0</v>
      </c>
      <c r="E97" s="30">
        <f>COUNTIF(Лист1!$A$3:$A$50,B97)</f>
        <v>0</v>
      </c>
      <c r="F97" s="30">
        <f>COUNTIF(Лист1!$E$3:$E$50,B97)</f>
        <v>0</v>
      </c>
    </row>
    <row r="98" spans="2:6" hidden="1">
      <c r="B98" s="26" t="str">
        <f>LEFT(Лист1!L98,30)</f>
        <v>FC5</v>
      </c>
      <c r="C98" s="53">
        <f>Лист1!K98</f>
        <v>10554000</v>
      </c>
      <c r="D98" s="36">
        <f t="shared" si="2"/>
        <v>0</v>
      </c>
      <c r="E98" s="30">
        <f>COUNTIF(Лист1!$A$3:$A$50,B98)</f>
        <v>0</v>
      </c>
      <c r="F98" s="30">
        <f>COUNTIF(Лист1!$E$3:$E$50,B98)</f>
        <v>0</v>
      </c>
    </row>
    <row r="99" spans="2:6" hidden="1">
      <c r="B99" s="26" t="str">
        <f>LEFT(Лист1!L99,30)</f>
        <v>KB5 Premium</v>
      </c>
      <c r="C99" s="53">
        <f>Лист1!K99</f>
        <v>12580210</v>
      </c>
      <c r="D99" s="36">
        <f t="shared" ref="D99:D162" si="3">E99+F99</f>
        <v>0</v>
      </c>
      <c r="E99" s="30">
        <f>COUNTIF(Лист1!$A$3:$A$50,B99)</f>
        <v>0</v>
      </c>
      <c r="F99" s="30">
        <f>COUNTIF(Лист1!$E$3:$E$50,B99)</f>
        <v>0</v>
      </c>
    </row>
    <row r="100" spans="2:6" hidden="1">
      <c r="B100" s="26" t="str">
        <f>LEFT(Лист1!L100,30)</f>
        <v>SP 6 Flat Inox</v>
      </c>
      <c r="C100" s="53">
        <f>Лист1!K100</f>
        <v>16455050</v>
      </c>
      <c r="D100" s="36">
        <f t="shared" si="3"/>
        <v>0</v>
      </c>
      <c r="E100" s="30">
        <f>COUNTIF(Лист1!$A$3:$A$50,B100)</f>
        <v>0</v>
      </c>
      <c r="F100" s="30">
        <f>COUNTIF(Лист1!$E$3:$E$50,B100)</f>
        <v>0</v>
      </c>
    </row>
    <row r="101" spans="2:6" hidden="1">
      <c r="B101" s="26" t="str">
        <f>LEFT(Лист1!L101,30)</f>
        <v>SC 2 Deluxe EF Prem (white)</v>
      </c>
      <c r="C101" s="53">
        <f>Лист1!K101</f>
        <v>15132530</v>
      </c>
      <c r="D101" s="36">
        <f t="shared" si="3"/>
        <v>0</v>
      </c>
      <c r="E101" s="30">
        <f>COUNTIF(Лист1!$A$3:$A$50,B101)</f>
        <v>0</v>
      </c>
      <c r="F101" s="30">
        <f>COUNTIF(Лист1!$E$3:$E$50,B101)</f>
        <v>0</v>
      </c>
    </row>
    <row r="102" spans="2:6" hidden="1">
      <c r="B102" s="26" t="str">
        <f>LEFT(Лист1!L102,30)</f>
        <v>LMO 18-36 Battery Set</v>
      </c>
      <c r="C102" s="53">
        <f>Лист1!K102</f>
        <v>14444210</v>
      </c>
      <c r="D102" s="36">
        <f t="shared" si="3"/>
        <v>0</v>
      </c>
      <c r="E102" s="30">
        <f>COUNTIF(Лист1!$A$3:$A$50,B102)</f>
        <v>0</v>
      </c>
      <c r="F102" s="30">
        <f>COUNTIF(Лист1!$E$3:$E$50,B102)</f>
        <v>0</v>
      </c>
    </row>
    <row r="103" spans="2:6" hidden="1">
      <c r="B103" s="26" t="str">
        <f>LEFT(Лист1!L103,30)</f>
        <v>SC3 Easy Fix Premium</v>
      </c>
      <c r="C103" s="53">
        <f>Лист1!K103</f>
        <v>15131600</v>
      </c>
      <c r="D103" s="36">
        <f t="shared" si="3"/>
        <v>0</v>
      </c>
      <c r="E103" s="30">
        <f>COUNTIF(Лист1!$A$3:$A$50,B103)</f>
        <v>0</v>
      </c>
      <c r="F103" s="30">
        <f>COUNTIF(Лист1!$E$3:$E$50,B103)</f>
        <v>0</v>
      </c>
    </row>
    <row r="104" spans="2:6" hidden="1">
      <c r="B104" s="26" t="str">
        <f>LEFT(Лист1!L104,30)</f>
        <v>LBL 4 Battery</v>
      </c>
      <c r="C104" s="53">
        <f>Лист1!K104</f>
        <v>14451500</v>
      </c>
      <c r="D104" s="36">
        <f t="shared" si="3"/>
        <v>0</v>
      </c>
      <c r="E104" s="30">
        <f>COUNTIF(Лист1!$A$3:$A$50,B104)</f>
        <v>0</v>
      </c>
      <c r="F104" s="30">
        <f>COUNTIF(Лист1!$E$3:$E$50,B104)</f>
        <v>0</v>
      </c>
    </row>
    <row r="105" spans="2:6" hidden="1">
      <c r="B105" s="26" t="str">
        <f>LEFT(Лист1!L105,30)</f>
        <v>WD2 Plus V-12/4/18/C</v>
      </c>
      <c r="C105" s="53">
        <f>Лист1!K105</f>
        <v>16280090</v>
      </c>
      <c r="D105" s="36">
        <f t="shared" si="3"/>
        <v>0</v>
      </c>
      <c r="E105" s="30">
        <f>COUNTIF(Лист1!$A$3:$A$50,B105)</f>
        <v>0</v>
      </c>
      <c r="F105" s="30">
        <f>COUNTIF(Лист1!$E$3:$E$50,B105)</f>
        <v>0</v>
      </c>
    </row>
    <row r="106" spans="2:6" hidden="1">
      <c r="B106" s="26" t="str">
        <f>LEFT(Лист1!L106,30)</f>
        <v>T14/1 Classic</v>
      </c>
      <c r="C106" s="53">
        <f>Лист1!K106</f>
        <v>15271700</v>
      </c>
      <c r="D106" s="36">
        <f t="shared" si="3"/>
        <v>0</v>
      </c>
      <c r="E106" s="30">
        <f>COUNTIF(Лист1!$A$3:$A$50,B106)</f>
        <v>0</v>
      </c>
      <c r="F106" s="30">
        <f>COUNTIF(Лист1!$E$3:$E$50,B106)</f>
        <v>0</v>
      </c>
    </row>
    <row r="107" spans="2:6" hidden="1">
      <c r="B107" s="26" t="str">
        <f>LEFT(Лист1!L107,30)</f>
        <v>SP5 Dual</v>
      </c>
      <c r="C107" s="53">
        <f>Лист1!K107</f>
        <v>16455800</v>
      </c>
      <c r="D107" s="36">
        <f t="shared" si="3"/>
        <v>0</v>
      </c>
      <c r="E107" s="30">
        <f>COUNTIF(Лист1!$A$3:$A$50,B107)</f>
        <v>0</v>
      </c>
      <c r="F107" s="30">
        <f>COUNTIF(Лист1!$E$3:$E$50,B107)</f>
        <v>0</v>
      </c>
    </row>
    <row r="108" spans="2:6" hidden="1">
      <c r="B108" s="26" t="str">
        <f>LEFT(Лист1!L108,30)</f>
        <v>VC4 Cordless myHome</v>
      </c>
      <c r="C108" s="53">
        <f>Лист1!K108</f>
        <v>11986200</v>
      </c>
      <c r="D108" s="36">
        <f t="shared" si="3"/>
        <v>0</v>
      </c>
      <c r="E108" s="30">
        <f>COUNTIF(Лист1!$A$3:$A$50,B108)</f>
        <v>0</v>
      </c>
      <c r="F108" s="30">
        <f>COUNTIF(Лист1!$E$3:$E$50,B108)</f>
        <v>0</v>
      </c>
    </row>
    <row r="109" spans="2:6" hidden="1">
      <c r="B109" s="26" t="str">
        <f>LEFT(Лист1!L109,30)</f>
        <v>HD6/15 M</v>
      </c>
      <c r="C109" s="53">
        <f>Лист1!K109</f>
        <v>11509300</v>
      </c>
      <c r="D109" s="36">
        <f t="shared" si="3"/>
        <v>0</v>
      </c>
      <c r="E109" s="30">
        <f>COUNTIF(Лист1!$A$3:$A$50,B109)</f>
        <v>0</v>
      </c>
      <c r="F109" s="30">
        <f>COUNTIF(Лист1!$E$3:$E$50,B109)</f>
        <v>0</v>
      </c>
    </row>
    <row r="110" spans="2:6" hidden="1">
      <c r="B110" s="26" t="str">
        <f>LEFT(Лист1!L110,30)</f>
        <v>NT 22/1 Ap Te</v>
      </c>
      <c r="C110" s="53">
        <f>Лист1!K110</f>
        <v>13786100</v>
      </c>
      <c r="D110" s="36">
        <f t="shared" si="3"/>
        <v>0</v>
      </c>
      <c r="E110" s="30">
        <f>COUNTIF(Лист1!$A$3:$A$50,B110)</f>
        <v>0</v>
      </c>
      <c r="F110" s="30">
        <f>COUNTIF(Лист1!$E$3:$E$50,B110)</f>
        <v>0</v>
      </c>
    </row>
    <row r="111" spans="2:6" hidden="1">
      <c r="B111" s="26" t="str">
        <f>LEFT(Лист1!L111,30)</f>
        <v>NT 22/1 Ap</v>
      </c>
      <c r="C111" s="53">
        <f>Лист1!K111</f>
        <v>13786000</v>
      </c>
      <c r="D111" s="36">
        <f t="shared" si="3"/>
        <v>0</v>
      </c>
      <c r="E111" s="30">
        <f>COUNTIF(Лист1!$A$3:$A$50,B111)</f>
        <v>0</v>
      </c>
      <c r="F111" s="30">
        <f>COUNTIF(Лист1!$E$3:$E$50,B111)</f>
        <v>0</v>
      </c>
    </row>
    <row r="112" spans="2:6" hidden="1">
      <c r="B112" s="26" t="str">
        <f>LEFT(Лист1!L112,30)</f>
        <v>BP3 Home&amp;Garden</v>
      </c>
      <c r="C112" s="53">
        <f>Лист1!K112</f>
        <v>16453530</v>
      </c>
      <c r="D112" s="36">
        <f t="shared" si="3"/>
        <v>0</v>
      </c>
      <c r="E112" s="30">
        <f>COUNTIF(Лист1!$A$3:$A$50,B112)</f>
        <v>0</v>
      </c>
      <c r="F112" s="30">
        <f>COUNTIF(Лист1!$E$3:$E$50,B112)</f>
        <v>0</v>
      </c>
    </row>
    <row r="113" spans="2:6" hidden="1">
      <c r="B113" s="26" t="str">
        <f>LEFT(Лист1!L113,30)</f>
        <v>VC5 Cordless Premium</v>
      </c>
      <c r="C113" s="53">
        <f>Лист1!K113</f>
        <v>13494000</v>
      </c>
      <c r="D113" s="36">
        <f t="shared" si="3"/>
        <v>0</v>
      </c>
      <c r="E113" s="30">
        <f>COUNTIF(Лист1!$A$3:$A$50,B113)</f>
        <v>0</v>
      </c>
      <c r="F113" s="30">
        <f>COUNTIF(Лист1!$E$3:$E$50,B113)</f>
        <v>0</v>
      </c>
    </row>
    <row r="114" spans="2:6" hidden="1">
      <c r="B114" s="26" t="str">
        <f>LEFT(Лист1!L114,30)</f>
        <v>VC2</v>
      </c>
      <c r="C114" s="53">
        <f>Лист1!K114</f>
        <v>11981050</v>
      </c>
      <c r="D114" s="36">
        <f t="shared" si="3"/>
        <v>0</v>
      </c>
      <c r="E114" s="30">
        <f>COUNTIF(Лист1!$A$3:$A$50,B114)</f>
        <v>0</v>
      </c>
      <c r="F114" s="30">
        <f>COUNTIF(Лист1!$E$3:$E$50,B114)</f>
        <v>0</v>
      </c>
    </row>
    <row r="115" spans="2:6" hidden="1">
      <c r="B115" s="26" t="str">
        <f>LEFT(Лист1!L115,30)</f>
        <v>LTR 36-33 Battery</v>
      </c>
      <c r="C115" s="53">
        <f>Лист1!K115</f>
        <v>14443500</v>
      </c>
      <c r="D115" s="36">
        <f t="shared" si="3"/>
        <v>0</v>
      </c>
      <c r="E115" s="30">
        <f>COUNTIF(Лист1!$A$3:$A$50,B115)</f>
        <v>0</v>
      </c>
      <c r="F115" s="30">
        <f>COUNTIF(Лист1!$E$3:$E$50,B115)</f>
        <v>0</v>
      </c>
    </row>
    <row r="116" spans="2:6" hidden="1">
      <c r="B116" s="26" t="str">
        <f>LEFT(Лист1!L116,30)</f>
        <v>FC 5 Cordless Premium</v>
      </c>
      <c r="C116" s="53">
        <f>Лист1!K116</f>
        <v>10556600</v>
      </c>
      <c r="D116" s="36">
        <f t="shared" si="3"/>
        <v>0</v>
      </c>
      <c r="E116" s="30">
        <f>COUNTIF(Лист1!$A$3:$A$50,B116)</f>
        <v>0</v>
      </c>
      <c r="F116" s="30">
        <f>COUNTIF(Лист1!$E$3:$E$50,B116)</f>
        <v>0</v>
      </c>
    </row>
    <row r="117" spans="2:6" hidden="1">
      <c r="B117" s="26" t="str">
        <f>LEFT(Лист1!L117,30)</f>
        <v>HD 10/21-4S</v>
      </c>
      <c r="C117" s="53">
        <f>Лист1!K117</f>
        <v>12869190</v>
      </c>
      <c r="D117" s="36">
        <f t="shared" si="3"/>
        <v>0</v>
      </c>
      <c r="E117" s="30">
        <f>COUNTIF(Лист1!$A$3:$A$50,B117)</f>
        <v>0</v>
      </c>
      <c r="F117" s="30">
        <f>COUNTIF(Лист1!$E$3:$E$50,B117)</f>
        <v>0</v>
      </c>
    </row>
    <row r="118" spans="2:6" hidden="1">
      <c r="B118" s="26" t="str">
        <f>LEFT(Лист1!L118,30)</f>
        <v>HD 5/12C</v>
      </c>
      <c r="C118" s="53">
        <f>Лист1!K118</f>
        <v>15209000</v>
      </c>
      <c r="D118" s="36">
        <f t="shared" si="3"/>
        <v>0</v>
      </c>
      <c r="E118" s="30">
        <f>COUNTIF(Лист1!$A$3:$A$50,B118)</f>
        <v>0</v>
      </c>
      <c r="F118" s="30">
        <f>COUNTIF(Лист1!$E$3:$E$50,B118)</f>
        <v>0</v>
      </c>
    </row>
    <row r="119" spans="2:6" hidden="1">
      <c r="B119" s="26" t="str">
        <f>LEFT(Лист1!L119,30)</f>
        <v>SC2 Deluxe EasyFix</v>
      </c>
      <c r="C119" s="53">
        <f>Лист1!K119</f>
        <v>15132430</v>
      </c>
      <c r="D119" s="36">
        <f t="shared" si="3"/>
        <v>0</v>
      </c>
      <c r="E119" s="30">
        <f>COUNTIF(Лист1!$A$3:$A$50,B119)</f>
        <v>0</v>
      </c>
      <c r="F119" s="30">
        <f>COUNTIF(Лист1!$E$3:$E$50,B119)</f>
        <v>0</v>
      </c>
    </row>
    <row r="120" spans="2:6" hidden="1">
      <c r="B120" s="26" t="str">
        <f>LEFT(Лист1!L120,30)</f>
        <v>LTR 18-33 Battery Set</v>
      </c>
      <c r="C120" s="53">
        <f>Лист1!K120</f>
        <v>14443110</v>
      </c>
      <c r="D120" s="36">
        <f t="shared" si="3"/>
        <v>0</v>
      </c>
      <c r="E120" s="30">
        <f>COUNTIF(Лист1!$A$3:$A$50,B120)</f>
        <v>0</v>
      </c>
      <c r="F120" s="30">
        <f>COUNTIF(Лист1!$E$3:$E$50,B120)</f>
        <v>0</v>
      </c>
    </row>
    <row r="121" spans="2:6" hidden="1">
      <c r="B121" s="26" t="str">
        <f>LEFT(Лист1!L121,30)</f>
        <v>FC7 Cordless Premium</v>
      </c>
      <c r="C121" s="53">
        <f>Лист1!K121</f>
        <v>10557600</v>
      </c>
      <c r="D121" s="36">
        <f t="shared" si="3"/>
        <v>0</v>
      </c>
      <c r="E121" s="30">
        <f>COUNTIF(Лист1!$A$3:$A$50,B121)</f>
        <v>0</v>
      </c>
      <c r="F121" s="30">
        <f>COUNTIF(Лист1!$E$3:$E$50,B121)</f>
        <v>0</v>
      </c>
    </row>
    <row r="122" spans="2:6" hidden="1">
      <c r="B122" s="26" t="str">
        <f>LEFT(Лист1!L122,30)</f>
        <v>VC2 Premium</v>
      </c>
      <c r="C122" s="53">
        <f>Лист1!K122</f>
        <v>11981150</v>
      </c>
      <c r="D122" s="36">
        <f t="shared" si="3"/>
        <v>0</v>
      </c>
      <c r="E122" s="30">
        <f>COUNTIF(Лист1!$A$3:$A$50,B122)</f>
        <v>0</v>
      </c>
      <c r="F122" s="30">
        <f>COUNTIF(Лист1!$E$3:$E$50,B122)</f>
        <v>0</v>
      </c>
    </row>
    <row r="123" spans="2:6" hidden="1">
      <c r="B123" s="26" t="str">
        <f>LEFT(Лист1!L123,30)</f>
        <v>BP5 Home&amp;Garden</v>
      </c>
      <c r="C123" s="53">
        <f>Лист1!K123</f>
        <v>16453550</v>
      </c>
      <c r="D123" s="36">
        <f t="shared" si="3"/>
        <v>0</v>
      </c>
      <c r="E123" s="30">
        <f>COUNTIF(Лист1!$A$3:$A$50,B123)</f>
        <v>0</v>
      </c>
      <c r="F123" s="30">
        <f>COUNTIF(Лист1!$E$3:$E$50,B123)</f>
        <v>0</v>
      </c>
    </row>
    <row r="124" spans="2:6" hidden="1">
      <c r="B124" s="26" t="str">
        <f>LEFT(Лист1!L124,30)</f>
        <v>CVH 2</v>
      </c>
      <c r="C124" s="53">
        <f>Лист1!K124</f>
        <v>11984010</v>
      </c>
      <c r="D124" s="36">
        <f t="shared" si="3"/>
        <v>0</v>
      </c>
      <c r="E124" s="30">
        <f>COUNTIF(Лист1!$A$3:$A$50,B124)</f>
        <v>0</v>
      </c>
      <c r="F124" s="30">
        <f>COUNTIF(Лист1!$E$3:$E$50,B124)</f>
        <v>0</v>
      </c>
    </row>
    <row r="125" spans="2:6" hidden="1">
      <c r="B125" s="26" t="str">
        <f>LEFT(Лист1!L125,30)</f>
        <v>K7 Premium Power</v>
      </c>
      <c r="C125" s="53">
        <f>Лист1!K125</f>
        <v>13171700</v>
      </c>
      <c r="D125" s="36">
        <f t="shared" si="3"/>
        <v>0</v>
      </c>
      <c r="E125" s="30">
        <f>COUNTIF(Лист1!$A$3:$A$50,B125)</f>
        <v>0</v>
      </c>
      <c r="F125" s="30">
        <f>COUNTIF(Лист1!$E$3:$E$50,B125)</f>
        <v>0</v>
      </c>
    </row>
    <row r="126" spans="2:6" hidden="1">
      <c r="B126" s="26" t="str">
        <f>LEFT(Лист1!L126,30)</f>
        <v>GSH 18-20 Battery</v>
      </c>
      <c r="C126" s="53">
        <f>Лист1!K126</f>
        <v>14442000</v>
      </c>
      <c r="D126" s="36">
        <f t="shared" si="3"/>
        <v>0</v>
      </c>
      <c r="E126" s="30">
        <f>COUNTIF(Лист1!$A$3:$A$50,B126)</f>
        <v>0</v>
      </c>
      <c r="F126" s="30">
        <f>COUNTIF(Лист1!$E$3:$E$50,B126)</f>
        <v>0</v>
      </c>
    </row>
    <row r="127" spans="2:6" hidden="1">
      <c r="B127" s="26" t="str">
        <f>LEFT(Лист1!L127,30)</f>
        <v>BP2 Garden</v>
      </c>
      <c r="C127" s="53">
        <f>Лист1!K127</f>
        <v>16453500</v>
      </c>
      <c r="D127" s="36">
        <f t="shared" si="3"/>
        <v>0</v>
      </c>
      <c r="E127" s="30">
        <f>COUNTIF(Лист1!$A$3:$A$50,B127)</f>
        <v>0</v>
      </c>
      <c r="F127" s="30">
        <f>COUNTIF(Лист1!$E$3:$E$50,B127)</f>
        <v>0</v>
      </c>
    </row>
    <row r="128" spans="2:6" hidden="1">
      <c r="B128" s="26" t="str">
        <f>LEFT(Лист1!L128,30)</f>
        <v>VC4 Cordless Prem myHome</v>
      </c>
      <c r="C128" s="53">
        <f>Лист1!K128</f>
        <v>11986400</v>
      </c>
      <c r="D128" s="36">
        <f t="shared" si="3"/>
        <v>0</v>
      </c>
      <c r="E128" s="30">
        <f>COUNTIF(Лист1!$A$3:$A$50,B128)</f>
        <v>0</v>
      </c>
      <c r="F128" s="30">
        <f>COUNTIF(Лист1!$E$3:$E$50,B128)</f>
        <v>0</v>
      </c>
    </row>
    <row r="129" spans="2:6" hidden="1">
      <c r="B129" s="26" t="str">
        <f>LEFT(Лист1!L129,30)</f>
        <v>VC6 Cord. Prem. ourFamily</v>
      </c>
      <c r="C129" s="53">
        <f>Лист1!K129</f>
        <v>11986800</v>
      </c>
      <c r="D129" s="36">
        <f t="shared" si="3"/>
        <v>0</v>
      </c>
      <c r="E129" s="30">
        <f>COUNTIF(Лист1!$A$3:$A$50,B129)</f>
        <v>0</v>
      </c>
      <c r="F129" s="30">
        <f>COUNTIF(Лист1!$E$3:$E$50,B129)</f>
        <v>0</v>
      </c>
    </row>
    <row r="130" spans="2:6" hidden="1">
      <c r="B130" s="26" t="str">
        <f>LEFT(Лист1!L130,30)</f>
        <v>SC3 Deluxe EasyFix</v>
      </c>
      <c r="C130" s="53">
        <f>Лист1!K130</f>
        <v>15132000</v>
      </c>
      <c r="D130" s="36">
        <f t="shared" si="3"/>
        <v>0</v>
      </c>
      <c r="E130" s="30">
        <f>COUNTIF(Лист1!$A$3:$A$50,B130)</f>
        <v>0</v>
      </c>
      <c r="F130" s="30">
        <f>COUNTIF(Лист1!$E$3:$E$50,B130)</f>
        <v>0</v>
      </c>
    </row>
    <row r="131" spans="2:6" hidden="1">
      <c r="B131" s="26" t="str">
        <f>LEFT(Лист1!L131,30)</f>
        <v>SC3 Deluxe EasyFix Premium</v>
      </c>
      <c r="C131" s="53">
        <f>Лист1!K131</f>
        <v>15132210</v>
      </c>
      <c r="D131" s="36">
        <f t="shared" si="3"/>
        <v>0</v>
      </c>
      <c r="E131" s="30">
        <f>COUNTIF(Лист1!$A$3:$A$50,B131)</f>
        <v>0</v>
      </c>
      <c r="F131" s="30">
        <f>COUNTIF(Лист1!$E$3:$E$50,B131)</f>
        <v>0</v>
      </c>
    </row>
    <row r="132" spans="2:6" hidden="1">
      <c r="B132" s="26" t="str">
        <f>LEFT(Лист1!L132,30)</f>
        <v>SC4 Deluxe EasyFix</v>
      </c>
      <c r="C132" s="53">
        <f>Лист1!K132</f>
        <v>15132600</v>
      </c>
      <c r="D132" s="36">
        <f t="shared" si="3"/>
        <v>0</v>
      </c>
      <c r="E132" s="30">
        <f>COUNTIF(Лист1!$A$3:$A$50,B132)</f>
        <v>0</v>
      </c>
      <c r="F132" s="30">
        <f>COUNTIF(Лист1!$E$3:$E$50,B132)</f>
        <v>0</v>
      </c>
    </row>
    <row r="133" spans="2:6" hidden="1">
      <c r="B133" s="26" t="str">
        <f>LEFT(Лист1!L133,30)</f>
        <v>SC4 Deluxe EasyFix Prem Iron</v>
      </c>
      <c r="C133" s="53">
        <f>Лист1!K133</f>
        <v>15132810</v>
      </c>
      <c r="D133" s="36">
        <f t="shared" si="3"/>
        <v>0</v>
      </c>
      <c r="E133" s="30">
        <f>COUNTIF(Лист1!$A$3:$A$50,B133)</f>
        <v>0</v>
      </c>
      <c r="F133" s="30">
        <f>COUNTIF(Лист1!$E$3:$E$50,B133)</f>
        <v>0</v>
      </c>
    </row>
    <row r="134" spans="2:6" hidden="1">
      <c r="B134" s="26" t="str">
        <f>LEFT(Лист1!L134,30)</f>
        <v>SC4 Deluxe EasyFix Premium</v>
      </c>
      <c r="C134" s="53">
        <f>Лист1!K134</f>
        <v>15132800</v>
      </c>
      <c r="D134" s="36">
        <f t="shared" si="3"/>
        <v>0</v>
      </c>
      <c r="E134" s="30">
        <f>COUNTIF(Лист1!$A$3:$A$50,B134)</f>
        <v>0</v>
      </c>
      <c r="F134" s="30">
        <f>COUNTIF(Лист1!$E$3:$E$50,B134)</f>
        <v>0</v>
      </c>
    </row>
    <row r="135" spans="2:6" hidden="1">
      <c r="B135" s="26" t="str">
        <f>LEFT(Лист1!L135,30)</f>
        <v>SP1 Dirt</v>
      </c>
      <c r="C135" s="53">
        <f>Лист1!K135</f>
        <v>16455000</v>
      </c>
      <c r="D135" s="36">
        <f t="shared" si="3"/>
        <v>0</v>
      </c>
      <c r="E135" s="30">
        <f>COUNTIF(Лист1!$A$3:$A$50,B135)</f>
        <v>0</v>
      </c>
      <c r="F135" s="30">
        <f>COUNTIF(Лист1!$E$3:$E$50,B135)</f>
        <v>0</v>
      </c>
    </row>
    <row r="136" spans="2:6" hidden="1">
      <c r="B136" s="26" t="str">
        <f>LEFT(Лист1!L136,30)</f>
        <v>WD3 V-17/4/35 +Nozzles</v>
      </c>
      <c r="C136" s="53">
        <f>Лист1!K136</f>
        <v>16281240</v>
      </c>
      <c r="D136" s="36">
        <f t="shared" si="3"/>
        <v>0</v>
      </c>
      <c r="E136" s="30">
        <f>COUNTIF(Лист1!$A$3:$A$50,B136)</f>
        <v>0</v>
      </c>
      <c r="F136" s="30">
        <f>COUNTIF(Лист1!$E$3:$E$50,B136)</f>
        <v>0</v>
      </c>
    </row>
    <row r="137" spans="2:6" hidden="1">
      <c r="B137" s="26" t="str">
        <f>LEFT(Лист1!L137,30)</f>
        <v>EDI 4</v>
      </c>
      <c r="C137" s="53">
        <f>Лист1!K137</f>
        <v>15989000</v>
      </c>
      <c r="D137" s="36">
        <f t="shared" si="3"/>
        <v>0</v>
      </c>
      <c r="E137" s="30">
        <f>COUNTIF(Лист1!$A$3:$A$50,B137)</f>
        <v>0</v>
      </c>
      <c r="F137" s="30">
        <f>COUNTIF(Лист1!$E$3:$E$50,B137)</f>
        <v>0</v>
      </c>
    </row>
    <row r="138" spans="2:6" hidden="1">
      <c r="B138" s="26" t="str">
        <f>LEFT(Лист1!L138,30)</f>
        <v>WD3 S V-19/4/20 Suct. Brush</v>
      </c>
      <c r="C138" s="53">
        <f>Лист1!K138</f>
        <v>16281540</v>
      </c>
      <c r="D138" s="36">
        <f t="shared" si="3"/>
        <v>0</v>
      </c>
      <c r="E138" s="30">
        <f>COUNTIF(Лист1!$A$3:$A$50,B138)</f>
        <v>0</v>
      </c>
      <c r="F138" s="30">
        <f>COUNTIF(Лист1!$E$3:$E$50,B138)</f>
        <v>0</v>
      </c>
    </row>
    <row r="139" spans="2:6" hidden="1">
      <c r="B139" s="26" t="str">
        <f>LEFT(Лист1!L139,30)</f>
        <v>KWD3 V-17/4/20 Suct.Brush</v>
      </c>
      <c r="C139" s="53">
        <f>Лист1!K139</f>
        <v>16284430</v>
      </c>
      <c r="D139" s="36">
        <f t="shared" si="3"/>
        <v>0</v>
      </c>
      <c r="E139" s="30">
        <f>COUNTIF(Лист1!$A$3:$A$50,B139)</f>
        <v>0</v>
      </c>
      <c r="F139" s="30">
        <f>COUNTIF(Лист1!$E$3:$E$50,B139)</f>
        <v>0</v>
      </c>
    </row>
    <row r="140" spans="2:6" hidden="1">
      <c r="B140" s="26" t="str">
        <f>LEFT(Лист1!L140,30)</f>
        <v>PSU 4-18</v>
      </c>
      <c r="C140" s="53">
        <f>Лист1!K140</f>
        <v>14453000</v>
      </c>
      <c r="D140" s="36">
        <f t="shared" si="3"/>
        <v>0</v>
      </c>
      <c r="E140" s="30">
        <f>COUNTIF(Лист1!$A$3:$A$50,B140)</f>
        <v>0</v>
      </c>
      <c r="F140" s="30">
        <f>COUNTIF(Лист1!$E$3:$E$50,B140)</f>
        <v>0</v>
      </c>
    </row>
    <row r="141" spans="2:6" hidden="1">
      <c r="B141" s="26" t="str">
        <f>LEFT(Лист1!L141,30)</f>
        <v>HGE 18-45 Battery Set</v>
      </c>
      <c r="C141" s="53">
        <f>Лист1!K141</f>
        <v>14442310</v>
      </c>
      <c r="D141" s="36">
        <f t="shared" si="3"/>
        <v>0</v>
      </c>
      <c r="E141" s="30">
        <f>COUNTIF(Лист1!$A$3:$A$50,B141)</f>
        <v>0</v>
      </c>
      <c r="F141" s="30">
        <f>COUNTIF(Лист1!$E$3:$E$50,B141)</f>
        <v>0</v>
      </c>
    </row>
    <row r="142" spans="2:6" hidden="1">
      <c r="B142" s="26" t="str">
        <f>LEFT(Лист1!L142,30)</f>
        <v>PCL 4</v>
      </c>
      <c r="C142" s="53">
        <f>Лист1!K142</f>
        <v>16440000</v>
      </c>
      <c r="D142" s="36">
        <f t="shared" si="3"/>
        <v>0</v>
      </c>
      <c r="E142" s="30">
        <f>COUNTIF(Лист1!$A$3:$A$50,B142)</f>
        <v>0</v>
      </c>
      <c r="F142" s="30">
        <f>COUNTIF(Лист1!$E$3:$E$50,B142)</f>
        <v>0</v>
      </c>
    </row>
    <row r="143" spans="2:6" hidden="1">
      <c r="B143" s="26" t="str">
        <f>LEFT(Лист1!L143,30)</f>
        <v>SP 3 Dirt House Set</v>
      </c>
      <c r="C143" s="53">
        <f>Лист1!K143</f>
        <v>16455350</v>
      </c>
      <c r="D143" s="36">
        <f t="shared" si="3"/>
        <v>0</v>
      </c>
      <c r="E143" s="30">
        <f>COUNTIF(Лист1!$A$3:$A$50,B143)</f>
        <v>0</v>
      </c>
      <c r="F143" s="30">
        <f>COUNTIF(Лист1!$E$3:$E$50,B143)</f>
        <v>0</v>
      </c>
    </row>
    <row r="144" spans="2:6" hidden="1">
      <c r="B144" s="26" t="str">
        <f>LEFT(Лист1!L144,30)</f>
        <v>K 4 WCM Premium</v>
      </c>
      <c r="C144" s="53">
        <f>Лист1!K144</f>
        <v>13242300</v>
      </c>
      <c r="D144" s="36">
        <f t="shared" si="3"/>
        <v>0</v>
      </c>
      <c r="E144" s="30">
        <f>COUNTIF(Лист1!$A$3:$A$50,B144)</f>
        <v>0</v>
      </c>
      <c r="F144" s="30">
        <f>COUNTIF(Лист1!$E$3:$E$50,B144)</f>
        <v>0</v>
      </c>
    </row>
    <row r="145" spans="2:6" hidden="1">
      <c r="B145" s="26" t="str">
        <f>LEFT(Лист1!L145,30)</f>
        <v>K 4 WCM</v>
      </c>
      <c r="C145" s="53">
        <f>Лист1!K145</f>
        <v>13242000</v>
      </c>
      <c r="D145" s="36">
        <f t="shared" si="3"/>
        <v>0</v>
      </c>
      <c r="E145" s="30">
        <f>COUNTIF(Лист1!$A$3:$A$50,B145)</f>
        <v>0</v>
      </c>
      <c r="F145" s="30">
        <f>COUNTIF(Лист1!$E$3:$E$50,B145)</f>
        <v>0</v>
      </c>
    </row>
    <row r="146" spans="2:6" hidden="1">
      <c r="B146" s="26" t="str">
        <f>LEFT(Лист1!L146,30)</f>
        <v>BD 50/50 C Classic Bp</v>
      </c>
      <c r="C146" s="53">
        <f>Лист1!K146</f>
        <v>11270090</v>
      </c>
      <c r="D146" s="36">
        <f t="shared" si="3"/>
        <v>0</v>
      </c>
      <c r="E146" s="30">
        <f>COUNTIF(Лист1!$A$3:$A$50,B146)</f>
        <v>0</v>
      </c>
      <c r="F146" s="30">
        <f>COUNTIF(Лист1!$E$3:$E$50,B146)</f>
        <v>0</v>
      </c>
    </row>
    <row r="147" spans="2:6" hidden="1">
      <c r="B147" s="26" t="str">
        <f>LEFT(Лист1!L147,30)</f>
        <v>SE 4001 Plus Limited Edition</v>
      </c>
      <c r="C147" s="53">
        <f>Лист1!K147</f>
        <v>10811380</v>
      </c>
      <c r="D147" s="36">
        <f t="shared" si="3"/>
        <v>0</v>
      </c>
      <c r="E147" s="30">
        <f>COUNTIF(Лист1!$A$3:$A$50,B147)</f>
        <v>0</v>
      </c>
      <c r="F147" s="30">
        <f>COUNTIF(Лист1!$E$3:$E$50,B147)</f>
        <v>0</v>
      </c>
    </row>
    <row r="148" spans="2:6" hidden="1">
      <c r="B148" s="26" t="str">
        <f>LEFT(Лист1!L148,30)</f>
        <v>SC 3 EasyFix Limited Edition</v>
      </c>
      <c r="C148" s="53">
        <f>Лист1!K148</f>
        <v>15131270</v>
      </c>
      <c r="D148" s="36">
        <f t="shared" si="3"/>
        <v>0</v>
      </c>
      <c r="E148" s="30">
        <f>COUNTIF(Лист1!$A$3:$A$50,B148)</f>
        <v>0</v>
      </c>
      <c r="F148" s="30">
        <f>COUNTIF(Лист1!$E$3:$E$50,B148)</f>
        <v>0</v>
      </c>
    </row>
    <row r="149" spans="2:6" hidden="1">
      <c r="B149" s="26" t="str">
        <f>LEFT(Лист1!L149,30)</f>
        <v>KWD3 S V-15/4/20 L E</v>
      </c>
      <c r="C149" s="53">
        <f>Лист1!K149</f>
        <v>16284460</v>
      </c>
      <c r="D149" s="36">
        <f t="shared" si="3"/>
        <v>0</v>
      </c>
      <c r="E149" s="30">
        <f>COUNTIF(Лист1!$A$3:$A$50,B149)</f>
        <v>0</v>
      </c>
      <c r="F149" s="30">
        <f>COUNTIF(Лист1!$E$3:$E$50,B149)</f>
        <v>0</v>
      </c>
    </row>
    <row r="150" spans="2:6" hidden="1">
      <c r="B150" s="26" t="str">
        <f>LEFT(Лист1!L150,30)</f>
        <v>NT 22/1 Ap Te L + мешки</v>
      </c>
      <c r="C150" s="53">
        <f>Лист1!K150</f>
        <v>13789820</v>
      </c>
      <c r="D150" s="36">
        <f t="shared" si="3"/>
        <v>0</v>
      </c>
      <c r="E150" s="30">
        <f>COUNTIF(Лист1!$A$3:$A$50,B150)</f>
        <v>0</v>
      </c>
      <c r="F150" s="30">
        <f>COUNTIF(Лист1!$E$3:$E$50,B150)</f>
        <v>0</v>
      </c>
    </row>
    <row r="151" spans="2:6" hidden="1">
      <c r="B151" s="26" t="str">
        <f>LEFT(Лист1!L151,30)</f>
        <v>BLV 36-240 Battery</v>
      </c>
      <c r="C151" s="53">
        <f>Лист1!K151</f>
        <v>14441700</v>
      </c>
      <c r="D151" s="36">
        <f t="shared" si="3"/>
        <v>0</v>
      </c>
      <c r="E151" s="30">
        <f>COUNTIF(Лист1!$A$3:$A$50,B151)</f>
        <v>0</v>
      </c>
      <c r="F151" s="30">
        <f>COUNTIF(Лист1!$E$3:$E$50,B151)</f>
        <v>0</v>
      </c>
    </row>
    <row r="152" spans="2:6" hidden="1">
      <c r="B152" s="26" t="str">
        <f>LEFT(Лист1!L152,30)</f>
        <v>К 6 Special</v>
      </c>
      <c r="C152" s="53">
        <f>Лист1!K152</f>
        <v>11685080</v>
      </c>
      <c r="D152" s="36">
        <f t="shared" si="3"/>
        <v>0</v>
      </c>
      <c r="E152" s="30">
        <f>COUNTIF(Лист1!$A$3:$A$50,B152)</f>
        <v>0</v>
      </c>
      <c r="F152" s="30">
        <f>COUNTIF(Лист1!$E$3:$E$50,B152)</f>
        <v>0</v>
      </c>
    </row>
    <row r="153" spans="2:6" hidden="1">
      <c r="B153" s="26" t="str">
        <f>LEFT(Лист1!L153,30)</f>
        <v>HGE 18-50 Battery</v>
      </c>
      <c r="C153" s="53">
        <f>Лист1!K153</f>
        <v>14442400</v>
      </c>
      <c r="D153" s="36">
        <f t="shared" si="3"/>
        <v>0</v>
      </c>
      <c r="E153" s="30">
        <f>COUNTIF(Лист1!$A$3:$A$50,B153)</f>
        <v>0</v>
      </c>
      <c r="F153" s="30">
        <f>COUNTIF(Лист1!$E$3:$E$50,B153)</f>
        <v>0</v>
      </c>
    </row>
    <row r="154" spans="2:6" hidden="1">
      <c r="B154" s="26" t="str">
        <f>LEFT(Лист1!L154,30)</f>
        <v>VC 6 Cordless ourFamily Extra</v>
      </c>
      <c r="C154" s="53">
        <f>Лист1!K154</f>
        <v>11986740</v>
      </c>
      <c r="D154" s="36">
        <f t="shared" si="3"/>
        <v>0</v>
      </c>
      <c r="E154" s="30">
        <f>COUNTIF(Лист1!$A$3:$A$50,B154)</f>
        <v>0</v>
      </c>
      <c r="F154" s="30">
        <f>COUNTIF(Лист1!$E$3:$E$50,B154)</f>
        <v>0</v>
      </c>
    </row>
    <row r="155" spans="2:6" hidden="1">
      <c r="B155" s="26" t="str">
        <f>LEFT(Лист1!L155,30)</f>
        <v>VC 6 Cordless ourFamily Car</v>
      </c>
      <c r="C155" s="53">
        <f>Лист1!K155</f>
        <v>11986720</v>
      </c>
      <c r="D155" s="36">
        <f t="shared" si="3"/>
        <v>0</v>
      </c>
      <c r="E155" s="30">
        <f>COUNTIF(Лист1!$A$3:$A$50,B155)</f>
        <v>0</v>
      </c>
      <c r="F155" s="30">
        <f>COUNTIF(Лист1!$E$3:$E$50,B155)</f>
        <v>0</v>
      </c>
    </row>
    <row r="156" spans="2:6" hidden="1">
      <c r="B156" s="26" t="str">
        <f>LEFT(Лист1!L156,30)</f>
        <v/>
      </c>
      <c r="C156" s="53">
        <f>Лист1!K156</f>
        <v>0</v>
      </c>
      <c r="D156" s="36">
        <f t="shared" si="3"/>
        <v>0</v>
      </c>
      <c r="E156" s="30">
        <f>COUNTIF(Лист1!$A$3:$A$50,B156)</f>
        <v>0</v>
      </c>
      <c r="F156" s="30">
        <f>COUNTIF(Лист1!$E$3:$E$50,B156)</f>
        <v>0</v>
      </c>
    </row>
    <row r="157" spans="2:6" hidden="1">
      <c r="B157" s="26" t="str">
        <f>LEFT(Лист1!L157,30)</f>
        <v/>
      </c>
      <c r="C157" s="53">
        <f>Лист1!K157</f>
        <v>0</v>
      </c>
      <c r="D157" s="36">
        <f t="shared" si="3"/>
        <v>0</v>
      </c>
      <c r="E157" s="30">
        <f>COUNTIF(Лист1!$A$3:$A$50,B157)</f>
        <v>0</v>
      </c>
      <c r="F157" s="30">
        <f>COUNTIF(Лист1!$E$3:$E$50,B157)</f>
        <v>0</v>
      </c>
    </row>
    <row r="158" spans="2:6" hidden="1">
      <c r="B158" s="26" t="str">
        <f>LEFT(Лист1!L158,30)</f>
        <v/>
      </c>
      <c r="C158" s="53">
        <f>Лист1!K158</f>
        <v>0</v>
      </c>
      <c r="D158" s="36">
        <f t="shared" si="3"/>
        <v>0</v>
      </c>
      <c r="E158" s="30">
        <f>COUNTIF(Лист1!$A$3:$A$50,B158)</f>
        <v>0</v>
      </c>
      <c r="F158" s="30">
        <f>COUNTIF(Лист1!$E$3:$E$50,B158)</f>
        <v>0</v>
      </c>
    </row>
    <row r="159" spans="2:6" hidden="1">
      <c r="B159" s="26" t="str">
        <f>LEFT(Лист1!L159,30)</f>
        <v/>
      </c>
      <c r="C159" s="53">
        <f>Лист1!K159</f>
        <v>0</v>
      </c>
      <c r="D159" s="36">
        <f t="shared" si="3"/>
        <v>0</v>
      </c>
      <c r="E159" s="30">
        <f>COUNTIF(Лист1!$A$3:$A$50,B159)</f>
        <v>0</v>
      </c>
      <c r="F159" s="30">
        <f>COUNTIF(Лист1!$E$3:$E$50,B159)</f>
        <v>0</v>
      </c>
    </row>
    <row r="160" spans="2:6" hidden="1">
      <c r="B160" s="26" t="str">
        <f>LEFT(Лист1!L160,30)</f>
        <v/>
      </c>
      <c r="C160" s="53">
        <f>Лист1!K160</f>
        <v>0</v>
      </c>
      <c r="D160" s="36">
        <f t="shared" si="3"/>
        <v>0</v>
      </c>
      <c r="E160" s="30">
        <f>COUNTIF(Лист1!$A$3:$A$50,B160)</f>
        <v>0</v>
      </c>
      <c r="F160" s="30">
        <f>COUNTIF(Лист1!$E$3:$E$50,B160)</f>
        <v>0</v>
      </c>
    </row>
    <row r="161" spans="2:6" hidden="1">
      <c r="B161" s="26" t="str">
        <f>LEFT(Лист1!L161,30)</f>
        <v/>
      </c>
      <c r="C161" s="53">
        <f>Лист1!K161</f>
        <v>0</v>
      </c>
      <c r="D161" s="36">
        <f t="shared" si="3"/>
        <v>0</v>
      </c>
      <c r="E161" s="30">
        <f>COUNTIF(Лист1!$A$3:$A$50,B161)</f>
        <v>0</v>
      </c>
      <c r="F161" s="30">
        <f>COUNTIF(Лист1!$E$3:$E$50,B161)</f>
        <v>0</v>
      </c>
    </row>
    <row r="162" spans="2:6" hidden="1">
      <c r="B162" s="26" t="str">
        <f>LEFT(Лист1!L162,30)</f>
        <v/>
      </c>
      <c r="C162" s="53">
        <f>Лист1!K162</f>
        <v>0</v>
      </c>
      <c r="D162" s="36">
        <f t="shared" si="3"/>
        <v>0</v>
      </c>
      <c r="E162" s="30">
        <f>COUNTIF(Лист1!$A$3:$A$50,B162)</f>
        <v>0</v>
      </c>
      <c r="F162" s="30">
        <f>COUNTIF(Лист1!$E$3:$E$50,B162)</f>
        <v>0</v>
      </c>
    </row>
    <row r="163" spans="2:6" hidden="1">
      <c r="B163" s="26" t="str">
        <f>LEFT(Лист1!L163,30)</f>
        <v/>
      </c>
      <c r="C163" s="53">
        <f>Лист1!K163</f>
        <v>0</v>
      </c>
      <c r="D163" s="36">
        <f t="shared" ref="D163:D172" si="4">E163+F163</f>
        <v>0</v>
      </c>
      <c r="E163" s="30">
        <f>COUNTIF(Лист1!$A$3:$A$50,B163)</f>
        <v>0</v>
      </c>
      <c r="F163" s="30">
        <f>COUNTIF(Лист1!$E$3:$E$50,B163)</f>
        <v>0</v>
      </c>
    </row>
    <row r="164" spans="2:6" hidden="1">
      <c r="B164" s="26" t="str">
        <f>LEFT(Лист1!L164,30)</f>
        <v/>
      </c>
      <c r="C164" s="53">
        <f>Лист1!K164</f>
        <v>0</v>
      </c>
      <c r="D164" s="36">
        <f t="shared" si="4"/>
        <v>0</v>
      </c>
      <c r="E164" s="30">
        <f>COUNTIF(Лист1!$A$3:$A$50,B164)</f>
        <v>0</v>
      </c>
      <c r="F164" s="30">
        <f>COUNTIF(Лист1!$E$3:$E$50,B164)</f>
        <v>0</v>
      </c>
    </row>
    <row r="165" spans="2:6" hidden="1">
      <c r="B165" s="26" t="str">
        <f>LEFT(Лист1!L165,30)</f>
        <v/>
      </c>
      <c r="C165" s="53">
        <f>Лист1!K165</f>
        <v>0</v>
      </c>
      <c r="D165" s="36">
        <f t="shared" si="4"/>
        <v>0</v>
      </c>
      <c r="E165" s="30">
        <f>COUNTIF(Лист1!$A$3:$A$50,B165)</f>
        <v>0</v>
      </c>
      <c r="F165" s="30">
        <f>COUNTIF(Лист1!$E$3:$E$50,B165)</f>
        <v>0</v>
      </c>
    </row>
    <row r="166" spans="2:6" hidden="1">
      <c r="B166" s="26" t="str">
        <f>LEFT(Лист1!L166,30)</f>
        <v/>
      </c>
      <c r="C166" s="53">
        <f>Лист1!K166</f>
        <v>0</v>
      </c>
      <c r="D166" s="36">
        <f t="shared" si="4"/>
        <v>0</v>
      </c>
      <c r="E166" s="30">
        <f>COUNTIF(Лист1!$A$3:$A$50,B166)</f>
        <v>0</v>
      </c>
      <c r="F166" s="30">
        <f>COUNTIF(Лист1!$E$3:$E$50,B166)</f>
        <v>0</v>
      </c>
    </row>
    <row r="167" spans="2:6" hidden="1">
      <c r="B167" s="26" t="str">
        <f>LEFT(Лист1!L167,30)</f>
        <v/>
      </c>
      <c r="C167" s="53">
        <f>Лист1!K167</f>
        <v>0</v>
      </c>
      <c r="D167" s="36">
        <f t="shared" si="4"/>
        <v>0</v>
      </c>
      <c r="E167" s="30">
        <f>COUNTIF(Лист1!$A$3:$A$50,B167)</f>
        <v>0</v>
      </c>
      <c r="F167" s="30">
        <f>COUNTIF(Лист1!$E$3:$E$50,B167)</f>
        <v>0</v>
      </c>
    </row>
    <row r="168" spans="2:6" hidden="1">
      <c r="B168" s="26" t="str">
        <f>LEFT(Лист1!L168,30)</f>
        <v/>
      </c>
      <c r="C168" s="53">
        <f>Лист1!K168</f>
        <v>0</v>
      </c>
      <c r="D168" s="36">
        <f t="shared" si="4"/>
        <v>0</v>
      </c>
      <c r="E168" s="30">
        <f>COUNTIF(Лист1!$A$3:$A$50,B168)</f>
        <v>0</v>
      </c>
      <c r="F168" s="30">
        <f>COUNTIF(Лист1!$E$3:$E$50,B168)</f>
        <v>0</v>
      </c>
    </row>
    <row r="169" spans="2:6" hidden="1">
      <c r="B169" s="26" t="str">
        <f>LEFT(Лист1!L169,30)</f>
        <v/>
      </c>
      <c r="C169" s="53">
        <f>Лист1!K169</f>
        <v>0</v>
      </c>
      <c r="D169" s="36">
        <f t="shared" si="4"/>
        <v>0</v>
      </c>
      <c r="E169" s="30">
        <f>COUNTIF(Лист1!$A$3:$A$50,B169)</f>
        <v>0</v>
      </c>
      <c r="F169" s="30">
        <f>COUNTIF(Лист1!$E$3:$E$50,B169)</f>
        <v>0</v>
      </c>
    </row>
    <row r="170" spans="2:6" hidden="1">
      <c r="B170" s="26" t="str">
        <f>LEFT(Лист1!L170,30)</f>
        <v/>
      </c>
      <c r="C170" s="53">
        <f>Лист1!K170</f>
        <v>0</v>
      </c>
      <c r="D170" s="36">
        <f t="shared" si="4"/>
        <v>0</v>
      </c>
      <c r="E170" s="30">
        <f>COUNTIF(Лист1!$A$3:$A$50,B170)</f>
        <v>0</v>
      </c>
      <c r="F170" s="30">
        <f>COUNTIF(Лист1!$E$3:$E$50,B170)</f>
        <v>0</v>
      </c>
    </row>
    <row r="171" spans="2:6" hidden="1">
      <c r="B171" s="26" t="str">
        <f>LEFT(Лист1!L171,30)</f>
        <v/>
      </c>
      <c r="C171" s="53">
        <f>Лист1!K171</f>
        <v>0</v>
      </c>
      <c r="D171" s="36">
        <f t="shared" si="4"/>
        <v>0</v>
      </c>
      <c r="E171" s="30">
        <f>COUNTIF(Лист1!$A$3:$A$50,B171)</f>
        <v>0</v>
      </c>
      <c r="F171" s="30">
        <f>COUNTIF(Лист1!$E$3:$E$50,B171)</f>
        <v>0</v>
      </c>
    </row>
    <row r="172" spans="2:6" hidden="1">
      <c r="B172" s="26" t="str">
        <f>LEFT(Лист1!L172,30)</f>
        <v/>
      </c>
      <c r="C172" s="53">
        <f>Лист1!K172</f>
        <v>0</v>
      </c>
      <c r="D172" s="36">
        <f t="shared" si="4"/>
        <v>0</v>
      </c>
      <c r="E172" s="30">
        <f>COUNTIF(Лист1!$A$3:$A$50,B172)</f>
        <v>0</v>
      </c>
      <c r="F172" s="30">
        <f>COUNTIF(Лист1!$E$3:$E$50,B172)</f>
        <v>0</v>
      </c>
    </row>
  </sheetData>
  <autoFilter ref="B2:F172">
    <filterColumn colId="2">
      <customFilters>
        <customFilter operator="greaterThan" val="0"/>
      </customFilters>
    </filterColumn>
  </autoFilter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Лист1</vt:lpstr>
      <vt:lpstr>Количество</vt:lpstr>
      <vt:lpstr>Лист1!Извлечь</vt:lpstr>
      <vt:lpstr>Сотрудники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2023-11-27T14:48:59Z</dcterms:modified>
</cp:coreProperties>
</file>