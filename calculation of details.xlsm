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585" yWindow="870" windowWidth="11505" windowHeight="8475" tabRatio="602"/>
  </bookViews>
  <sheets>
    <sheet name="Лист1" sheetId="1" r:id="rId1"/>
  </sheets>
  <definedNames>
    <definedName name="_xlnm._FilterDatabase" localSheetId="0" hidden="1">Лист1!$H$5:$H$7</definedName>
    <definedName name="Код">OFFSET(Лист1!$D$3,,,COUNTA(Лист1!$F$3:$F$41))</definedName>
    <definedName name="Наименование">OFFSET(Лист1!$F$3,,,COUNTA(Лист1!$F$3:$F$41))</definedName>
    <definedName name="Общее">OFFSET(Лист1!$G$3,,,COUNTA(Лист1!$F$3:$F$41))</definedName>
  </definedNames>
  <calcPr calcId="124519"/>
</workbook>
</file>

<file path=xl/calcChain.xml><?xml version="1.0" encoding="utf-8"?>
<calcChain xmlns="http://schemas.openxmlformats.org/spreadsheetml/2006/main">
  <c r="I3" i="1" a="1"/>
  <c r="I3" s="1"/>
  <c r="G38"/>
  <c r="G39"/>
  <c r="G40"/>
  <c r="G41"/>
  <c r="G37"/>
  <c r="J3" a="1"/>
  <c r="J3" s="1"/>
  <c r="I4" l="1" a="1"/>
  <c r="I4" s="1"/>
  <c r="G35"/>
  <c r="G36"/>
  <c r="G34"/>
  <c r="G33"/>
  <c r="G32"/>
  <c r="G26"/>
  <c r="G27"/>
  <c r="G28"/>
  <c r="G29"/>
  <c r="G30"/>
  <c r="G31"/>
  <c r="G25"/>
  <c r="G19"/>
  <c r="G20"/>
  <c r="G21"/>
  <c r="G22"/>
  <c r="G23"/>
  <c r="G24"/>
  <c r="G18"/>
  <c r="G13"/>
  <c r="G14"/>
  <c r="G15"/>
  <c r="G16"/>
  <c r="G17"/>
  <c r="G12"/>
  <c r="G10"/>
  <c r="G11"/>
  <c r="G9"/>
  <c r="G8"/>
  <c r="G7"/>
  <c r="G6"/>
  <c r="G5"/>
  <c r="G4"/>
  <c r="G3"/>
  <c r="J4" a="1"/>
  <c r="J4" s="1"/>
  <c r="K3" l="1"/>
  <c r="I5" a="1"/>
  <c r="I5" s="1"/>
  <c r="K4"/>
  <c r="J5" a="1"/>
  <c r="J5" s="1"/>
  <c r="I6" l="1" a="1"/>
  <c r="I6" s="1"/>
  <c r="K5"/>
  <c r="J6" a="1"/>
  <c r="J6" s="1"/>
  <c r="I7" l="1" a="1"/>
  <c r="I7" s="1"/>
  <c r="I8" s="1" a="1"/>
  <c r="I8" s="1"/>
  <c r="I9" s="1" a="1"/>
  <c r="I9" s="1"/>
  <c r="K6"/>
  <c r="J7" a="1"/>
  <c r="J7" s="1"/>
  <c r="I10" l="1" a="1"/>
  <c r="I10" s="1"/>
  <c r="I11" s="1" a="1"/>
  <c r="I11" s="1"/>
  <c r="I12" s="1" a="1"/>
  <c r="I12" s="1"/>
  <c r="I13" s="1" a="1"/>
  <c r="I13" s="1"/>
  <c r="I14" s="1" a="1"/>
  <c r="I14" s="1"/>
  <c r="I15" s="1" a="1"/>
  <c r="I15" s="1"/>
  <c r="I16" s="1" a="1"/>
  <c r="I16" s="1"/>
  <c r="I17" s="1" a="1"/>
  <c r="I17" s="1"/>
  <c r="I18" s="1" a="1"/>
  <c r="I18" s="1"/>
  <c r="I19" s="1" a="1"/>
  <c r="I19" s="1"/>
  <c r="I20" s="1" a="1"/>
  <c r="I20" s="1"/>
  <c r="I21" s="1" a="1"/>
  <c r="I21" s="1"/>
  <c r="I22" s="1" a="1"/>
  <c r="I22" s="1"/>
  <c r="I23" s="1" a="1"/>
  <c r="I23" s="1"/>
  <c r="I24" s="1" a="1"/>
  <c r="I24" s="1"/>
  <c r="I25" s="1" a="1"/>
  <c r="I25" s="1"/>
  <c r="I26" s="1" a="1"/>
  <c r="I26" s="1"/>
  <c r="I27" s="1" a="1"/>
  <c r="I27" s="1"/>
  <c r="I28" s="1" a="1"/>
  <c r="I28" s="1"/>
  <c r="I29" s="1" a="1"/>
  <c r="I29" s="1"/>
  <c r="I30" s="1" a="1"/>
  <c r="I30" s="1"/>
  <c r="I31" s="1" a="1"/>
  <c r="I31" s="1"/>
  <c r="I32" s="1" a="1"/>
  <c r="I32" s="1"/>
  <c r="I33" s="1" a="1"/>
  <c r="I33" s="1"/>
  <c r="I34" s="1" a="1"/>
  <c r="I34" s="1"/>
  <c r="I35" s="1" a="1"/>
  <c r="I35" s="1"/>
  <c r="I36" s="1" a="1"/>
  <c r="I36" s="1"/>
  <c r="I37" s="1" a="1"/>
  <c r="I37" s="1"/>
  <c r="I38" s="1" a="1"/>
  <c r="I38" s="1"/>
  <c r="I39" s="1" a="1"/>
  <c r="I39" s="1"/>
  <c r="I40" s="1" a="1"/>
  <c r="I40" s="1"/>
  <c r="I41" s="1" a="1"/>
  <c r="I41" s="1"/>
  <c r="K7"/>
  <c r="J8" a="1"/>
  <c r="J8" s="1"/>
  <c r="K8" l="1"/>
  <c r="J9" a="1"/>
  <c r="J9" s="1"/>
  <c r="K9" l="1"/>
  <c r="J10" a="1"/>
  <c r="J10" s="1"/>
  <c r="K10" l="1"/>
  <c r="J11" a="1"/>
  <c r="J11" s="1"/>
  <c r="K11" l="1"/>
  <c r="J12" a="1"/>
  <c r="J12" s="1"/>
  <c r="K12" l="1"/>
  <c r="J13" a="1"/>
  <c r="J13" s="1"/>
  <c r="K13" l="1"/>
  <c r="J14" a="1"/>
  <c r="J14" s="1"/>
  <c r="K14" l="1"/>
  <c r="J15" a="1"/>
  <c r="J15" s="1"/>
  <c r="K15" l="1"/>
  <c r="J16" a="1"/>
  <c r="J16" s="1"/>
  <c r="K16" l="1"/>
  <c r="J17" a="1"/>
  <c r="J17" s="1"/>
  <c r="K17" l="1"/>
  <c r="J18" a="1"/>
  <c r="J18" s="1"/>
  <c r="K18" l="1"/>
  <c r="J19" a="1"/>
  <c r="J19" s="1"/>
  <c r="K19" l="1"/>
  <c r="J20" a="1"/>
  <c r="J20" s="1"/>
  <c r="K20" l="1"/>
  <c r="J21" a="1"/>
  <c r="J21" s="1"/>
  <c r="K21" l="1"/>
  <c r="J22" a="1"/>
  <c r="J22" s="1"/>
  <c r="K22" l="1"/>
  <c r="J23" a="1"/>
  <c r="J23" s="1"/>
  <c r="K23" l="1"/>
  <c r="J24" a="1"/>
  <c r="J24" s="1"/>
  <c r="K24" l="1"/>
  <c r="J25" l="1" a="1"/>
  <c r="J25" s="1"/>
  <c r="K25" l="1"/>
  <c r="J26" a="1"/>
  <c r="J26" s="1"/>
  <c r="K26" l="1"/>
  <c r="J27" a="1"/>
  <c r="J27" s="1"/>
  <c r="K27" l="1"/>
  <c r="J28" a="1"/>
  <c r="J28" s="1"/>
  <c r="K28" l="1"/>
  <c r="J29" a="1"/>
  <c r="J29" s="1"/>
  <c r="K29" l="1"/>
  <c r="J30" a="1"/>
  <c r="J30" s="1"/>
  <c r="K30" l="1"/>
  <c r="J31" a="1"/>
  <c r="J31" s="1"/>
  <c r="K31" l="1"/>
  <c r="J32" l="1" a="1"/>
  <c r="J32" s="1"/>
  <c r="K32" l="1"/>
  <c r="J33" a="1"/>
  <c r="J33" s="1"/>
  <c r="K33" l="1"/>
  <c r="J34" l="1" a="1"/>
  <c r="J34" s="1"/>
  <c r="K34" l="1"/>
  <c r="J35" a="1"/>
  <c r="J35" s="1"/>
  <c r="K35" l="1"/>
  <c r="J36" a="1"/>
  <c r="J36" s="1"/>
  <c r="K36" l="1"/>
  <c r="J37" a="1"/>
  <c r="J37" s="1"/>
  <c r="J38" l="1" a="1"/>
  <c r="J38" s="1"/>
  <c r="K37"/>
  <c r="J39" l="1" a="1"/>
  <c r="J39" s="1"/>
  <c r="K38"/>
  <c r="J40" l="1" a="1"/>
  <c r="J40" s="1"/>
  <c r="K39"/>
  <c r="J41" l="1" a="1"/>
  <c r="J41" s="1"/>
  <c r="K41" s="1"/>
  <c r="K40"/>
</calcChain>
</file>

<file path=xl/sharedStrings.xml><?xml version="1.0" encoding="utf-8"?>
<sst xmlns="http://schemas.openxmlformats.org/spreadsheetml/2006/main" count="110" uniqueCount="64">
  <si>
    <t>Наша сборка</t>
  </si>
  <si>
    <t>Из чего собирается</t>
  </si>
  <si>
    <t>Код</t>
  </si>
  <si>
    <t>Наименование</t>
  </si>
  <si>
    <t>Кол-во</t>
  </si>
  <si>
    <t>004020</t>
  </si>
  <si>
    <t>П*ен насадка LS-3 вход 1/4" гайка,перех 1/4" под Karcher, бачок 1л NEW (8.011.01+8.082.01А)</t>
  </si>
  <si>
    <t>004023</t>
  </si>
  <si>
    <t>8.011.01 Пенная насадка LS-3 вход 1/4" гайка, бачок 1л NEW</t>
  </si>
  <si>
    <t>004244</t>
  </si>
  <si>
    <t>8.082.01A Переходник для пенной насадки под Karcher K-series вход 1/4"Ш (аналог 004230) заказать мн.</t>
  </si>
  <si>
    <t>004019</t>
  </si>
  <si>
    <t>П*енная насадка LS-3 вход М22х1,5 гайка для проф Karcher (наша сборка)</t>
  </si>
  <si>
    <t>004209</t>
  </si>
  <si>
    <t>8.082.08A Переходник гайка М22х1,5; штуцер 1/4" (5MB-22-04-BR-T)</t>
  </si>
  <si>
    <t>004030</t>
  </si>
  <si>
    <t>П*енная насадка LS-3 Premium вход гайка EASY Lock для проф Karcher (собираем 8.011.01+8.082.08В)</t>
  </si>
  <si>
    <t>004211</t>
  </si>
  <si>
    <t>8.082.08B Переходник штуцер 1/4" - гайка EASY Lock для сборки пенной насадки</t>
  </si>
  <si>
    <t>004004</t>
  </si>
  <si>
    <t>П*енная насадка LS3 с ниппелем ARS350 (Наша сборка 8.011.01 + переходники)</t>
  </si>
  <si>
    <t>004282</t>
  </si>
  <si>
    <t>1B-04-06 Переходник штуцер 1/4"; штуцер 3/8"</t>
  </si>
  <si>
    <t>004311</t>
  </si>
  <si>
    <t>TPL-03PF (SS304) РА Нипель 3/8"F нержавеющая сталь (аналог 004265 -А93)</t>
  </si>
  <si>
    <t>004016</t>
  </si>
  <si>
    <t>П*енокомплект LS3 с ниппелем ARS350 и переходн для проф пист 22х1,5 аналог 004058</t>
  </si>
  <si>
    <t>004203</t>
  </si>
  <si>
    <t>2.006.02 (1MB-22-06-BR) Переходник Штуцер М22*1,5 (BSP M-d.14) - штуцер 3/8 (5*6550, 26.1019.31)</t>
  </si>
  <si>
    <t>004196</t>
  </si>
  <si>
    <t>5MB-22-06-BR-T Переходник гайка М22х1,5; штуцер 3/8"</t>
  </si>
  <si>
    <t>004310</t>
  </si>
  <si>
    <t>TPL-03SF (SS304) Байонет ARS350 нерж 3/8" (аналог 004308)</t>
  </si>
  <si>
    <t>004017</t>
  </si>
  <si>
    <t>П*енокомплект LS3 с ниппелем ARS350 и переходн для проф пист EasyLock аналог 004053</t>
  </si>
  <si>
    <t>004221</t>
  </si>
  <si>
    <t>EASYLOCK1422 Переходник штуцер 1/4" - штуцер EASY Lock (замена Арсенала)</t>
  </si>
  <si>
    <t>004294</t>
  </si>
  <si>
    <t>5B-06-04 Переходник гайка 1/4"; штуцер 3/8"</t>
  </si>
  <si>
    <t>П*енокомплект LS3 с ниппелем KW и переходн для проф пист EASY LOCK(наша сборка)</t>
  </si>
  <si>
    <t>004021</t>
  </si>
  <si>
    <t>1002.1164.00 Ниппель KW вх 1/4" штуцер(MD85.300.104M,арт. 26.2450.51,вх гайка-дорогой см код 004269)</t>
  </si>
  <si>
    <t>004303</t>
  </si>
  <si>
    <t>004305</t>
  </si>
  <si>
    <t>1002.1163.00 Ниппель KW вх 1/4" гайка(MD85.300.104Dарт. 26.2450.51-дорогой),заказ мало см.код004303)</t>
  </si>
  <si>
    <t>004296</t>
  </si>
  <si>
    <t>7B-04-04  Переходник гайка 1/4"; гайка 1/4"</t>
  </si>
  <si>
    <t>004309</t>
  </si>
  <si>
    <t>1002.1161.00 Байонет KW ARS25 выс. давления 1/4"Ш (old 26.2400.60)</t>
  </si>
  <si>
    <t>П*енная насадка LS3 с ниппелем KW (Наша сборка 8.011.01 + переходники)</t>
  </si>
  <si>
    <t>004013</t>
  </si>
  <si>
    <t>004022</t>
  </si>
  <si>
    <t>П*енная насадка для Comet, Kranzle, Portotecnica вход М22х1.5ш (наша сборка)</t>
  </si>
  <si>
    <t>004200</t>
  </si>
  <si>
    <t>004204</t>
  </si>
  <si>
    <t>8.082.09B Переходник штуцер 22х1,5; гайка 1/4</t>
  </si>
  <si>
    <t>8.082.13B Переходник штуцер 1/4" - штуцер 1/4" (для сборки пенной насадки) (А 93)</t>
  </si>
  <si>
    <t>Сколько хочу собрать</t>
  </si>
  <si>
    <t>Сумма</t>
  </si>
  <si>
    <t>Что нужно заказать</t>
  </si>
  <si>
    <t>004018</t>
  </si>
  <si>
    <t>П*енокомплект LS3 с ниппелем KW и переходн для проф пист 22х1,5 (наша сборка)</t>
  </si>
  <si>
    <t>004220</t>
  </si>
  <si>
    <t>7MB-22-04-BR (26.0250.20 РА) Гайка М22*1,5; Гайка 1/4</t>
  </si>
</sst>
</file>

<file path=xl/styles.xml><?xml version="1.0" encoding="utf-8"?>
<styleSheet xmlns="http://schemas.openxmlformats.org/spreadsheetml/2006/main">
  <fonts count="6">
    <font>
      <sz val="8"/>
      <name val="Arial"/>
      <family val="2"/>
      <charset val="204"/>
    </font>
    <font>
      <sz val="12"/>
      <name val="Calibri"/>
      <family val="2"/>
      <charset val="204"/>
    </font>
    <font>
      <b/>
      <sz val="8"/>
      <name val="Arial"/>
      <family val="2"/>
      <charset val="204"/>
    </font>
    <font>
      <b/>
      <sz val="6"/>
      <name val="Arial"/>
      <family val="2"/>
      <charset val="204"/>
    </font>
    <font>
      <b/>
      <sz val="7"/>
      <name val="Arial"/>
      <family val="2"/>
      <charset val="204"/>
    </font>
    <font>
      <b/>
      <sz val="14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>
      <alignment horizontal="left"/>
    </xf>
  </cellStyleXfs>
  <cellXfs count="83">
    <xf numFmtId="0" fontId="0" fillId="0" borderId="0" xfId="0" applyAlignment="1"/>
    <xf numFmtId="49" fontId="0" fillId="0" borderId="0" xfId="0" applyNumberFormat="1" applyAlignment="1"/>
    <xf numFmtId="49" fontId="0" fillId="0" borderId="0" xfId="0" applyNumberFormat="1" applyAlignment="1">
      <alignment horizontal="right"/>
    </xf>
    <xf numFmtId="0" fontId="0" fillId="0" borderId="1" xfId="0" applyBorder="1" applyAlignment="1"/>
    <xf numFmtId="49" fontId="0" fillId="0" borderId="2" xfId="0" applyNumberFormat="1" applyBorder="1" applyAlignment="1"/>
    <xf numFmtId="0" fontId="0" fillId="0" borderId="3" xfId="0" applyBorder="1" applyAlignment="1"/>
    <xf numFmtId="49" fontId="0" fillId="0" borderId="4" xfId="0" applyNumberFormat="1" applyBorder="1" applyAlignment="1"/>
    <xf numFmtId="0" fontId="0" fillId="0" borderId="5" xfId="0" applyBorder="1" applyAlignment="1"/>
    <xf numFmtId="49" fontId="0" fillId="0" borderId="6" xfId="0" applyNumberFormat="1" applyBorder="1" applyAlignment="1"/>
    <xf numFmtId="49" fontId="0" fillId="0" borderId="0" xfId="0" applyNumberForma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 wrapText="1"/>
    </xf>
    <xf numFmtId="49" fontId="0" fillId="0" borderId="3" xfId="0" applyNumberFormat="1" applyBorder="1" applyAlignment="1"/>
    <xf numFmtId="49" fontId="1" fillId="0" borderId="4" xfId="0" applyNumberFormat="1" applyFont="1" applyBorder="1" applyAlignment="1"/>
    <xf numFmtId="49" fontId="1" fillId="0" borderId="5" xfId="0" applyNumberFormat="1" applyFont="1" applyBorder="1" applyAlignment="1"/>
    <xf numFmtId="2" fontId="0" fillId="0" borderId="0" xfId="0" applyNumberFormat="1" applyAlignment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/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0" fontId="0" fillId="0" borderId="15" xfId="0" applyNumberFormat="1" applyBorder="1" applyAlignment="1"/>
    <xf numFmtId="0" fontId="0" fillId="0" borderId="16" xfId="0" applyNumberFormat="1" applyBorder="1" applyAlignment="1"/>
    <xf numFmtId="0" fontId="0" fillId="0" borderId="11" xfId="0" applyNumberFormat="1" applyBorder="1" applyAlignment="1"/>
    <xf numFmtId="2" fontId="1" fillId="0" borderId="0" xfId="0" applyNumberFormat="1" applyFont="1" applyFill="1" applyBorder="1" applyAlignment="1">
      <alignment horizontal="right"/>
    </xf>
    <xf numFmtId="2" fontId="0" fillId="0" borderId="0" xfId="0" applyNumberFormat="1" applyFill="1" applyAlignment="1">
      <alignment horizontal="right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2" fillId="3" borderId="14" xfId="0" applyFont="1" applyFill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/>
    </xf>
    <xf numFmtId="49" fontId="0" fillId="2" borderId="2" xfId="0" applyNumberFormat="1" applyFill="1" applyBorder="1" applyAlignment="1"/>
    <xf numFmtId="0" fontId="0" fillId="2" borderId="3" xfId="0" applyFill="1" applyBorder="1" applyAlignment="1"/>
    <xf numFmtId="0" fontId="0" fillId="2" borderId="3" xfId="0" applyNumberFormat="1" applyFill="1" applyBorder="1" applyAlignment="1">
      <alignment horizontal="center" vertical="center"/>
    </xf>
    <xf numFmtId="0" fontId="0" fillId="2" borderId="15" xfId="0" applyNumberFormat="1" applyFill="1" applyBorder="1" applyAlignment="1"/>
    <xf numFmtId="1" fontId="0" fillId="2" borderId="17" xfId="0" applyNumberFormat="1" applyFill="1" applyBorder="1" applyAlignment="1">
      <alignment horizontal="center"/>
    </xf>
    <xf numFmtId="49" fontId="0" fillId="2" borderId="4" xfId="0" applyNumberFormat="1" applyFill="1" applyBorder="1" applyAlignment="1"/>
    <xf numFmtId="0" fontId="0" fillId="2" borderId="5" xfId="0" applyFill="1" applyBorder="1" applyAlignment="1"/>
    <xf numFmtId="0" fontId="0" fillId="2" borderId="5" xfId="0" applyNumberFormat="1" applyFill="1" applyBorder="1" applyAlignment="1">
      <alignment horizontal="center" vertical="center"/>
    </xf>
    <xf numFmtId="0" fontId="0" fillId="2" borderId="16" xfId="0" applyNumberFormat="1" applyFill="1" applyBorder="1" applyAlignment="1"/>
    <xf numFmtId="1" fontId="0" fillId="2" borderId="18" xfId="0" applyNumberFormat="1" applyFill="1" applyBorder="1" applyAlignment="1">
      <alignment horizontal="center"/>
    </xf>
    <xf numFmtId="49" fontId="0" fillId="2" borderId="6" xfId="0" applyNumberFormat="1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>
      <alignment horizontal="center" vertical="center"/>
    </xf>
    <xf numFmtId="0" fontId="0" fillId="2" borderId="11" xfId="0" applyNumberFormat="1" applyFill="1" applyBorder="1" applyAlignment="1"/>
    <xf numFmtId="1" fontId="0" fillId="2" borderId="19" xfId="0" applyNumberFormat="1" applyFill="1" applyBorder="1" applyAlignment="1">
      <alignment horizontal="center"/>
    </xf>
    <xf numFmtId="49" fontId="1" fillId="2" borderId="6" xfId="0" applyNumberFormat="1" applyFont="1" applyFill="1" applyBorder="1" applyAlignment="1"/>
    <xf numFmtId="49" fontId="1" fillId="2" borderId="1" xfId="0" applyNumberFormat="1" applyFont="1" applyFill="1" applyBorder="1" applyAlignment="1"/>
    <xf numFmtId="49" fontId="0" fillId="2" borderId="5" xfId="0" applyNumberFormat="1" applyFill="1" applyBorder="1" applyAlignment="1"/>
    <xf numFmtId="49" fontId="0" fillId="2" borderId="8" xfId="0" applyNumberFormat="1" applyFill="1" applyBorder="1" applyAlignment="1"/>
    <xf numFmtId="49" fontId="0" fillId="2" borderId="3" xfId="0" applyNumberFormat="1" applyFill="1" applyBorder="1" applyAlignment="1"/>
    <xf numFmtId="49" fontId="0" fillId="2" borderId="9" xfId="0" applyNumberFormat="1" applyFill="1" applyBorder="1" applyAlignment="1"/>
    <xf numFmtId="49" fontId="0" fillId="2" borderId="1" xfId="0" applyNumberFormat="1" applyFill="1" applyBorder="1" applyAlignment="1"/>
    <xf numFmtId="49" fontId="0" fillId="2" borderId="20" xfId="0" applyNumberFormat="1" applyFill="1" applyBorder="1" applyAlignment="1"/>
    <xf numFmtId="49" fontId="0" fillId="2" borderId="7" xfId="0" applyNumberFormat="1" applyFill="1" applyBorder="1" applyAlignment="1"/>
    <xf numFmtId="0" fontId="0" fillId="2" borderId="7" xfId="0" applyNumberFormat="1" applyFill="1" applyBorder="1" applyAlignment="1">
      <alignment horizontal="center" vertical="center"/>
    </xf>
    <xf numFmtId="0" fontId="0" fillId="2" borderId="21" xfId="0" applyNumberFormat="1" applyFill="1" applyBorder="1" applyAlignment="1"/>
    <xf numFmtId="1" fontId="0" fillId="2" borderId="22" xfId="0" applyNumberFormat="1" applyFill="1" applyBorder="1" applyAlignment="1">
      <alignment horizontal="center"/>
    </xf>
    <xf numFmtId="49" fontId="0" fillId="0" borderId="1" xfId="0" applyNumberFormat="1" applyBorder="1" applyAlignment="1"/>
    <xf numFmtId="49" fontId="0" fillId="0" borderId="5" xfId="0" applyNumberFormat="1" applyBorder="1" applyAlignment="1"/>
    <xf numFmtId="0" fontId="0" fillId="0" borderId="17" xfId="0" applyNumberForma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49" fontId="0" fillId="2" borderId="3" xfId="0" applyNumberFormat="1" applyFill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2" borderId="7" xfId="0" applyNumberFormat="1" applyFill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</cellXfs>
  <cellStyles count="1">
    <cellStyle name="Обычный" xfId="0" builtinId="0"/>
  </cellStyles>
  <dxfs count="1">
    <dxf>
      <font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CFFF"/>
      <rgbColor rgb="0069FFFF"/>
      <rgbColor rgb="00E0FFE0"/>
      <rgbColor rgb="00DD9CB3"/>
      <rgbColor rgb="00B38FEE"/>
      <rgbColor rgb="002A6FF9"/>
      <rgbColor rgb="003FB8CD"/>
      <rgbColor rgb="00488436"/>
      <rgbColor rgb="00958C41"/>
      <rgbColor rgb="008E5E42"/>
      <rgbColor rgb="00A0627A"/>
      <rgbColor rgb="00624FAC"/>
      <rgbColor rgb="001D2FBE"/>
      <rgbColor rgb="00286676"/>
      <rgbColor rgb="00004500"/>
      <rgbColor rgb="00453E01"/>
      <rgbColor rgb="006A2813"/>
      <rgbColor rgb="0085396A"/>
      <rgbColor rgb="004A3285"/>
      <rgbColor rgb="00C0DCC0"/>
      <rgbColor rgb="00A6CAF0"/>
      <rgbColor rgb="00800000"/>
      <rgbColor rgb="00008000"/>
      <rgbColor rgb="00000080"/>
      <rgbColor rgb="00808000"/>
      <rgbColor rgb="00800080"/>
      <rgbColor rgb="00008080"/>
      <rgbColor rgb="00808080"/>
      <rgbColor rgb="00FFFBF0"/>
      <rgbColor rgb="00A0A0A4"/>
      <rgbColor rgb="00313900"/>
      <rgbColor rgb="00D9853E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pageSetUpPr fitToPage="1"/>
  </sheetPr>
  <dimension ref="A1:K81"/>
  <sheetViews>
    <sheetView tabSelected="1" zoomScale="120" workbookViewId="0">
      <selection activeCell="A3" sqref="A3"/>
    </sheetView>
  </sheetViews>
  <sheetFormatPr defaultRowHeight="11.25"/>
  <cols>
    <col min="1" max="1" width="12.6640625" style="18" customWidth="1"/>
    <col min="2" max="2" width="6.6640625" style="1" customWidth="1"/>
    <col min="3" max="3" width="88.83203125" style="1" customWidth="1"/>
    <col min="4" max="4" width="7.33203125" style="2" customWidth="1"/>
    <col min="5" max="5" width="3.83203125" style="9" customWidth="1"/>
    <col min="6" max="6" width="91.33203125" style="1" customWidth="1"/>
    <col min="7" max="7" width="5.6640625" style="1" customWidth="1"/>
    <col min="8" max="8" width="9.6640625" style="30" bestFit="1" customWidth="1"/>
    <col min="9" max="9" width="10" style="1" bestFit="1" customWidth="1"/>
    <col min="10" max="10" width="92.1640625" customWidth="1"/>
    <col min="11" max="11" width="8.33203125" customWidth="1"/>
  </cols>
  <sheetData>
    <row r="1" spans="1:11" ht="32.25" customHeight="1">
      <c r="A1" s="33"/>
      <c r="B1" s="77" t="s">
        <v>0</v>
      </c>
      <c r="C1" s="78"/>
      <c r="D1" s="77" t="s">
        <v>1</v>
      </c>
      <c r="E1" s="79"/>
      <c r="F1" s="78"/>
      <c r="H1" s="16"/>
      <c r="I1" s="80" t="s">
        <v>59</v>
      </c>
      <c r="J1" s="81"/>
      <c r="K1" s="82"/>
    </row>
    <row r="2" spans="1:11" ht="18" customHeight="1" thickBot="1">
      <c r="A2" s="34" t="s">
        <v>57</v>
      </c>
      <c r="B2" s="11" t="s">
        <v>2</v>
      </c>
      <c r="C2" s="10" t="s">
        <v>3</v>
      </c>
      <c r="D2" s="11" t="s">
        <v>2</v>
      </c>
      <c r="E2" s="12" t="s">
        <v>4</v>
      </c>
      <c r="F2" s="11" t="s">
        <v>3</v>
      </c>
      <c r="H2" s="16"/>
      <c r="I2" s="68" t="s">
        <v>2</v>
      </c>
      <c r="J2" s="31" t="s">
        <v>3</v>
      </c>
      <c r="K2" s="31" t="s">
        <v>58</v>
      </c>
    </row>
    <row r="3" spans="1:11" ht="11.25" customHeight="1" thickBot="1">
      <c r="A3" s="35"/>
      <c r="B3" s="36" t="s">
        <v>5</v>
      </c>
      <c r="C3" s="37" t="s">
        <v>6</v>
      </c>
      <c r="D3" s="70" t="s">
        <v>7</v>
      </c>
      <c r="E3" s="38">
        <v>1</v>
      </c>
      <c r="F3" s="39" t="s">
        <v>8</v>
      </c>
      <c r="G3" s="40">
        <f>E3*$A$3</f>
        <v>0</v>
      </c>
      <c r="H3" s="16"/>
      <c r="I3" s="69" t="str">
        <f t="array" aca="1" ref="I3" ca="1">IFERROR(INDEX(Код,MATCH(0,COUNTIF($I$2:I2,Код),0)),"")</f>
        <v>004023</v>
      </c>
      <c r="J3" s="22" t="str">
        <f t="array" aca="1" ref="J3" ca="1">IFERROR(INDEX(Наименование,MATCH(0,COUNTIF($J$2:J2,Наименование),0)),"")</f>
        <v>8.011.01 Пенная насадка LS-3 вход 1/4" гайка, бачок 1л NEW</v>
      </c>
      <c r="K3" s="32">
        <f ca="1">SUMPRODUCT((Наименование=J3)*Общее)</f>
        <v>0</v>
      </c>
    </row>
    <row r="4" spans="1:11" ht="11.25" customHeight="1" thickBot="1">
      <c r="A4" s="17"/>
      <c r="B4" s="41"/>
      <c r="C4" s="42"/>
      <c r="D4" s="71" t="s">
        <v>9</v>
      </c>
      <c r="E4" s="43">
        <v>1</v>
      </c>
      <c r="F4" s="44" t="s">
        <v>10</v>
      </c>
      <c r="G4" s="45">
        <f>E4*$A$3</f>
        <v>0</v>
      </c>
      <c r="H4" s="16"/>
      <c r="I4" s="69" t="str">
        <f t="array" aca="1" ref="I4" ca="1">IFERROR(INDEX(Код,MATCH(0,COUNTIF($I$2:I3,Код),0)),"")</f>
        <v>004244</v>
      </c>
      <c r="J4" s="22" t="str">
        <f t="array" aca="1" ref="J4" ca="1">IFERROR(INDEX(Наименование,MATCH(0,COUNTIF($J$2:J3,Наименование),0)),"")</f>
        <v>8.082.01A Переходник для пенной насадки под Karcher K-series вход 1/4"Ш (аналог 004230) заказать мн.</v>
      </c>
      <c r="K4" s="32">
        <f t="shared" ref="K4:K41" ca="1" si="0">SUMPRODUCT((Наименование=J4)*Общее)</f>
        <v>0</v>
      </c>
    </row>
    <row r="5" spans="1:11" ht="11.25" customHeight="1" thickBot="1">
      <c r="A5" s="35"/>
      <c r="B5" s="4" t="s">
        <v>11</v>
      </c>
      <c r="C5" s="5" t="s">
        <v>12</v>
      </c>
      <c r="D5" s="72" t="s">
        <v>7</v>
      </c>
      <c r="E5" s="19">
        <v>1</v>
      </c>
      <c r="F5" s="26" t="s">
        <v>8</v>
      </c>
      <c r="G5" s="23">
        <f>E5*$A$5</f>
        <v>0</v>
      </c>
      <c r="H5" s="16"/>
      <c r="I5" s="69" t="str">
        <f t="array" aca="1" ref="I5" ca="1">IFERROR(INDEX(Код,MATCH(0,COUNTIF($I$2:I4,Код),0)),"")</f>
        <v>004209</v>
      </c>
      <c r="J5" s="22" t="str">
        <f t="array" aca="1" ref="J5" ca="1">IFERROR(INDEX(Наименование,MATCH(0,COUNTIF($J$2:J4,Наименование),0)),"")</f>
        <v>8.082.08A Переходник гайка М22х1,5; штуцер 1/4" (5MB-22-04-BR-T)</v>
      </c>
      <c r="K5" s="32">
        <f t="shared" ca="1" si="0"/>
        <v>0</v>
      </c>
    </row>
    <row r="6" spans="1:11" ht="11.25" customHeight="1" thickBot="1">
      <c r="A6" s="17"/>
      <c r="B6" s="6"/>
      <c r="C6" s="7"/>
      <c r="D6" s="73" t="s">
        <v>13</v>
      </c>
      <c r="E6" s="20">
        <v>1</v>
      </c>
      <c r="F6" s="27" t="s">
        <v>14</v>
      </c>
      <c r="G6" s="24">
        <f>E6*$A$5</f>
        <v>0</v>
      </c>
      <c r="H6" s="16"/>
      <c r="I6" s="69" t="str">
        <f t="array" aca="1" ref="I6" ca="1">IFERROR(INDEX(Код,MATCH(0,COUNTIF($I$2:I5,Код),0)),"")</f>
        <v>004211</v>
      </c>
      <c r="J6" s="22" t="str">
        <f t="array" aca="1" ref="J6" ca="1">IFERROR(INDEX(Наименование,MATCH(0,COUNTIF($J$2:J5,Наименование),0)),"")</f>
        <v>8.082.08B Переходник штуцер 1/4" - гайка EASY Lock для сборки пенной насадки</v>
      </c>
      <c r="K6" s="32">
        <f t="shared" ca="1" si="0"/>
        <v>0</v>
      </c>
    </row>
    <row r="7" spans="1:11" ht="11.25" customHeight="1" thickBot="1">
      <c r="A7" s="35"/>
      <c r="B7" s="36" t="s">
        <v>15</v>
      </c>
      <c r="C7" s="37" t="s">
        <v>16</v>
      </c>
      <c r="D7" s="70" t="s">
        <v>7</v>
      </c>
      <c r="E7" s="38">
        <v>1</v>
      </c>
      <c r="F7" s="39" t="s">
        <v>8</v>
      </c>
      <c r="G7" s="40">
        <f>E7*$A$7</f>
        <v>0</v>
      </c>
      <c r="H7" s="16"/>
      <c r="I7" s="69" t="str">
        <f t="array" aca="1" ref="I7" ca="1">IFERROR(INDEX(Код,MATCH(0,COUNTIF($I$2:I6,Код),0)),"")</f>
        <v>004282</v>
      </c>
      <c r="J7" s="22" t="str">
        <f t="array" aca="1" ref="J7" ca="1">IFERROR(INDEX(Наименование,MATCH(0,COUNTIF($J$2:J6,Наименование),0)),"")</f>
        <v>1B-04-06 Переходник штуцер 1/4"; штуцер 3/8"</v>
      </c>
      <c r="K7" s="32">
        <f t="shared" ca="1" si="0"/>
        <v>0</v>
      </c>
    </row>
    <row r="8" spans="1:11" ht="11.25" customHeight="1" thickBot="1">
      <c r="A8" s="17"/>
      <c r="B8" s="41"/>
      <c r="C8" s="42"/>
      <c r="D8" s="71" t="s">
        <v>17</v>
      </c>
      <c r="E8" s="43">
        <v>1</v>
      </c>
      <c r="F8" s="44" t="s">
        <v>18</v>
      </c>
      <c r="G8" s="45">
        <f>E8*$A$7</f>
        <v>0</v>
      </c>
      <c r="H8" s="16"/>
      <c r="I8" s="69" t="str">
        <f t="array" aca="1" ref="I8" ca="1">IFERROR(INDEX(Код,MATCH(0,COUNTIF($I$2:I7,Код),0)),"")</f>
        <v>004311</v>
      </c>
      <c r="J8" s="22" t="str">
        <f t="array" aca="1" ref="J8" ca="1">IFERROR(INDEX(Наименование,MATCH(0,COUNTIF($J$2:J7,Наименование),0)),"")</f>
        <v>TPL-03PF (SS304) РА Нипель 3/8"F нержавеющая сталь (аналог 004265 -А93)</v>
      </c>
      <c r="K8" s="32">
        <f t="shared" ca="1" si="0"/>
        <v>0</v>
      </c>
    </row>
    <row r="9" spans="1:11" ht="11.25" customHeight="1" thickBot="1">
      <c r="A9" s="35"/>
      <c r="B9" s="4" t="s">
        <v>19</v>
      </c>
      <c r="C9" s="5" t="s">
        <v>20</v>
      </c>
      <c r="D9" s="72" t="s">
        <v>7</v>
      </c>
      <c r="E9" s="19">
        <v>1</v>
      </c>
      <c r="F9" s="26" t="s">
        <v>8</v>
      </c>
      <c r="G9" s="23">
        <f>E9*$A$9</f>
        <v>0</v>
      </c>
      <c r="H9" s="16"/>
      <c r="I9" s="69" t="str">
        <f t="array" aca="1" ref="I9" ca="1">IFERROR(INDEX(Код,MATCH(0,COUNTIF($I$2:I8,Код),0)),"")</f>
        <v>004203</v>
      </c>
      <c r="J9" s="22" t="str">
        <f t="array" aca="1" ref="J9" ca="1">IFERROR(INDEX(Наименование,MATCH(0,COUNTIF($J$2:J8,Наименование),0)),"")</f>
        <v>2.006.02 (1MB-22-06-BR) Переходник Штуцер М22*1,5 (BSP M-d.14) - штуцер 3/8 (5*6550, 26.1019.31)</v>
      </c>
      <c r="K9" s="32">
        <f t="shared" ca="1" si="0"/>
        <v>0</v>
      </c>
    </row>
    <row r="10" spans="1:11" ht="11.25" customHeight="1">
      <c r="A10" s="17"/>
      <c r="B10" s="8"/>
      <c r="C10" s="3"/>
      <c r="D10" s="74" t="s">
        <v>21</v>
      </c>
      <c r="E10" s="21">
        <v>1</v>
      </c>
      <c r="F10" s="28" t="s">
        <v>22</v>
      </c>
      <c r="G10" s="25">
        <f t="shared" ref="G10:G11" si="1">E10*$A$9</f>
        <v>0</v>
      </c>
      <c r="H10" s="16"/>
      <c r="I10" s="69" t="str">
        <f t="array" aca="1" ref="I10" ca="1">IFERROR(INDEX(Код,MATCH(0,COUNTIF($I$2:I9,Код),0)),"")</f>
        <v>004196</v>
      </c>
      <c r="J10" s="22" t="str">
        <f t="array" aca="1" ref="J10" ca="1">IFERROR(INDEX(Наименование,MATCH(0,COUNTIF($J$2:J9,Наименование),0)),"")</f>
        <v>5MB-22-06-BR-T Переходник гайка М22х1,5; штуцер 3/8"</v>
      </c>
      <c r="K10" s="32">
        <f t="shared" ca="1" si="0"/>
        <v>0</v>
      </c>
    </row>
    <row r="11" spans="1:11" ht="11.25" customHeight="1" thickBot="1">
      <c r="A11" s="17"/>
      <c r="B11" s="6"/>
      <c r="C11" s="7"/>
      <c r="D11" s="73" t="s">
        <v>23</v>
      </c>
      <c r="E11" s="20">
        <v>1</v>
      </c>
      <c r="F11" s="27" t="s">
        <v>24</v>
      </c>
      <c r="G11" s="24">
        <f t="shared" si="1"/>
        <v>0</v>
      </c>
      <c r="H11" s="16"/>
      <c r="I11" s="69" t="str">
        <f t="array" aca="1" ref="I11" ca="1">IFERROR(INDEX(Код,MATCH(0,COUNTIF($I$2:I10,Код),0)),"")</f>
        <v>004310</v>
      </c>
      <c r="J11" s="22" t="str">
        <f t="array" aca="1" ref="J11" ca="1">IFERROR(INDEX(Наименование,MATCH(0,COUNTIF($J$2:J10,Наименование),0)),"")</f>
        <v>TPL-03SF (SS304) Байонет ARS350 нерж 3/8" (аналог 004308)</v>
      </c>
      <c r="K11" s="32">
        <f t="shared" ca="1" si="0"/>
        <v>0</v>
      </c>
    </row>
    <row r="12" spans="1:11" ht="11.25" customHeight="1" thickBot="1">
      <c r="A12" s="35"/>
      <c r="B12" s="36" t="s">
        <v>25</v>
      </c>
      <c r="C12" s="37" t="s">
        <v>26</v>
      </c>
      <c r="D12" s="70" t="s">
        <v>7</v>
      </c>
      <c r="E12" s="38">
        <v>1</v>
      </c>
      <c r="F12" s="39" t="s">
        <v>8</v>
      </c>
      <c r="G12" s="40">
        <f>E12*$A$12</f>
        <v>0</v>
      </c>
      <c r="H12" s="16"/>
      <c r="I12" s="69" t="str">
        <f t="array" aca="1" ref="I12" ca="1">IFERROR(INDEX(Код,MATCH(0,COUNTIF($I$2:I11,Код),0)),"")</f>
        <v>004221</v>
      </c>
      <c r="J12" s="22" t="str">
        <f t="array" aca="1" ref="J12" ca="1">IFERROR(INDEX(Наименование,MATCH(0,COUNTIF($J$2:J11,Наименование),0)),"")</f>
        <v>EASYLOCK1422 Переходник штуцер 1/4" - штуцер EASY Lock (замена Арсенала)</v>
      </c>
      <c r="K12" s="32">
        <f t="shared" ca="1" si="0"/>
        <v>0</v>
      </c>
    </row>
    <row r="13" spans="1:11" ht="11.25" customHeight="1">
      <c r="A13" s="17"/>
      <c r="B13" s="46"/>
      <c r="C13" s="47"/>
      <c r="D13" s="75" t="s">
        <v>21</v>
      </c>
      <c r="E13" s="48">
        <v>1</v>
      </c>
      <c r="F13" s="49" t="s">
        <v>22</v>
      </c>
      <c r="G13" s="50">
        <f t="shared" ref="G13:G17" si="2">E13*$A$12</f>
        <v>0</v>
      </c>
      <c r="H13" s="16"/>
      <c r="I13" s="69" t="str">
        <f t="array" aca="1" ref="I13" ca="1">IFERROR(INDEX(Код,MATCH(0,COUNTIF($I$2:I12,Код),0)),"")</f>
        <v>004294</v>
      </c>
      <c r="J13" s="22" t="str">
        <f t="array" aca="1" ref="J13" ca="1">IFERROR(INDEX(Наименование,MATCH(0,COUNTIF($J$2:J12,Наименование),0)),"")</f>
        <v>5B-06-04 Переходник гайка 1/4"; штуцер 3/8"</v>
      </c>
      <c r="K13" s="32">
        <f t="shared" ca="1" si="0"/>
        <v>0</v>
      </c>
    </row>
    <row r="14" spans="1:11" ht="11.25" customHeight="1">
      <c r="A14" s="17"/>
      <c r="B14" s="46"/>
      <c r="C14" s="47"/>
      <c r="D14" s="75" t="s">
        <v>23</v>
      </c>
      <c r="E14" s="48">
        <v>2</v>
      </c>
      <c r="F14" s="49" t="s">
        <v>24</v>
      </c>
      <c r="G14" s="50">
        <f t="shared" si="2"/>
        <v>0</v>
      </c>
      <c r="H14" s="16"/>
      <c r="I14" s="69" t="str">
        <f t="array" aca="1" ref="I14" ca="1">IFERROR(INDEX(Код,MATCH(0,COUNTIF($I$2:I13,Код),0)),"")</f>
        <v>004303</v>
      </c>
      <c r="J14" s="22" t="str">
        <f t="array" aca="1" ref="J14" ca="1">IFERROR(INDEX(Наименование,MATCH(0,COUNTIF($J$2:J13,Наименование),0)),"")</f>
        <v>1002.1164.00 Ниппель KW вх 1/4" штуцер(MD85.300.104M,арт. 26.2450.51,вх гайка-дорогой см код 004269)</v>
      </c>
      <c r="K14" s="32">
        <f t="shared" ca="1" si="0"/>
        <v>0</v>
      </c>
    </row>
    <row r="15" spans="1:11" ht="11.25" customHeight="1">
      <c r="B15" s="46"/>
      <c r="C15" s="47"/>
      <c r="D15" s="75" t="s">
        <v>27</v>
      </c>
      <c r="E15" s="48">
        <v>1</v>
      </c>
      <c r="F15" s="49" t="s">
        <v>28</v>
      </c>
      <c r="G15" s="50">
        <f t="shared" si="2"/>
        <v>0</v>
      </c>
      <c r="H15" s="16"/>
      <c r="I15" s="69" t="str">
        <f t="array" aca="1" ref="I15" ca="1">IFERROR(INDEX(Код,MATCH(0,COUNTIF($I$2:I14,Код),0)),"")</f>
        <v>004305</v>
      </c>
      <c r="J15" s="22" t="str">
        <f t="array" aca="1" ref="J15" ca="1">IFERROR(INDEX(Наименование,MATCH(0,COUNTIF($J$2:J14,Наименование),0)),"")</f>
        <v>1002.1163.00 Ниппель KW вх 1/4" гайка(MD85.300.104Dарт. 26.2450.51-дорогой),заказ мало см.код004303)</v>
      </c>
      <c r="K15" s="32">
        <f t="shared" ca="1" si="0"/>
        <v>0</v>
      </c>
    </row>
    <row r="16" spans="1:11" ht="11.25" customHeight="1">
      <c r="B16" s="46"/>
      <c r="C16" s="47"/>
      <c r="D16" s="75" t="s">
        <v>29</v>
      </c>
      <c r="E16" s="48">
        <v>1</v>
      </c>
      <c r="F16" s="49" t="s">
        <v>30</v>
      </c>
      <c r="G16" s="50">
        <f t="shared" si="2"/>
        <v>0</v>
      </c>
      <c r="H16" s="16"/>
      <c r="I16" s="69" t="str">
        <f t="array" aca="1" ref="I16" ca="1">IFERROR(INDEX(Код,MATCH(0,COUNTIF($I$2:I15,Код),0)),"")</f>
        <v>004296</v>
      </c>
      <c r="J16" s="22" t="str">
        <f t="array" aca="1" ref="J16" ca="1">IFERROR(INDEX(Наименование,MATCH(0,COUNTIF($J$2:J15,Наименование),0)),"")</f>
        <v>7B-04-04  Переходник гайка 1/4"; гайка 1/4"</v>
      </c>
      <c r="K16" s="32">
        <f t="shared" ca="1" si="0"/>
        <v>0</v>
      </c>
    </row>
    <row r="17" spans="1:11" ht="11.25" customHeight="1" thickBot="1">
      <c r="B17" s="41"/>
      <c r="C17" s="42"/>
      <c r="D17" s="71" t="s">
        <v>31</v>
      </c>
      <c r="E17" s="43">
        <v>1</v>
      </c>
      <c r="F17" s="44" t="s">
        <v>32</v>
      </c>
      <c r="G17" s="45">
        <f t="shared" si="2"/>
        <v>0</v>
      </c>
      <c r="H17" s="16"/>
      <c r="I17" s="69" t="str">
        <f t="array" aca="1" ref="I17" ca="1">IFERROR(INDEX(Код,MATCH(0,COUNTIF($I$2:I16,Код),0)),"")</f>
        <v>004309</v>
      </c>
      <c r="J17" s="22" t="str">
        <f t="array" aca="1" ref="J17" ca="1">IFERROR(INDEX(Наименование,MATCH(0,COUNTIF($J$2:J16,Наименование),0)),"")</f>
        <v>1002.1161.00 Байонет KW ARS25 выс. давления 1/4"Ш (old 26.2400.60)</v>
      </c>
      <c r="K17" s="32">
        <f t="shared" ca="1" si="0"/>
        <v>0</v>
      </c>
    </row>
    <row r="18" spans="1:11" ht="11.25" customHeight="1" thickBot="1">
      <c r="A18" s="35"/>
      <c r="B18" s="4" t="s">
        <v>33</v>
      </c>
      <c r="C18" s="5" t="s">
        <v>34</v>
      </c>
      <c r="D18" s="72" t="s">
        <v>7</v>
      </c>
      <c r="E18" s="19">
        <v>1</v>
      </c>
      <c r="F18" s="26" t="s">
        <v>8</v>
      </c>
      <c r="G18" s="23">
        <f>E18*$A$18</f>
        <v>0</v>
      </c>
      <c r="H18" s="16"/>
      <c r="I18" s="69" t="str">
        <f t="array" aca="1" ref="I18" ca="1">IFERROR(INDEX(Код,MATCH(0,COUNTIF($I$2:I17,Код),0)),"")</f>
        <v>004200</v>
      </c>
      <c r="J18" s="22" t="str">
        <f t="array" aca="1" ref="J18" ca="1">IFERROR(INDEX(Наименование,MATCH(0,COUNTIF($J$2:J17,Наименование),0)),"")</f>
        <v>8.082.09B Переходник штуцер 22х1,5; гайка 1/4</v>
      </c>
      <c r="K18" s="32">
        <f t="shared" ca="1" si="0"/>
        <v>0</v>
      </c>
    </row>
    <row r="19" spans="1:11" ht="11.25" customHeight="1">
      <c r="B19" s="8"/>
      <c r="C19" s="3"/>
      <c r="D19" s="74" t="s">
        <v>21</v>
      </c>
      <c r="E19" s="21">
        <v>1</v>
      </c>
      <c r="F19" s="28" t="s">
        <v>22</v>
      </c>
      <c r="G19" s="25">
        <f t="shared" ref="G19:G24" si="3">E19*$A$18</f>
        <v>0</v>
      </c>
      <c r="H19" s="16"/>
      <c r="I19" s="69" t="str">
        <f t="array" aca="1" ref="I19" ca="1">IFERROR(INDEX(Код,MATCH(0,COUNTIF($I$2:I18,Код),0)),"")</f>
        <v>004204</v>
      </c>
      <c r="J19" s="22" t="str">
        <f t="array" aca="1" ref="J19" ca="1">IFERROR(INDEX(Наименование,MATCH(0,COUNTIF($J$2:J18,Наименование),0)),"")</f>
        <v>8.082.13B Переходник штуцер 1/4" - штуцер 1/4" (для сборки пенной насадки) (А 93)</v>
      </c>
      <c r="K19" s="32">
        <f t="shared" ca="1" si="0"/>
        <v>0</v>
      </c>
    </row>
    <row r="20" spans="1:11" ht="11.25" customHeight="1">
      <c r="B20" s="8"/>
      <c r="C20" s="3"/>
      <c r="D20" s="74" t="s">
        <v>23</v>
      </c>
      <c r="E20" s="21">
        <v>2</v>
      </c>
      <c r="F20" s="28" t="s">
        <v>24</v>
      </c>
      <c r="G20" s="25">
        <f t="shared" si="3"/>
        <v>0</v>
      </c>
      <c r="H20" s="16"/>
      <c r="I20" s="69" t="str">
        <f t="array" aca="1" ref="I20" ca="1">IFERROR(INDEX(Код,MATCH(0,COUNTIF($I$2:I19,Код),0)),"")</f>
        <v>004220</v>
      </c>
      <c r="J20" s="22" t="str">
        <f t="array" aca="1" ref="J20" ca="1">IFERROR(INDEX(Наименование,MATCH(0,COUNTIF($J$2:J19,Наименование),0)),"")</f>
        <v>7MB-22-04-BR (26.0250.20 РА) Гайка М22*1,5; Гайка 1/4</v>
      </c>
      <c r="K20" s="32">
        <f t="shared" ca="1" si="0"/>
        <v>0</v>
      </c>
    </row>
    <row r="21" spans="1:11" ht="11.25" customHeight="1">
      <c r="B21" s="8"/>
      <c r="C21" s="3"/>
      <c r="D21" s="74" t="s">
        <v>35</v>
      </c>
      <c r="E21" s="21">
        <v>1</v>
      </c>
      <c r="F21" s="28" t="s">
        <v>36</v>
      </c>
      <c r="G21" s="25">
        <f t="shared" si="3"/>
        <v>0</v>
      </c>
      <c r="H21" s="16"/>
      <c r="I21" s="69" t="str">
        <f t="array" aca="1" ref="I21" ca="1">IFERROR(INDEX(Код,MATCH(0,COUNTIF($I$2:I20,Код),0)),"")</f>
        <v/>
      </c>
      <c r="J21" s="22" t="str">
        <f t="array" aca="1" ref="J21" ca="1">IFERROR(INDEX(Наименование,MATCH(0,COUNTIF($J$2:J20,Наименование),0)),"")</f>
        <v/>
      </c>
      <c r="K21" s="32">
        <f t="shared" ca="1" si="0"/>
        <v>0</v>
      </c>
    </row>
    <row r="22" spans="1:11" ht="11.25" customHeight="1">
      <c r="B22" s="8"/>
      <c r="C22" s="3"/>
      <c r="D22" s="74" t="s">
        <v>37</v>
      </c>
      <c r="E22" s="21">
        <v>2</v>
      </c>
      <c r="F22" s="28" t="s">
        <v>38</v>
      </c>
      <c r="G22" s="25">
        <f t="shared" si="3"/>
        <v>0</v>
      </c>
      <c r="H22" s="16"/>
      <c r="I22" s="69" t="str">
        <f t="array" aca="1" ref="I22" ca="1">IFERROR(INDEX(Код,MATCH(0,COUNTIF($I$2:I21,Код),0)),"")</f>
        <v/>
      </c>
      <c r="J22" s="22" t="str">
        <f t="array" aca="1" ref="J22" ca="1">IFERROR(INDEX(Наименование,MATCH(0,COUNTIF($J$2:J21,Наименование),0)),"")</f>
        <v/>
      </c>
      <c r="K22" s="32">
        <f t="shared" ca="1" si="0"/>
        <v>0</v>
      </c>
    </row>
    <row r="23" spans="1:11" ht="11.25" customHeight="1">
      <c r="B23" s="8"/>
      <c r="C23" s="3"/>
      <c r="D23" s="74" t="s">
        <v>17</v>
      </c>
      <c r="E23" s="21">
        <v>1</v>
      </c>
      <c r="F23" s="28" t="s">
        <v>18</v>
      </c>
      <c r="G23" s="25">
        <f t="shared" si="3"/>
        <v>0</v>
      </c>
      <c r="H23" s="16"/>
      <c r="I23" s="69" t="str">
        <f t="array" aca="1" ref="I23" ca="1">IFERROR(INDEX(Код,MATCH(0,COUNTIF($I$2:I22,Код),0)),"")</f>
        <v/>
      </c>
      <c r="J23" s="22" t="str">
        <f t="array" aca="1" ref="J23" ca="1">IFERROR(INDEX(Наименование,MATCH(0,COUNTIF($J$2:J22,Наименование),0)),"")</f>
        <v/>
      </c>
      <c r="K23" s="32">
        <f t="shared" ca="1" si="0"/>
        <v>0</v>
      </c>
    </row>
    <row r="24" spans="1:11" ht="11.25" customHeight="1" thickBot="1">
      <c r="B24" s="6"/>
      <c r="C24" s="7"/>
      <c r="D24" s="73" t="s">
        <v>31</v>
      </c>
      <c r="E24" s="20">
        <v>1</v>
      </c>
      <c r="F24" s="27" t="s">
        <v>32</v>
      </c>
      <c r="G24" s="24">
        <f t="shared" si="3"/>
        <v>0</v>
      </c>
      <c r="H24" s="16"/>
      <c r="I24" s="69" t="str">
        <f t="array" aca="1" ref="I24" ca="1">IFERROR(INDEX(Код,MATCH(0,COUNTIF($I$2:I23,Код),0)),"")</f>
        <v/>
      </c>
      <c r="J24" s="22" t="str">
        <f t="array" aca="1" ref="J24" ca="1">IFERROR(INDEX(Наименование,MATCH(0,COUNTIF($J$2:J23,Наименование),0)),"")</f>
        <v/>
      </c>
      <c r="K24" s="32">
        <f t="shared" ca="1" si="0"/>
        <v>0</v>
      </c>
    </row>
    <row r="25" spans="1:11" ht="11.25" customHeight="1" thickBot="1">
      <c r="A25" s="35"/>
      <c r="B25" s="36" t="s">
        <v>40</v>
      </c>
      <c r="C25" s="37" t="s">
        <v>39</v>
      </c>
      <c r="D25" s="70" t="s">
        <v>7</v>
      </c>
      <c r="E25" s="38">
        <v>1</v>
      </c>
      <c r="F25" s="39" t="s">
        <v>8</v>
      </c>
      <c r="G25" s="40">
        <f>E25*$A$25</f>
        <v>0</v>
      </c>
      <c r="H25" s="16"/>
      <c r="I25" s="69" t="str">
        <f t="array" aca="1" ref="I25" ca="1">IFERROR(INDEX(Код,MATCH(0,COUNTIF($I$2:I24,Код),0)),"")</f>
        <v/>
      </c>
      <c r="J25" s="22" t="str">
        <f t="array" aca="1" ref="J25" ca="1">IFERROR(INDEX(Наименование,MATCH(0,COUNTIF($J$2:J24,Наименование),0)),"")</f>
        <v/>
      </c>
      <c r="K25" s="32">
        <f t="shared" ca="1" si="0"/>
        <v>0</v>
      </c>
    </row>
    <row r="26" spans="1:11" ht="11.25" customHeight="1">
      <c r="B26" s="46"/>
      <c r="C26" s="47"/>
      <c r="D26" s="75" t="s">
        <v>42</v>
      </c>
      <c r="E26" s="48">
        <v>1</v>
      </c>
      <c r="F26" s="49" t="s">
        <v>41</v>
      </c>
      <c r="G26" s="50">
        <f t="shared" ref="G26:G31" si="4">E26*$A$25</f>
        <v>0</v>
      </c>
      <c r="H26" s="16"/>
      <c r="I26" s="69" t="str">
        <f t="array" aca="1" ref="I26" ca="1">IFERROR(INDEX(Код,MATCH(0,COUNTIF($I$2:I25,Код),0)),"")</f>
        <v/>
      </c>
      <c r="J26" s="22" t="str">
        <f t="array" aca="1" ref="J26" ca="1">IFERROR(INDEX(Наименование,MATCH(0,COUNTIF($J$2:J25,Наименование),0)),"")</f>
        <v/>
      </c>
      <c r="K26" s="32">
        <f t="shared" ca="1" si="0"/>
        <v>0</v>
      </c>
    </row>
    <row r="27" spans="1:11" ht="11.25" customHeight="1">
      <c r="B27" s="46"/>
      <c r="C27" s="47"/>
      <c r="D27" s="75" t="s">
        <v>43</v>
      </c>
      <c r="E27" s="48">
        <v>1</v>
      </c>
      <c r="F27" s="49" t="s">
        <v>44</v>
      </c>
      <c r="G27" s="50">
        <f t="shared" si="4"/>
        <v>0</v>
      </c>
      <c r="H27" s="16"/>
      <c r="I27" s="69" t="str">
        <f t="array" aca="1" ref="I27" ca="1">IFERROR(INDEX(Код,MATCH(0,COUNTIF($I$2:I26,Код),0)),"")</f>
        <v/>
      </c>
      <c r="J27" s="22" t="str">
        <f t="array" aca="1" ref="J27" ca="1">IFERROR(INDEX(Наименование,MATCH(0,COUNTIF($J$2:J26,Наименование),0)),"")</f>
        <v/>
      </c>
      <c r="K27" s="32">
        <f t="shared" ca="1" si="0"/>
        <v>0</v>
      </c>
    </row>
    <row r="28" spans="1:11" ht="11.25" customHeight="1">
      <c r="B28" s="51"/>
      <c r="C28" s="52"/>
      <c r="D28" s="75" t="s">
        <v>35</v>
      </c>
      <c r="E28" s="48">
        <v>1</v>
      </c>
      <c r="F28" s="49" t="s">
        <v>36</v>
      </c>
      <c r="G28" s="50">
        <f t="shared" si="4"/>
        <v>0</v>
      </c>
      <c r="H28" s="29"/>
      <c r="I28" s="69" t="str">
        <f t="array" aca="1" ref="I28" ca="1">IFERROR(INDEX(Код,MATCH(0,COUNTIF($I$2:I27,Код),0)),"")</f>
        <v/>
      </c>
      <c r="J28" s="22" t="str">
        <f t="array" aca="1" ref="J28" ca="1">IFERROR(INDEX(Наименование,MATCH(0,COUNTIF($J$2:J27,Наименование),0)),"")</f>
        <v/>
      </c>
      <c r="K28" s="32">
        <f t="shared" ca="1" si="0"/>
        <v>0</v>
      </c>
    </row>
    <row r="29" spans="1:11" ht="11.25" customHeight="1">
      <c r="B29" s="51"/>
      <c r="C29" s="52"/>
      <c r="D29" s="75" t="s">
        <v>17</v>
      </c>
      <c r="E29" s="48">
        <v>1</v>
      </c>
      <c r="F29" s="49" t="s">
        <v>18</v>
      </c>
      <c r="G29" s="50">
        <f t="shared" si="4"/>
        <v>0</v>
      </c>
      <c r="H29" s="29"/>
      <c r="I29" s="69" t="str">
        <f t="array" aca="1" ref="I29" ca="1">IFERROR(INDEX(Код,MATCH(0,COUNTIF($I$2:I28,Код),0)),"")</f>
        <v/>
      </c>
      <c r="J29" s="22" t="str">
        <f t="array" aca="1" ref="J29" ca="1">IFERROR(INDEX(Наименование,MATCH(0,COUNTIF($J$2:J28,Наименование),0)),"")</f>
        <v/>
      </c>
      <c r="K29" s="32">
        <f t="shared" ca="1" si="0"/>
        <v>0</v>
      </c>
    </row>
    <row r="30" spans="1:11" ht="11.25" customHeight="1">
      <c r="B30" s="51"/>
      <c r="C30" s="52"/>
      <c r="D30" s="75" t="s">
        <v>45</v>
      </c>
      <c r="E30" s="48">
        <v>1</v>
      </c>
      <c r="F30" s="49" t="s">
        <v>46</v>
      </c>
      <c r="G30" s="50">
        <f t="shared" si="4"/>
        <v>0</v>
      </c>
      <c r="H30" s="29"/>
      <c r="I30" s="69" t="str">
        <f t="array" aca="1" ref="I30" ca="1">IFERROR(INDEX(Код,MATCH(0,COUNTIF($I$2:I29,Код),0)),"")</f>
        <v/>
      </c>
      <c r="J30" s="22" t="str">
        <f t="array" aca="1" ref="J30" ca="1">IFERROR(INDEX(Наименование,MATCH(0,COUNTIF($J$2:J29,Наименование),0)),"")</f>
        <v/>
      </c>
      <c r="K30" s="32">
        <f t="shared" ca="1" si="0"/>
        <v>0</v>
      </c>
    </row>
    <row r="31" spans="1:11" ht="11.25" customHeight="1" thickBot="1">
      <c r="B31" s="41"/>
      <c r="C31" s="53"/>
      <c r="D31" s="71" t="s">
        <v>47</v>
      </c>
      <c r="E31" s="43">
        <v>1</v>
      </c>
      <c r="F31" s="44" t="s">
        <v>48</v>
      </c>
      <c r="G31" s="45">
        <f t="shared" si="4"/>
        <v>0</v>
      </c>
      <c r="H31" s="29"/>
      <c r="I31" s="69" t="str">
        <f t="array" aca="1" ref="I31" ca="1">IFERROR(INDEX(Код,MATCH(0,COUNTIF($I$2:I30,Код),0)),"")</f>
        <v/>
      </c>
      <c r="J31" s="22" t="str">
        <f t="array" aca="1" ref="J31" ca="1">IFERROR(INDEX(Наименование,MATCH(0,COUNTIF($J$2:J30,Наименование),0)),"")</f>
        <v/>
      </c>
      <c r="K31" s="32">
        <f t="shared" ca="1" si="0"/>
        <v>0</v>
      </c>
    </row>
    <row r="32" spans="1:11" ht="11.25" customHeight="1" thickBot="1">
      <c r="A32" s="35"/>
      <c r="B32" s="4" t="s">
        <v>50</v>
      </c>
      <c r="C32" s="13" t="s">
        <v>49</v>
      </c>
      <c r="D32" s="72" t="s">
        <v>7</v>
      </c>
      <c r="E32" s="19">
        <v>1</v>
      </c>
      <c r="F32" s="26" t="s">
        <v>8</v>
      </c>
      <c r="G32" s="23">
        <f>E32*$A$32</f>
        <v>0</v>
      </c>
      <c r="H32" s="29"/>
      <c r="I32" s="69" t="str">
        <f t="array" aca="1" ref="I32" ca="1">IFERROR(INDEX(Код,MATCH(0,COUNTIF($I$2:I31,Код),0)),"")</f>
        <v/>
      </c>
      <c r="J32" s="22" t="str">
        <f t="array" aca="1" ref="J32" ca="1">IFERROR(INDEX(Наименование,MATCH(0,COUNTIF($J$2:J31,Наименование),0)),"")</f>
        <v/>
      </c>
      <c r="K32" s="32">
        <f t="shared" ca="1" si="0"/>
        <v>0</v>
      </c>
    </row>
    <row r="33" spans="1:11" ht="11.25" customHeight="1" thickBot="1">
      <c r="B33" s="14"/>
      <c r="C33" s="15"/>
      <c r="D33" s="73" t="s">
        <v>42</v>
      </c>
      <c r="E33" s="20">
        <v>1</v>
      </c>
      <c r="F33" s="27" t="s">
        <v>41</v>
      </c>
      <c r="G33" s="24">
        <f>E33*$A$32</f>
        <v>0</v>
      </c>
      <c r="H33" s="29"/>
      <c r="I33" s="69" t="str">
        <f t="array" aca="1" ref="I33" ca="1">IFERROR(INDEX(Код,MATCH(0,COUNTIF($I$2:I32,Код),0)),"")</f>
        <v/>
      </c>
      <c r="J33" s="22" t="str">
        <f t="array" aca="1" ref="J33" ca="1">IFERROR(INDEX(Наименование,MATCH(0,COUNTIF($J$2:J32,Наименование),0)),"")</f>
        <v/>
      </c>
      <c r="K33" s="32">
        <f t="shared" ca="1" si="0"/>
        <v>0</v>
      </c>
    </row>
    <row r="34" spans="1:11" ht="11.25" customHeight="1" thickBot="1">
      <c r="A34" s="35"/>
      <c r="B34" s="54" t="s">
        <v>51</v>
      </c>
      <c r="C34" s="55" t="s">
        <v>52</v>
      </c>
      <c r="D34" s="70" t="s">
        <v>7</v>
      </c>
      <c r="E34" s="38">
        <v>1</v>
      </c>
      <c r="F34" s="39" t="s">
        <v>8</v>
      </c>
      <c r="G34" s="40">
        <f>E34*$A$34</f>
        <v>0</v>
      </c>
      <c r="H34" s="29"/>
      <c r="I34" s="69" t="str">
        <f t="array" aca="1" ref="I34" ca="1">IFERROR(INDEX(Код,MATCH(0,COUNTIF($I$2:I33,Код),0)),"")</f>
        <v/>
      </c>
      <c r="J34" s="22" t="str">
        <f t="array" aca="1" ref="J34" ca="1">IFERROR(INDEX(Наименование,MATCH(0,COUNTIF($J$2:J33,Наименование),0)),"")</f>
        <v/>
      </c>
      <c r="K34" s="32">
        <f t="shared" ca="1" si="0"/>
        <v>0</v>
      </c>
    </row>
    <row r="35" spans="1:11" ht="11.25" customHeight="1">
      <c r="B35" s="56"/>
      <c r="C35" s="57"/>
      <c r="D35" s="75" t="s">
        <v>53</v>
      </c>
      <c r="E35" s="48">
        <v>1</v>
      </c>
      <c r="F35" s="49" t="s">
        <v>55</v>
      </c>
      <c r="G35" s="50">
        <f t="shared" ref="G35:G36" si="5">E35*$A$34</f>
        <v>0</v>
      </c>
      <c r="H35" s="29"/>
      <c r="I35" s="69" t="str">
        <f t="array" aca="1" ref="I35" ca="1">IFERROR(INDEX(Код,MATCH(0,COUNTIF($I$2:I34,Код),0)),"")</f>
        <v/>
      </c>
      <c r="J35" s="22" t="str">
        <f t="array" aca="1" ref="J35" ca="1">IFERROR(INDEX(Наименование,MATCH(0,COUNTIF($J$2:J34,Наименование),0)),"")</f>
        <v/>
      </c>
      <c r="K35" s="32">
        <f t="shared" ca="1" si="0"/>
        <v>0</v>
      </c>
    </row>
    <row r="36" spans="1:11" ht="11.25" customHeight="1" thickBot="1">
      <c r="B36" s="58"/>
      <c r="C36" s="59"/>
      <c r="D36" s="76" t="s">
        <v>54</v>
      </c>
      <c r="E36" s="60">
        <v>1</v>
      </c>
      <c r="F36" s="61" t="s">
        <v>56</v>
      </c>
      <c r="G36" s="62">
        <f t="shared" si="5"/>
        <v>0</v>
      </c>
      <c r="H36" s="29"/>
      <c r="I36" s="69" t="str">
        <f t="array" aca="1" ref="I36" ca="1">IFERROR(INDEX(Код,MATCH(0,COUNTIF($I$2:I35,Код),0)),"")</f>
        <v/>
      </c>
      <c r="J36" s="22" t="str">
        <f t="array" aca="1" ref="J36" ca="1">IFERROR(INDEX(Наименование,MATCH(0,COUNTIF($J$2:J35,Наименование),0)),"")</f>
        <v/>
      </c>
      <c r="K36" s="32">
        <f t="shared" ca="1" si="0"/>
        <v>0</v>
      </c>
    </row>
    <row r="37" spans="1:11" ht="12" thickBot="1">
      <c r="A37" s="35"/>
      <c r="B37" s="4" t="s">
        <v>60</v>
      </c>
      <c r="C37" s="13" t="s">
        <v>61</v>
      </c>
      <c r="D37" s="19" t="s">
        <v>7</v>
      </c>
      <c r="E37" s="19">
        <v>1</v>
      </c>
      <c r="F37" s="26" t="s">
        <v>8</v>
      </c>
      <c r="G37" s="65">
        <f>E37*$A$37</f>
        <v>0</v>
      </c>
      <c r="I37" s="69" t="str">
        <f t="array" aca="1" ref="I37" ca="1">IFERROR(INDEX(Код,MATCH(0,COUNTIF($I$2:I36,Код),0)),"")</f>
        <v/>
      </c>
      <c r="J37" s="22" t="str">
        <f t="array" aca="1" ref="J37" ca="1">IFERROR(INDEX(Наименование,MATCH(0,COUNTIF($J$2:J36,Наименование),0)),"")</f>
        <v/>
      </c>
      <c r="K37" s="32">
        <f t="shared" ca="1" si="0"/>
        <v>0</v>
      </c>
    </row>
    <row r="38" spans="1:11">
      <c r="B38" s="8"/>
      <c r="C38" s="63"/>
      <c r="D38" s="21" t="s">
        <v>42</v>
      </c>
      <c r="E38" s="21">
        <v>2</v>
      </c>
      <c r="F38" s="28" t="s">
        <v>41</v>
      </c>
      <c r="G38" s="66">
        <f t="shared" ref="G38:G41" si="6">E38*$A$37</f>
        <v>0</v>
      </c>
      <c r="I38" s="69" t="str">
        <f t="array" aca="1" ref="I38" ca="1">IFERROR(INDEX(Код,MATCH(0,COUNTIF($I$2:I37,Код),0)),"")</f>
        <v/>
      </c>
      <c r="J38" s="22" t="str">
        <f t="array" aca="1" ref="J38" ca="1">IFERROR(INDEX(Наименование,MATCH(0,COUNTIF($J$2:J37,Наименование),0)),"")</f>
        <v/>
      </c>
      <c r="K38" s="32">
        <f t="shared" ca="1" si="0"/>
        <v>0</v>
      </c>
    </row>
    <row r="39" spans="1:11">
      <c r="B39" s="8"/>
      <c r="C39" s="63"/>
      <c r="D39" s="21" t="s">
        <v>53</v>
      </c>
      <c r="E39" s="21">
        <v>1</v>
      </c>
      <c r="F39" s="28" t="s">
        <v>55</v>
      </c>
      <c r="G39" s="66">
        <f t="shared" si="6"/>
        <v>0</v>
      </c>
      <c r="I39" s="69" t="str">
        <f t="array" aca="1" ref="I39" ca="1">IFERROR(INDEX(Код,MATCH(0,COUNTIF($I$2:I38,Код),0)),"")</f>
        <v/>
      </c>
      <c r="J39" s="22" t="str">
        <f t="array" aca="1" ref="J39" ca="1">IFERROR(INDEX(Наименование,MATCH(0,COUNTIF($J$2:J38,Наименование),0)),"")</f>
        <v/>
      </c>
      <c r="K39" s="32">
        <f t="shared" ca="1" si="0"/>
        <v>0</v>
      </c>
    </row>
    <row r="40" spans="1:11">
      <c r="B40" s="8"/>
      <c r="C40" s="63"/>
      <c r="D40" s="21" t="s">
        <v>62</v>
      </c>
      <c r="E40" s="21">
        <v>1</v>
      </c>
      <c r="F40" s="28" t="s">
        <v>63</v>
      </c>
      <c r="G40" s="66">
        <f t="shared" si="6"/>
        <v>0</v>
      </c>
      <c r="I40" s="69" t="str">
        <f t="array" aca="1" ref="I40" ca="1">IFERROR(INDEX(Код,MATCH(0,COUNTIF($I$2:I39,Код),0)),"")</f>
        <v/>
      </c>
      <c r="J40" s="22" t="str">
        <f t="array" aca="1" ref="J40" ca="1">IFERROR(INDEX(Наименование,MATCH(0,COUNTIF($J$2:J39,Наименование),0)),"")</f>
        <v/>
      </c>
      <c r="K40" s="32">
        <f t="shared" ca="1" si="0"/>
        <v>0</v>
      </c>
    </row>
    <row r="41" spans="1:11" ht="12" thickBot="1">
      <c r="B41" s="6"/>
      <c r="C41" s="64"/>
      <c r="D41" s="20" t="s">
        <v>47</v>
      </c>
      <c r="E41" s="20">
        <v>1</v>
      </c>
      <c r="F41" s="27" t="s">
        <v>48</v>
      </c>
      <c r="G41" s="67">
        <f t="shared" si="6"/>
        <v>0</v>
      </c>
      <c r="I41" s="69" t="str">
        <f t="array" aca="1" ref="I41" ca="1">IFERROR(INDEX(Код,MATCH(0,COUNTIF($I$2:I40,Код),0)),"")</f>
        <v/>
      </c>
      <c r="J41" s="22" t="str">
        <f t="array" aca="1" ref="J41" ca="1">IFERROR(INDEX(Наименование,MATCH(0,COUNTIF($J$2:J40,Наименование),0)),"")</f>
        <v/>
      </c>
      <c r="K41" s="32">
        <f t="shared" ca="1" si="0"/>
        <v>0</v>
      </c>
    </row>
    <row r="81" spans="7:9">
      <c r="G81" s="16"/>
      <c r="I81" s="16"/>
    </row>
  </sheetData>
  <mergeCells count="3">
    <mergeCell ref="B1:C1"/>
    <mergeCell ref="D1:F1"/>
    <mergeCell ref="I1:K1"/>
  </mergeCells>
  <conditionalFormatting sqref="K3:K41">
    <cfRule type="cellIs" dxfId="0" priority="2" operator="equal">
      <formula>0</formula>
    </cfRule>
  </conditionalFormatting>
  <pageMargins left="0.23622047244094491" right="0.23622047244094491" top="0.19685039370078741" bottom="0.19685039370078741" header="0" footer="0"/>
  <pageSetup paperSize="9" scale="37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G1610</cp:lastModifiedBy>
  <cp:lastPrinted>2022-04-22T07:01:19Z</cp:lastPrinted>
  <dcterms:created xsi:type="dcterms:W3CDTF">2020-09-28T08:17:16Z</dcterms:created>
  <dcterms:modified xsi:type="dcterms:W3CDTF">2022-05-03T07:54:58Z</dcterms:modified>
</cp:coreProperties>
</file>