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activeX/activeX2.xml" ContentType="application/vnd.ms-office.activeX+xml"/>
  <Override PartName="/xl/activeX/activeX3.xml" ContentType="application/vnd.ms-office.activeX+xml"/>
  <Override PartName="/xl/activeX/activeX4.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filterPrivacy="1" codeName="ЭтаКнига" defaultThemeVersion="124226"/>
  <bookViews>
    <workbookView xWindow="120" yWindow="105" windowWidth="15120" windowHeight="8010"/>
  </bookViews>
  <sheets>
    <sheet name="Данные" sheetId="2" r:id="rId1"/>
    <sheet name="Форма 3" sheetId="1" r:id="rId2"/>
    <sheet name="Форма 5" sheetId="3" r:id="rId3"/>
    <sheet name="Проверка АВД" sheetId="4" r:id="rId4"/>
    <sheet name="Памятка" sheetId="5" r:id="rId5"/>
  </sheets>
  <definedNames>
    <definedName name="Документы">Данные!$B$17:$B$18</definedName>
  </definedNames>
  <calcPr calcId="124519"/>
</workbook>
</file>

<file path=xl/calcChain.xml><?xml version="1.0" encoding="utf-8"?>
<calcChain xmlns="http://schemas.openxmlformats.org/spreadsheetml/2006/main">
  <c r="W101" i="1"/>
  <c r="X5"/>
  <c r="AE104" i="3"/>
  <c r="AL9"/>
  <c r="G10"/>
  <c r="AV9"/>
  <c r="AP5"/>
  <c r="AW3"/>
  <c r="X105" i="1"/>
  <c r="AD104"/>
  <c r="Y103"/>
  <c r="W102"/>
  <c r="AN101"/>
  <c r="AG101"/>
  <c r="AD101"/>
  <c r="W100"/>
  <c r="B13"/>
  <c r="AK7"/>
  <c r="A7"/>
  <c r="A6"/>
  <c r="AQ5"/>
  <c r="AH5"/>
  <c r="AD5"/>
  <c r="A5"/>
  <c r="AV3"/>
</calcChain>
</file>

<file path=xl/sharedStrings.xml><?xml version="1.0" encoding="utf-8"?>
<sst xmlns="http://schemas.openxmlformats.org/spreadsheetml/2006/main" count="270" uniqueCount="222">
  <si>
    <t xml:space="preserve">Форма 3 </t>
  </si>
  <si>
    <t>Договор о выполнении работ</t>
  </si>
  <si>
    <t>3.      Сроки выполнения работ</t>
  </si>
  <si>
    <r>
      <t xml:space="preserve">            </t>
    </r>
    <r>
      <rPr>
        <b/>
        <sz val="8"/>
        <color theme="1"/>
        <rFont val="Times New Roman"/>
        <family val="1"/>
        <charset val="204"/>
      </rPr>
      <t>3</t>
    </r>
    <r>
      <rPr>
        <sz val="8"/>
        <color theme="1"/>
        <rFont val="Times New Roman"/>
        <family val="1"/>
        <charset val="204"/>
      </rPr>
      <t>.</t>
    </r>
    <r>
      <rPr>
        <b/>
        <sz val="8"/>
        <color theme="1"/>
        <rFont val="Times New Roman"/>
        <family val="1"/>
        <charset val="204"/>
      </rPr>
      <t>1</t>
    </r>
    <r>
      <rPr>
        <sz val="8"/>
        <color theme="1"/>
        <rFont val="Times New Roman"/>
        <family val="1"/>
        <charset val="204"/>
      </rPr>
      <t xml:space="preserve"> Продолжительность</t>
    </r>
    <r>
      <rPr>
        <b/>
        <sz val="8"/>
        <color theme="1"/>
        <rFont val="Times New Roman"/>
        <family val="1"/>
        <charset val="204"/>
      </rPr>
      <t xml:space="preserve"> к</t>
    </r>
    <r>
      <rPr>
        <sz val="8"/>
        <color theme="1"/>
        <rFont val="Times New Roman"/>
        <family val="1"/>
        <charset val="204"/>
      </rPr>
      <t>онтроля</t>
    </r>
    <r>
      <rPr>
        <b/>
        <sz val="8"/>
        <color theme="1"/>
        <rFont val="Times New Roman"/>
        <family val="1"/>
        <charset val="204"/>
      </rPr>
      <t xml:space="preserve"> </t>
    </r>
    <r>
      <rPr>
        <sz val="8"/>
        <color theme="1"/>
        <rFont val="Times New Roman"/>
        <family val="1"/>
        <charset val="204"/>
      </rPr>
      <t>технического состояния* оборудования  составляет 14 дней  без учета даты составления Наряд-заказа.</t>
    </r>
  </si>
  <si>
    <r>
      <t>4.</t>
    </r>
    <r>
      <rPr>
        <b/>
        <sz val="7"/>
        <color theme="1"/>
        <rFont val="Times New Roman"/>
        <family val="1"/>
        <charset val="204"/>
      </rPr>
      <t xml:space="preserve">        </t>
    </r>
    <r>
      <rPr>
        <b/>
        <sz val="8"/>
        <color theme="1"/>
        <rFont val="Times New Roman"/>
        <family val="1"/>
        <charset val="204"/>
      </rPr>
      <t>Цена договора и порядок расчетов</t>
    </r>
  </si>
  <si>
    <r>
      <t xml:space="preserve">         4.3 </t>
    </r>
    <r>
      <rPr>
        <sz val="8"/>
        <color theme="1"/>
        <rFont val="Times New Roman"/>
        <family val="1"/>
        <charset val="204"/>
      </rPr>
      <t>Объем работ по техническому обслуживанию</t>
    </r>
    <r>
      <rPr>
        <b/>
        <sz val="8"/>
        <color theme="1"/>
        <rFont val="Times New Roman"/>
        <family val="1"/>
        <charset val="204"/>
      </rPr>
      <t xml:space="preserve"> </t>
    </r>
    <r>
      <rPr>
        <sz val="8"/>
        <color theme="1"/>
        <rFont val="Times New Roman"/>
        <family val="1"/>
        <charset val="204"/>
      </rPr>
      <t>определяется  в нормо-часах. Стоимость одного нормо-часа технического обслуживания составляет:</t>
    </r>
  </si>
  <si>
    <t>Объем работ и их стоимость указываются в Заключении, выдаваемом согласно п.2.5.</t>
  </si>
  <si>
    <t>Стоимость   расходных материалов (масла, смазки  и т.п.)  учитываются отдельно и также указываются в Заключении.</t>
  </si>
  <si>
    <t>Общей стоимостью работ по техническому обслуживанию является сумма, состоящая  из: стоимости работ и стоимости расходных материалов. Вышеуказанная сумма отражается в Акте выполненных работ.</t>
  </si>
  <si>
    <t>Стоимость запасных частей и  расходных материалов (масла, смазки  и т.п.)  учитываются отдельно и также указываются в Заключении.</t>
  </si>
  <si>
    <t>Общей стоимостью ремонтных работ является сумма, состоящая  из: стоимости самой работы (в т.ч. стоимость технического диагностирования ) и стоимости запасных частей и расходных материалов. Вышеуказанная сумма отражается в Акте выполненных работ.</t>
  </si>
  <si>
    <t xml:space="preserve">        а) при отсутствии запасных частей на складе Исполнителя и необходимости их заказа (согласно п.п  б) п.3.5) Исполнитель оставляет за собой право на получение от Потребителя аванса в размере 50% от стоимости заказанных запасных частей.</t>
  </si>
  <si>
    <t xml:space="preserve">        б) при отсутствии запасных частей на складе Исполнителя и необходимости их заказа (согласно п.п. в) п.3.5) Исполнитель оставляет за собой право на получение от Потребителя аванса в размере 100% от стоимости заказанных запасных частей.</t>
  </si>
  <si>
    <t>При отсутствии авансового платежа, сроки выполнения работ, предусмотренные пунктом 3.5 приостанавливаются и возобновляют свое течение с момента внесения денежных средств в кассу Исполнителя.</t>
  </si>
  <si>
    <r>
      <t>5.</t>
    </r>
    <r>
      <rPr>
        <b/>
        <sz val="7"/>
        <color theme="1"/>
        <rFont val="Times New Roman"/>
        <family val="1"/>
        <charset val="204"/>
      </rPr>
      <t xml:space="preserve">        </t>
    </r>
    <r>
      <rPr>
        <b/>
        <sz val="8"/>
        <color theme="1"/>
        <rFont val="Times New Roman"/>
        <family val="1"/>
        <charset val="204"/>
      </rPr>
      <t>Качество работ, гарантийные обязательства  и сроки устранения недостатков выполненной работы</t>
    </r>
  </si>
  <si>
    <r>
      <t>6.</t>
    </r>
    <r>
      <rPr>
        <b/>
        <sz val="7"/>
        <color theme="1"/>
        <rFont val="Times New Roman"/>
        <family val="1"/>
        <charset val="204"/>
      </rPr>
      <t xml:space="preserve">        </t>
    </r>
    <r>
      <rPr>
        <b/>
        <sz val="8"/>
        <color theme="1"/>
        <rFont val="Times New Roman"/>
        <family val="1"/>
        <charset val="204"/>
      </rPr>
      <t>Иные права, обязанности и ответственность сторон</t>
    </r>
  </si>
  <si>
    <r>
      <t>7.</t>
    </r>
    <r>
      <rPr>
        <b/>
        <sz val="7"/>
        <color theme="1"/>
        <rFont val="Times New Roman"/>
        <family val="1"/>
        <charset val="204"/>
      </rPr>
      <t xml:space="preserve">        </t>
    </r>
    <r>
      <rPr>
        <b/>
        <sz val="8"/>
        <color theme="1"/>
        <rFont val="Times New Roman"/>
        <family val="1"/>
        <charset val="204"/>
      </rPr>
      <t>Порядок разрешения споров</t>
    </r>
  </si>
  <si>
    <t xml:space="preserve">г.Калуга      </t>
  </si>
  <si>
    <t>паспорт</t>
  </si>
  <si>
    <t>серия</t>
  </si>
  <si>
    <t>№</t>
  </si>
  <si>
    <t>,</t>
  </si>
  <si>
    <t>выдан</t>
  </si>
  <si>
    <t>1.        Предмет договора</t>
  </si>
  <si>
    <t>, - при наличии),</t>
  </si>
  <si>
    <t>, контактный телефон:</t>
  </si>
  <si>
    <t>.</t>
  </si>
  <si>
    <r>
      <t xml:space="preserve">           2.2 </t>
    </r>
    <r>
      <rPr>
        <sz val="8"/>
        <color theme="1"/>
        <rFont val="Times New Roman"/>
        <family val="1"/>
        <charset val="204"/>
      </rPr>
      <t xml:space="preserve">При приемке оборудования менеджерами Исполнителя и Потребителем оформляются, кроме настоящего Договора, следующие документы: Наряд-заказ (остается у Исполнителя) и Расписка  в получении оборудования на ремонт (передается Потребителю). Эти документы  являются неотъемлемой частью настоящего Договора. При составлении Наряд-заказа Потребитель  обязан сообщить менеджеру по приемке оборудования  об известных ему проявлениях недостатка в работе оборудования и убедиться в правильности письменного изложения менеджером по приемке его претензии. Кроме того, Потребитель обязан предоставить полную и достоверную  информацию о характере использования оборудования, его хранении и транспортировке, проверить соответствие внесенной в Наряд-Заказ информации  об оборудовании , фактическому состоянию и комплектации передаваемого оборудования. </t>
    </r>
  </si>
  <si>
    <r>
      <t xml:space="preserve">          2.3 </t>
    </r>
    <r>
      <rPr>
        <sz val="8"/>
        <color theme="1"/>
        <rFont val="Times New Roman"/>
        <family val="1"/>
        <charset val="204"/>
      </rPr>
      <t xml:space="preserve">После получения оборудования технические специалисты Исполнителя проводят контроль технического состояния*., для определения а)необходимости ремонта  и  б) его возможности и целесообразности. </t>
    </r>
  </si>
  <si>
    <t>2.   Условия и порядок приемки , выполнения работ и выдачи оборудования</t>
  </si>
  <si>
    <r>
      <t xml:space="preserve">         2.5 </t>
    </r>
    <r>
      <rPr>
        <sz val="8"/>
        <color theme="1"/>
        <rFont val="Times New Roman"/>
        <family val="1"/>
        <charset val="204"/>
      </rPr>
      <t>Если при проведении  контроля технического состояния*  в изделии выявлены  указанные Потребителем неисправности и оборудование признано ремонтопригодным (понятие из ГОСТ 29.002-89), то специалистами Исполнителя проводится техническое диагностирование* переданного оборудования. По результатам  проведенного технического диагностирования, специалисты Исполнителя делают Заключение о характере необходимого ремонта (в соответствии с перечнем технологических операций), об объеме и сроках выполнения необходимых ремонтных работ , их стоимости, стоимости необходимых для ремонта запасных частей и расходных материалов (масла, смазки). Стоимость операции по контролю технического состояния, при этом, с Потребителя не взимается. Заключение технических специалистов Исполнителя признается приблизительной сметой на выполнения работ, с возможностью её последующей корректировки , о которой Исполнитель обязан уведомить Потребителя. Выданное Заключение является неотъемлемой частью настоящего  Договора.</t>
    </r>
  </si>
  <si>
    <r>
      <t xml:space="preserve">        2.10 </t>
    </r>
    <r>
      <rPr>
        <sz val="8"/>
        <color theme="1"/>
        <rFont val="Times New Roman"/>
        <family val="1"/>
        <charset val="204"/>
      </rPr>
      <t>Оборудование выдается  в месте нахождения Исполнителя в будние дни с понедельника до пятницы с 9-00 до 18-00 часов, без перерыва. Суббота и воскресенье выходные дни. Выдача оборудования осуществляется при предъявлении Расписки в получении оборудования. Доставка оборудования до Потребителя осуществляется по дополнительному соглашению сторон и за дополнительную плату.</t>
    </r>
  </si>
  <si>
    <r>
      <t xml:space="preserve">        2.12</t>
    </r>
    <r>
      <rPr>
        <sz val="8"/>
        <color theme="1"/>
        <rFont val="Times New Roman"/>
        <family val="1"/>
        <charset val="204"/>
      </rPr>
      <t xml:space="preserve"> Ввиду особенностей работы обслуживаемого оборудования (необходимость подключения источника водоснабжения и наличия очистных резервуаров для сбора воды),  осуществить демонстрацию его  работоспособности  при сдаче-приемке в торговом зале Исполнителя, не представляется возможным. В связи с этим Потребителю предоставляются  определенные в разделе 5  настоящего Договора сроки для самостоятельного выявления недостатков в выполненной работе.</t>
    </r>
  </si>
  <si>
    <r>
      <t xml:space="preserve">        4.1 </t>
    </r>
    <r>
      <rPr>
        <sz val="8"/>
        <color theme="1"/>
        <rFont val="Times New Roman"/>
        <family val="1"/>
        <charset val="204"/>
      </rPr>
      <t>Базовая стоимость работ по контролю технического состояния оборудования составляет :</t>
    </r>
  </si>
  <si>
    <r>
      <t xml:space="preserve">        б) </t>
    </r>
    <r>
      <rPr>
        <b/>
        <sz val="8"/>
        <color theme="1"/>
        <rFont val="Times New Roman"/>
        <family val="1"/>
        <charset val="204"/>
      </rPr>
      <t>1500</t>
    </r>
    <r>
      <rPr>
        <sz val="8"/>
        <color theme="1"/>
        <rFont val="Times New Roman"/>
        <family val="1"/>
        <charset val="204"/>
      </rPr>
      <t xml:space="preserve"> рублей для техники Karcher профессионального назначения ( аппараты  ВД без нагрева воды  серии HD, пыле-, водососы  серии Т, СV, NT, аппараты Puzzi серии  8/1, 10/1, 100, 200 , поломойные машины BDS и BDP, подметальные машины KM серия 70) </t>
    </r>
  </si>
  <si>
    <r>
      <t xml:space="preserve">        в) </t>
    </r>
    <r>
      <rPr>
        <b/>
        <sz val="8"/>
        <color theme="1"/>
        <rFont val="Times New Roman"/>
        <family val="1"/>
        <charset val="204"/>
      </rPr>
      <t>2000</t>
    </r>
    <r>
      <rPr>
        <sz val="8"/>
        <color theme="1"/>
        <rFont val="Times New Roman"/>
        <family val="1"/>
        <charset val="204"/>
      </rPr>
      <t xml:space="preserve"> рублей для техники  Karcher профессионального назначения  (аппараты ВД с нагревом воды серии HDS, автономные аппраты ВД, аппараты  Puzzi серии 300, 400, поломойные машины серии BR, BD, подметальные машины KM серия 75 и выше)</t>
    </r>
  </si>
  <si>
    <r>
      <t xml:space="preserve">        4.2 </t>
    </r>
    <r>
      <rPr>
        <sz val="8"/>
        <color theme="1"/>
        <rFont val="Times New Roman"/>
        <family val="1"/>
        <charset val="204"/>
      </rPr>
      <t>Базовая стоимость технического диагностирования оборудования  составляет:</t>
    </r>
  </si>
  <si>
    <r>
      <t xml:space="preserve">        Демонтаж пистолета от шланга высокого давления профессионального АВД  составляет </t>
    </r>
    <r>
      <rPr>
        <b/>
        <sz val="8"/>
        <color theme="1"/>
        <rFont val="Times New Roman"/>
        <family val="1"/>
        <charset val="204"/>
      </rPr>
      <t>200</t>
    </r>
    <r>
      <rPr>
        <sz val="8"/>
        <color theme="1"/>
        <rFont val="Times New Roman"/>
        <family val="1"/>
        <charset val="204"/>
      </rPr>
      <t xml:space="preserve"> рублей. </t>
    </r>
  </si>
  <si>
    <r>
      <t xml:space="preserve">        Демонтаж пистолета от шланга высокого давления бытового АВД составляет </t>
    </r>
    <r>
      <rPr>
        <b/>
        <sz val="8"/>
        <color theme="1"/>
        <rFont val="Times New Roman"/>
        <family val="1"/>
        <charset val="204"/>
      </rPr>
      <t>100</t>
    </r>
    <r>
      <rPr>
        <sz val="8"/>
        <color theme="1"/>
        <rFont val="Times New Roman"/>
        <family val="1"/>
        <charset val="204"/>
      </rPr>
      <t xml:space="preserve"> рублей</t>
    </r>
  </si>
  <si>
    <r>
      <t xml:space="preserve">        Стоимость контроля технического состояния пенокомплекта  составляет </t>
    </r>
    <r>
      <rPr>
        <b/>
        <sz val="8"/>
        <color theme="1"/>
        <rFont val="Times New Roman"/>
        <family val="1"/>
        <charset val="204"/>
      </rPr>
      <t>250</t>
    </r>
    <r>
      <rPr>
        <sz val="8"/>
        <color theme="1"/>
        <rFont val="Times New Roman"/>
        <family val="1"/>
        <charset val="204"/>
      </rPr>
      <t xml:space="preserve"> рублей</t>
    </r>
  </si>
  <si>
    <r>
      <t xml:space="preserve">        б) </t>
    </r>
    <r>
      <rPr>
        <b/>
        <sz val="8"/>
        <color theme="1"/>
        <rFont val="Times New Roman"/>
        <family val="1"/>
        <charset val="204"/>
      </rPr>
      <t>1500</t>
    </r>
    <r>
      <rPr>
        <sz val="8"/>
        <color theme="1"/>
        <rFont val="Times New Roman"/>
        <family val="1"/>
        <charset val="204"/>
      </rPr>
      <t xml:space="preserve"> рублей для техники Karcher профессионального назначения ( аппараты  ВД без нагрева воды  серии HD, пыле-, водососы  серии Т, СV, NT, аппараты Puzzi серии  8/1, 10/1, 100, 200 , поломойные машины BDS и BDP, подметальные машины KM серия 70)</t>
    </r>
  </si>
  <si>
    <r>
      <t xml:space="preserve">        в) </t>
    </r>
    <r>
      <rPr>
        <b/>
        <sz val="8"/>
        <color theme="1"/>
        <rFont val="Times New Roman"/>
        <family val="1"/>
        <charset val="204"/>
      </rPr>
      <t>4000</t>
    </r>
    <r>
      <rPr>
        <sz val="8"/>
        <color theme="1"/>
        <rFont val="Times New Roman"/>
        <family val="1"/>
        <charset val="204"/>
      </rPr>
      <t xml:space="preserve"> рублей для техники  Karcher профессионального назначения  (аппараты ВД с нагревом воды серии HDS, автономные аппраты ВД, аппараты Puzzi серии 300, 400, поломойные машины серии BR, BD, подметальные машины KM серия 75 и выше)</t>
    </r>
  </si>
  <si>
    <r>
      <t xml:space="preserve">        - </t>
    </r>
    <r>
      <rPr>
        <b/>
        <sz val="8"/>
        <color theme="1"/>
        <rFont val="Times New Roman"/>
        <family val="1"/>
        <charset val="204"/>
      </rPr>
      <t>1500</t>
    </r>
    <r>
      <rPr>
        <sz val="8"/>
        <color theme="1"/>
        <rFont val="Times New Roman"/>
        <family val="1"/>
        <charset val="204"/>
      </rPr>
      <t xml:space="preserve"> рублей для техники Karcher профессионального назначения, указанной в п.п. б) п. 4.1</t>
    </r>
  </si>
  <si>
    <r>
      <t xml:space="preserve">        - </t>
    </r>
    <r>
      <rPr>
        <b/>
        <sz val="8"/>
        <color theme="1"/>
        <rFont val="Times New Roman"/>
        <family val="1"/>
        <charset val="204"/>
      </rPr>
      <t>1500</t>
    </r>
    <r>
      <rPr>
        <sz val="8"/>
        <color theme="1"/>
        <rFont val="Times New Roman"/>
        <family val="1"/>
        <charset val="204"/>
      </rPr>
      <t xml:space="preserve"> рублей для  техники Karcher профессионального назначения, указанной в п.п. в) п. 4.1</t>
    </r>
  </si>
  <si>
    <r>
      <t xml:space="preserve">        - </t>
    </r>
    <r>
      <rPr>
        <b/>
        <sz val="8"/>
        <color theme="1"/>
        <rFont val="Times New Roman"/>
        <family val="1"/>
        <charset val="204"/>
      </rPr>
      <t>1200</t>
    </r>
    <r>
      <rPr>
        <sz val="8"/>
        <color theme="1"/>
        <rFont val="Times New Roman"/>
        <family val="1"/>
        <charset val="204"/>
      </rPr>
      <t xml:space="preserve"> рублей для техники Karcher бытового назначения, указанной в п.п  а) п. 4.1 </t>
    </r>
  </si>
  <si>
    <r>
      <t xml:space="preserve">         4.4  </t>
    </r>
    <r>
      <rPr>
        <sz val="8"/>
        <color theme="1"/>
        <rFont val="Times New Roman"/>
        <family val="1"/>
        <charset val="204"/>
      </rPr>
      <t>Объем работ по ремонту оборудования определяется в нормо-часах. Стоимость одного нормо-часа ремонтных работ составляет:</t>
    </r>
  </si>
  <si>
    <r>
      <t xml:space="preserve">        4.6 </t>
    </r>
    <r>
      <rPr>
        <sz val="8"/>
        <color theme="1"/>
        <rFont val="Times New Roman"/>
        <family val="1"/>
        <charset val="204"/>
      </rPr>
      <t>При невозможности</t>
    </r>
    <r>
      <rPr>
        <b/>
        <sz val="8"/>
        <color theme="1"/>
        <rFont val="Times New Roman"/>
        <family val="1"/>
        <charset val="204"/>
      </rPr>
      <t xml:space="preserve"> </t>
    </r>
    <r>
      <rPr>
        <sz val="8"/>
        <color theme="1"/>
        <rFont val="Times New Roman"/>
        <family val="1"/>
        <charset val="204"/>
      </rPr>
      <t xml:space="preserve">осуществить ремонт силами Исполнителя оборудование может быть передано для ремонта в авторизованный сервисный центр Karcher в городе Москве ( третье лицо) . Передача техники третьему лицу для ее ремонта  осуществляется силами Исполнителя после получения согласия Потребителя В этом случае стоимость  и иные условия ремонта  определяется непосредственно третьим лицом и доводятся Исполнителем до сведения Потребителя.  Все расчеты  за произведенный ремонт Потребитель осуществляет с  Исполнителем на основании выставленного третьим лицом счета. Транспортные расходы в размере </t>
    </r>
    <r>
      <rPr>
        <b/>
        <sz val="8"/>
        <color theme="1"/>
        <rFont val="Times New Roman"/>
        <family val="1"/>
        <charset val="204"/>
      </rPr>
      <t>500</t>
    </r>
    <r>
      <rPr>
        <sz val="8"/>
        <color theme="1"/>
        <rFont val="Times New Roman"/>
        <family val="1"/>
        <charset val="204"/>
      </rPr>
      <t xml:space="preserve"> рублей за технику, указанную в п.п  а) п. 4.1; </t>
    </r>
    <r>
      <rPr>
        <b/>
        <sz val="8"/>
        <color theme="1"/>
        <rFont val="Times New Roman"/>
        <family val="1"/>
        <charset val="204"/>
      </rPr>
      <t>700</t>
    </r>
    <r>
      <rPr>
        <sz val="8"/>
        <color theme="1"/>
        <rFont val="Times New Roman"/>
        <family val="1"/>
        <charset val="204"/>
      </rPr>
      <t xml:space="preserve"> рублей за технику, указанную в п.п. б) п. 4.1 и </t>
    </r>
    <r>
      <rPr>
        <b/>
        <sz val="8"/>
        <color theme="1"/>
        <rFont val="Times New Roman"/>
        <family val="1"/>
        <charset val="204"/>
      </rPr>
      <t>1000</t>
    </r>
    <r>
      <rPr>
        <sz val="8"/>
        <color theme="1"/>
        <rFont val="Times New Roman"/>
        <family val="1"/>
        <charset val="204"/>
      </rPr>
      <t xml:space="preserve"> рублей за технику, указанную в п.п. в) п. 4.1 Потребитель оплачивает Исполнителю отдельно на основании выставленного Исполнителем акта выполненных работ. Деньги вносятся в кассу Исполнителя.</t>
    </r>
  </si>
  <si>
    <r>
      <t xml:space="preserve">        5.1 </t>
    </r>
    <r>
      <rPr>
        <sz val="8"/>
        <color theme="1"/>
        <rFont val="Times New Roman"/>
        <family val="1"/>
        <charset val="204"/>
      </rPr>
      <t>Качество выполненных работ должно соответствовать принятым для данного вида работ стандартам и нормам, а также обычно предъявляемым к данному виду работ требованиям.</t>
    </r>
  </si>
  <si>
    <r>
      <t xml:space="preserve">        5.2 </t>
    </r>
    <r>
      <rPr>
        <sz val="8"/>
        <color theme="1"/>
        <rFont val="Times New Roman"/>
        <family val="1"/>
        <charset val="204"/>
      </rPr>
      <t>Достоверность контроля технического состояния* (достоверность заключения о контроле технического состояния), при условии признания оборудования исправным и работоспособным, действительно в течение 2-ух дней  без учета дня  получения оборудования Потребителем. В течение этого срока Потребитель имеет право предъявить претензию Исполнителю по достоверности контроля технического состояния*.</t>
    </r>
  </si>
  <si>
    <r>
      <t xml:space="preserve">        5.3 </t>
    </r>
    <r>
      <rPr>
        <sz val="8"/>
        <color theme="1"/>
        <rFont val="Times New Roman"/>
        <family val="1"/>
        <charset val="204"/>
      </rPr>
      <t>Достоверность технического диагностирования* (достоверность заключения о техническом диагностировании) действительно в течение 2-ух дней без учета дня получения оборудования Потребителем. В течение этого срока Потребитель имеет право предъявить претензию Исполнителю о достоверности технического диагностирования*.</t>
    </r>
  </si>
  <si>
    <r>
      <t xml:space="preserve">        5.4 </t>
    </r>
    <r>
      <rPr>
        <sz val="8"/>
        <color theme="1"/>
        <rFont val="Times New Roman"/>
        <family val="1"/>
        <charset val="204"/>
      </rPr>
      <t>На любое из проведенных в соответствии с перечнем технологических операций техническое обслуживание*  гарантийное обязательство составляет  2  дня  без учета дня получения оборудования. В течение этого срока Потребитель имеет право предъявить претензию Исполнителю по качеству выполненного технического  обслуживания.</t>
    </r>
  </si>
  <si>
    <r>
      <t xml:space="preserve">        5.5  </t>
    </r>
    <r>
      <rPr>
        <sz val="8"/>
        <color theme="1"/>
        <rFont val="Times New Roman"/>
        <family val="1"/>
        <charset val="204"/>
      </rPr>
      <t>При</t>
    </r>
    <r>
      <rPr>
        <b/>
        <sz val="8"/>
        <color theme="1"/>
        <rFont val="Times New Roman"/>
        <family val="1"/>
        <charset val="204"/>
      </rPr>
      <t xml:space="preserve">  </t>
    </r>
    <r>
      <rPr>
        <sz val="8"/>
        <color theme="1"/>
        <rFont val="Times New Roman"/>
        <family val="1"/>
        <charset val="204"/>
      </rPr>
      <t>обращении Потребителя с претензией по качеству  проведенных  в соответствии с п. 5.2, 5.3 и 5.4 технологических операций Исполнитель и Потребитель проводят совместную проверку достоверности для п. 5.2 и п. 5.3  и качественности для п. 5.4  выполненных операции. О времени и месте проверки стороны договариваются дополнительно.</t>
    </r>
  </si>
  <si>
    <r>
      <t xml:space="preserve">        5.6 </t>
    </r>
    <r>
      <rPr>
        <sz val="8"/>
        <color theme="1"/>
        <rFont val="Times New Roman"/>
        <family val="1"/>
        <charset val="204"/>
      </rPr>
      <t>При проведение любого из видов ремонта* Исполнитель берет на себя гарантийные обязательства, которые составляют:</t>
    </r>
  </si>
  <si>
    <t xml:space="preserve">        -  30 дней на выполненную техническими специалистами Исполнителя ремонтную работу</t>
  </si>
  <si>
    <t xml:space="preserve">         -  12 месяцев на установленные на оборудование фирменные запасные части , при этом данная гарантия не распространяется на установленные на оборудование быстроизнашивающиеся запасные части ( свечи зажигания, форсунки водяные (в т.ч. форсунки пистолетов АВД), предохранители, диски, ремни, ролики, щетки, резиновые губки, шланги, сопла, поршни, клапаны впускные и нагнетательные, топливные жиклеры ,резиновые и иные уплотнения и т.п. части,  подверженные трению, давлению, воздействию высоких температур)</t>
  </si>
  <si>
    <t xml:space="preserve">        Кроме того гарантийные обязательства не действуют в иных случаях, предусмотренных в официальном гарантийном сертификате Karcher (образца 2009 года  с отметкой о 2-ух годовой гарантии на оборудование), действующем на территории РФ с 01 мая 2009 года.</t>
  </si>
  <si>
    <t xml:space="preserve">        Исчисление  гарантийных сроков на комплектующие и составные части основных эксплуатационных узлов оборудования, подлежащих замене при ремонте осуществляется в соответствии с  Законом РФ «О защите прав потребителей».</t>
  </si>
  <si>
    <r>
      <t xml:space="preserve">        6.4 </t>
    </r>
    <r>
      <rPr>
        <sz val="8"/>
        <color theme="1"/>
        <rFont val="Times New Roman"/>
        <family val="1"/>
        <charset val="204"/>
      </rPr>
      <t>После</t>
    </r>
    <r>
      <rPr>
        <b/>
        <sz val="8"/>
        <color theme="1"/>
        <rFont val="Times New Roman"/>
        <family val="1"/>
        <charset val="204"/>
      </rPr>
      <t xml:space="preserve"> </t>
    </r>
    <r>
      <rPr>
        <sz val="8"/>
        <color theme="1"/>
        <rFont val="Times New Roman"/>
        <family val="1"/>
        <charset val="204"/>
      </rPr>
      <t xml:space="preserve">получении досрочного отказа Потребителя  от проведения работ, предусмотренного  п. 2.7, п. 6.1 – 6.3, оборудование выдается  Потребителю  на следующий рабочий день сервисного центра. </t>
    </r>
  </si>
  <si>
    <r>
      <t xml:space="preserve">        6.5 </t>
    </r>
    <r>
      <rPr>
        <sz val="8"/>
        <color theme="1"/>
        <rFont val="Times New Roman"/>
        <family val="1"/>
        <charset val="204"/>
      </rPr>
      <t>При неисполнении Потребителем обязанности уплатить установленную Договором цену Исполнитель оставляет за собой право на удержание оборудования до полной оплаты  цены  Договора.</t>
    </r>
  </si>
  <si>
    <r>
      <t xml:space="preserve">        6.6 </t>
    </r>
    <r>
      <rPr>
        <sz val="8"/>
        <color theme="1"/>
        <rFont val="Times New Roman"/>
        <family val="1"/>
        <charset val="204"/>
      </rPr>
      <t xml:space="preserve">В случае неявки Потребителя за получением результата выполненной работы в предусмотренные  п. 2.4, п. 2.6,  п. 2.7, п. 2.8 сроки Исполнитель начиная с 11-го дня хранения передает невостребованное оборудование на склад  длительного хранения. При получении оборудования или аксессуаров со склада длительного хранения Потребитель вносит плату за хранение оборудования  в размере 25 рублей за каждый  полный день хранения. Оплата оформляется отдельным платежным документом. </t>
    </r>
  </si>
  <si>
    <r>
      <t xml:space="preserve">        - </t>
    </r>
    <r>
      <rPr>
        <sz val="8"/>
        <color theme="1"/>
        <rFont val="Times New Roman"/>
        <family val="1"/>
        <charset val="204"/>
      </rPr>
      <t>оборудование</t>
    </r>
    <r>
      <rPr>
        <b/>
        <sz val="8"/>
        <color theme="1"/>
        <rFont val="Times New Roman"/>
        <family val="1"/>
        <charset val="204"/>
      </rPr>
      <t xml:space="preserve"> </t>
    </r>
    <r>
      <rPr>
        <sz val="8"/>
        <color theme="1"/>
        <rFont val="Times New Roman"/>
        <family val="1"/>
        <charset val="204"/>
      </rPr>
      <t>со сроком эксплуатации от 2-ух лет до 3-ех лет – с дисконтом 60% от стоимости аналогичного нового оборудования согласно прайсам московского представительства Karcher на момент оценки оборудования подлежащего реализации</t>
    </r>
  </si>
  <si>
    <r>
      <t xml:space="preserve">        6.8</t>
    </r>
    <r>
      <rPr>
        <sz val="8"/>
        <color theme="1"/>
        <rFont val="Times New Roman"/>
        <family val="1"/>
        <charset val="204"/>
      </rPr>
      <t xml:space="preserve"> При утере расписки в получении оборудования, результат работы может быть выдан Потребителю на основании письменного заявления при предъявлении паспорта или иного документа, удостоверяющего личность.</t>
    </r>
  </si>
  <si>
    <r>
      <t xml:space="preserve">        7.1</t>
    </r>
    <r>
      <rPr>
        <sz val="8"/>
        <color theme="1"/>
        <rFont val="Times New Roman"/>
        <family val="1"/>
        <charset val="204"/>
      </rPr>
      <t xml:space="preserve"> В случае возникновения споров при осуществлении работ или после выдачи результата работ Потребителю, эти споры рассматриваются в претензионном порядке по соглашению сторон. </t>
    </r>
  </si>
  <si>
    <r>
      <t xml:space="preserve">        7.2</t>
    </r>
    <r>
      <rPr>
        <sz val="8"/>
        <color theme="1"/>
        <rFont val="Times New Roman"/>
        <family val="1"/>
        <charset val="204"/>
      </rPr>
      <t xml:space="preserve"> При не достижении  согласия спор может быть рассмотрен в предусмотренном законодательством порядке.</t>
    </r>
  </si>
  <si>
    <t>м-н «Виктория-Авто»</t>
  </si>
  <si>
    <t>Исполнитель</t>
  </si>
  <si>
    <t>ИП Корнеев В.А.</t>
  </si>
  <si>
    <t>248018 г. Калуга Грабцевское шоссе д.4Б</t>
  </si>
  <si>
    <t>Свидетельство ЕГРИП серия 40 № 000764914</t>
  </si>
  <si>
    <t>тел. 59-30-83</t>
  </si>
  <si>
    <t>(Подпись и расшифровка разборчиво !!!)</t>
  </si>
  <si>
    <t>Потребитель</t>
  </si>
  <si>
    <t>прож.</t>
  </si>
  <si>
    <r>
      <t xml:space="preserve">            </t>
    </r>
    <r>
      <rPr>
        <b/>
        <sz val="8"/>
        <color theme="1"/>
        <rFont val="Times New Roman"/>
        <family val="1"/>
        <charset val="204"/>
      </rPr>
      <t>3.2</t>
    </r>
    <r>
      <rPr>
        <sz val="8"/>
        <color theme="1"/>
        <rFont val="Times New Roman"/>
        <family val="1"/>
        <charset val="204"/>
      </rPr>
      <t xml:space="preserve"> Продолжительность</t>
    </r>
    <r>
      <rPr>
        <b/>
        <sz val="8"/>
        <color theme="1"/>
        <rFont val="Times New Roman"/>
        <family val="1"/>
        <charset val="204"/>
      </rPr>
      <t xml:space="preserve"> т</t>
    </r>
    <r>
      <rPr>
        <sz val="8"/>
        <color theme="1"/>
        <rFont val="Times New Roman"/>
        <family val="1"/>
        <charset val="204"/>
      </rPr>
      <t>ехнического диагностирования* оборудования указанного в п. п а) п. 4.2 составляет 14 дней без учета даты составления Наряд-заказа</t>
    </r>
  </si>
  <si>
    <t>Стоимость расходных материалов (масла, смазки  и т.п.)  учитываются отдельно.</t>
  </si>
  <si>
    <t xml:space="preserve">Общей стоимостью работ по техническому обслуживанию является сумма, состоящая  из: стоимости работ и стоимости расходных материалов. </t>
  </si>
  <si>
    <t xml:space="preserve">Стоимость запасных частей и  расходных материалов (масла, смазки  и т.п.)  учитываются отдельно. </t>
  </si>
  <si>
    <t>При отсутствии авансового платежа, сроки выполнения работ, предусмотренные пунктом 3.5 приостанавливаются и возобновляют свое течение с момента внесения денежных средств в кассу или на расчетный счет  Исполнителя.</t>
  </si>
  <si>
    <t>Форма 5</t>
  </si>
  <si>
    <t>г.Калуга</t>
  </si>
  <si>
    <t xml:space="preserve">                         ИП Корнеев В.А.,  именуемый  в  дальнейшем  «Исполнитель»,  в  лице  Корнеева  Владимира  Александровича,  действующего  на  основании  ЕГРИП  серия  40  №  000764914,   дата  внесения  записи  12.10.2004 г,  являющийся  официальным  представителем  концерна  Alfred  Karcher  Gmbh  &amp;  Co  в  Калужской  области  и</t>
  </si>
  <si>
    <t>, дата выдачи</t>
  </si>
  <si>
    <t>, кем выдан</t>
  </si>
  <si>
    <t>, именуемый в дальнейшем «Потребитель»</t>
  </si>
  <si>
    <t>заключили настоящий  договор ( далее – Договор) о следующем:</t>
  </si>
  <si>
    <t>проживающий по адресу:</t>
  </si>
  <si>
    <r>
      <rPr>
        <b/>
        <sz val="8"/>
        <color theme="1"/>
        <rFont val="Times New Roman"/>
        <family val="1"/>
        <charset val="204"/>
      </rPr>
      <t xml:space="preserve">        3.4 </t>
    </r>
    <r>
      <rPr>
        <sz val="8"/>
        <color theme="1"/>
        <rFont val="Times New Roman"/>
        <family val="1"/>
        <charset val="204"/>
      </rPr>
      <t>Приведенные в  п. .3.1-3.3 сроки являются максимальными и могут быть скорректированы Исполнителем в меньшую сторону при наличие производственной возможности.</t>
    </r>
  </si>
  <si>
    <t xml:space="preserve">                 Исполнитель берет на себя обязательство произвести следующие виды работ (технологических операций), в зависимости от необходимости  их проведения:  контроль  технического состояния,  техническое   диагностирование,  техническое  обслуживание   или   ремонт  оборудования   Karсher, переданного ему Потребителем. Наименование</t>
  </si>
  <si>
    <t>оборудования, его артикул, заводской номер, срок службы оборудования, его состояние, внешний вид, комплектация  и условия его эксплуатации указаны в  Наряд-заказе</t>
  </si>
  <si>
    <t xml:space="preserve">        ИП Корнеев В.А., именуемый в дальнейшем «Исполнитель», в лице Корнеева Владимира Александровича, действующего на основании ЕГРИП серия 40 № 000764914, дата </t>
  </si>
  <si>
    <t xml:space="preserve">внесения записи 12.10.2004 г, являющийся официальным представителем концерна Alfred Karcher Gmbh &amp; Co в Калужской области и </t>
  </si>
  <si>
    <t>в лице __________________________________________________________________ , действующего на основании _______________________________ ,именуемый в дальнейшем «Заказчик»  заключили настоящий  договор ( далее – Договор) о следующем:</t>
  </si>
  <si>
    <t xml:space="preserve">       Исполнитель берет на себя обязательство произвести следующие виды работ (технологических операций), в зависимости от необходимости  их проведения:  контроль </t>
  </si>
  <si>
    <t xml:space="preserve">технического состояния, техническое  диагностирование, техническое обслуживание или ремонт оборудования Karсher </t>
  </si>
  <si>
    <t>, арт.:</t>
  </si>
  <si>
    <t>заводской номер :</t>
  </si>
  <si>
    <t xml:space="preserve">переданного  ему Заказчиком. Срок  службы оборудования, его состояние, внешний вид, комплектация  и условия его эксплуатации </t>
  </si>
  <si>
    <t>указаны в  Наряд-заказе.</t>
  </si>
  <si>
    <r>
      <t xml:space="preserve">        2.2 </t>
    </r>
    <r>
      <rPr>
        <sz val="8"/>
        <color theme="1"/>
        <rFont val="Times New Roman"/>
        <family val="1"/>
        <charset val="204"/>
      </rPr>
      <t xml:space="preserve">При приемке оборудования менеджерами Исполнителя и Заказчиком оформляются, кроме настоящего Договора, следующие документы: Наряд-заказ (остается у Исполнителя) и Расписка  в получении оборудования на ремонт (передается Заказчику). Эти документы  являются неотъемлемой частью настоящего Договора. При составлении Наряд-Заказа представитель Заказчика обязан сообщить менеджеру по приемке оборудования  об известных ему проявлениях недостатка в работе оборудования и убедиться в правильности письменного изложения менеджером по приемке его претензии. Кроме того, представитель Заказчика обязан предоставить полную и достоверную  информацию о характере использования оборудования, его хранении и транспортировке, проверить соответствие внесенной в Наряд-Заказ информации  об оборудовании, фактическому состоянию и комплектации передаваемого оборудования. </t>
    </r>
  </si>
  <si>
    <r>
      <t xml:space="preserve">        2.3 </t>
    </r>
    <r>
      <rPr>
        <sz val="8"/>
        <color theme="1"/>
        <rFont val="Times New Roman"/>
        <family val="1"/>
        <charset val="204"/>
      </rPr>
      <t xml:space="preserve">После получения оборудования технические специалисты Исполнителя проводят контроль технического состояния*., для определения а)необходимости ремонта  и  б) его возможности и целесообразности. </t>
    </r>
  </si>
  <si>
    <r>
      <t xml:space="preserve">        2.7 </t>
    </r>
    <r>
      <rPr>
        <sz val="8"/>
        <color theme="1"/>
        <rFont val="Times New Roman"/>
        <family val="1"/>
        <charset val="204"/>
      </rPr>
      <t xml:space="preserve">Если при проведении ремонтных работ Исполнителем выявлены скрытые  дефекты оборудования, не заявленные Заказчиком при обращении и не выявленные при проведении первоначального технического диагностирования,  Исполнителем составляется дополнительное Заключение, содержащее информацию, предусмотренную  п. 2.5. При этом дальнейшие работы Исполнитель проводит только при получении дополнительного согласия Заказчика на их проведение и оплату, полученное в соответствии с п. 2.6. В этом случае сроки работ могут корректироваться по обоюдному согласию сторон, исходя из условий п. 3.5. Исполнитель обязан довести информацию, содержащуюся в дополнительном Заключении, до Заказчика в течение 2-ух дней с момента составления  дополнительного Заключения. При отказе Заказчика от  работ, проведение которых предусматривается  дополнительным Заключением, Заказчик обязан забрать оборудование у Исполнителя в течение 10-ти дней после получения SMS-уведомления или уведомления по электронной почте, оплатив Исполнителю 100% стоимости технического диагностирования без применения понижающих коэффициентов, стоимость запасных частей , заказанных или приобретенных Исполнителем для осуществления работ в соответствии с условиями первоначального Заключения, стоимость расходных материалов , а также оплатив часть установленной цены, пропорциональную части выполненной работы.. Приобретенные запасные части подлежат передаче Заказчику в момент выдачи оборудования из ремонта, заказанные запасные части подлежат передаче Заказчику после их получения на склад Исполнителя. </t>
    </r>
  </si>
  <si>
    <r>
      <t xml:space="preserve">        2.8 </t>
    </r>
    <r>
      <rPr>
        <sz val="8"/>
        <color theme="1"/>
        <rFont val="Times New Roman"/>
        <family val="1"/>
        <charset val="204"/>
      </rPr>
      <t>О завершении ремонтных работ Заказчика информируют менеджеры Исполнителя. Заказчик обязан забрать готовое оборудование в течение 10-ти дней после получения SMS-уведомления или уведомления по электронной почте, оплатив их стоимость в соответствии с настоящим Договором.</t>
    </r>
  </si>
  <si>
    <r>
      <t xml:space="preserve">        2.12</t>
    </r>
    <r>
      <rPr>
        <sz val="8"/>
        <color theme="1"/>
        <rFont val="Times New Roman"/>
        <family val="1"/>
        <charset val="204"/>
      </rPr>
      <t xml:space="preserve"> Ввиду особенностей работы обслуживаемого оборудования (необходимость подключения источника водоснабжения и наличия очистных резервуаров для сбора воды),  осуществить демонстрацию его  работоспособности  при сдаче-приемке в торговом зале, не представляется возможным. В связи с этим Заказчику предоставляются  определенные в разделе 5  настоящего Договора сроки для самостоятельного выявления недостатков в выполненной работе.</t>
    </r>
  </si>
  <si>
    <r>
      <t xml:space="preserve">            </t>
    </r>
    <r>
      <rPr>
        <sz val="8"/>
        <color theme="1"/>
        <rFont val="Times New Roman"/>
        <family val="1"/>
        <charset val="204"/>
      </rPr>
      <t xml:space="preserve">     Продолжительность технического диагностирования оборудования указанного в п.п. б) и в) п .4.2 составляет 30 дней без учета даты составления Наряд-заказа.</t>
    </r>
  </si>
  <si>
    <t xml:space="preserve">        б) при отсутствии запасных частей на складе Исполнителя , но их наличия на центральном складе Alfred Karcher Gmbh &amp; Co в г. Москве, в течение 30 дней с момента получения согласия Заказчика (см. п. 2.6)  на проведение ремонта оборудования.</t>
  </si>
  <si>
    <t xml:space="preserve">        в) при отсутствии запасных частей у Исполнителя и на центральном складе Alfred Karcher Gmbh &amp; Co в г. Москве (з/ч заказываются на заводе Karcher в Германии), в течение 90 дней с момента получения согласия Заказчика (см. п. 2.6)  на проведение ремонта оборудования.</t>
  </si>
  <si>
    <r>
      <t xml:space="preserve">         б) </t>
    </r>
    <r>
      <rPr>
        <b/>
        <sz val="8"/>
        <color theme="1"/>
        <rFont val="Times New Roman"/>
        <family val="1"/>
        <charset val="204"/>
      </rPr>
      <t>1500</t>
    </r>
    <r>
      <rPr>
        <sz val="8"/>
        <color theme="1"/>
        <rFont val="Times New Roman"/>
        <family val="1"/>
        <charset val="204"/>
      </rPr>
      <t xml:space="preserve"> рублей для техники Karcher профессионального назначения ( аппараты  ВД без нагрева воды  серии HD, пыле-, водососы  серии Т, СV, NT, аппараты Puzzi серии  8/1, 10/1, 100, 200 , поломойные машины BDS и BDP, подметальные машины KM серия 70)</t>
    </r>
  </si>
  <si>
    <r>
      <rPr>
        <sz val="8"/>
        <color theme="1"/>
        <rFont val="Times New Roman"/>
        <family val="1"/>
        <charset val="204"/>
      </rPr>
      <t xml:space="preserve">         Стоимость контроля технического состояния пенокомплекта  составляет</t>
    </r>
    <r>
      <rPr>
        <b/>
        <sz val="8"/>
        <color theme="1"/>
        <rFont val="Times New Roman"/>
        <family val="1"/>
        <charset val="204"/>
      </rPr>
      <t xml:space="preserve"> 250 </t>
    </r>
    <r>
      <rPr>
        <sz val="8"/>
        <color theme="1"/>
        <rFont val="Times New Roman"/>
        <family val="1"/>
        <charset val="204"/>
      </rPr>
      <t>рублей</t>
    </r>
  </si>
  <si>
    <r>
      <t xml:space="preserve">         Демонтаж пистолета от шланга высокого давления бытового АВД составляет </t>
    </r>
    <r>
      <rPr>
        <b/>
        <sz val="8"/>
        <color theme="1"/>
        <rFont val="Times New Roman"/>
        <family val="1"/>
        <charset val="204"/>
      </rPr>
      <t>100</t>
    </r>
    <r>
      <rPr>
        <sz val="8"/>
        <color theme="1"/>
        <rFont val="Times New Roman"/>
        <family val="1"/>
        <charset val="204"/>
      </rPr>
      <t xml:space="preserve"> рублей</t>
    </r>
  </si>
  <si>
    <r>
      <t xml:space="preserve">         Демонтаж пистолета от шланга высокого давления профессионального АВД  составляет </t>
    </r>
    <r>
      <rPr>
        <b/>
        <sz val="8"/>
        <color theme="1"/>
        <rFont val="Times New Roman"/>
        <family val="1"/>
        <charset val="204"/>
      </rPr>
      <t>200</t>
    </r>
    <r>
      <rPr>
        <sz val="8"/>
        <color theme="1"/>
        <rFont val="Times New Roman"/>
        <family val="1"/>
        <charset val="204"/>
      </rPr>
      <t xml:space="preserve"> рублей. </t>
    </r>
  </si>
  <si>
    <r>
      <t xml:space="preserve">         - </t>
    </r>
    <r>
      <rPr>
        <b/>
        <sz val="8"/>
        <color theme="1"/>
        <rFont val="Times New Roman"/>
        <family val="1"/>
        <charset val="204"/>
      </rPr>
      <t>1200</t>
    </r>
    <r>
      <rPr>
        <sz val="8"/>
        <color theme="1"/>
        <rFont val="Times New Roman"/>
        <family val="1"/>
        <charset val="204"/>
      </rPr>
      <t xml:space="preserve"> рублей для техники Karcher бытового назначения, указанной в п.п  а) п. 4.1 </t>
    </r>
  </si>
  <si>
    <r>
      <t xml:space="preserve">        4.4  </t>
    </r>
    <r>
      <rPr>
        <sz val="8"/>
        <color theme="1"/>
        <rFont val="Times New Roman"/>
        <family val="1"/>
        <charset val="204"/>
      </rPr>
      <t>Объем работ по ремонту оборудования определяется в нормо-часах. Стоимость одного нормо-часа ремонтных работ составляет:</t>
    </r>
  </si>
  <si>
    <r>
      <t xml:space="preserve">        5.2 </t>
    </r>
    <r>
      <rPr>
        <sz val="8"/>
        <color theme="1"/>
        <rFont val="Times New Roman"/>
        <family val="1"/>
        <charset val="204"/>
      </rPr>
      <t>Достоверность контроля технического состояния* (достоверность заключения о контроле технического состояния), при условии признания оборудования исправным и работоспособным, действительно в течение 2-ух дней  без учета дня  получения оборудования Заказчиком. В течение этого срока Заказчик имеет право предъявить претензию Исполнителю по достоверности контроля технического состояния*.</t>
    </r>
  </si>
  <si>
    <r>
      <t xml:space="preserve">       5.3 </t>
    </r>
    <r>
      <rPr>
        <sz val="8"/>
        <color theme="1"/>
        <rFont val="Times New Roman"/>
        <family val="1"/>
        <charset val="204"/>
      </rPr>
      <t>Достоверность технического диагностирования* (достоверность заключения о техническом диагностировании) действительно в течение 2-ух дней без учета дня получения оборудования Заказчиком. В течение этого срока Заказчик имеет право предъявить претензию Исполнителю о достоверности технического диагностирования*.</t>
    </r>
  </si>
  <si>
    <r>
      <t xml:space="preserve">        5.4 </t>
    </r>
    <r>
      <rPr>
        <sz val="8"/>
        <color theme="1"/>
        <rFont val="Times New Roman"/>
        <family val="1"/>
        <charset val="204"/>
      </rPr>
      <t>На любое из проведенных в соответствии с перечнем технологических операций техническое обслуживание*  гарантийное обязательство составляет  2  дня  без учета дня получения оборудования. В течение этого срока Заказчик вправе предъявить претензию Исполнителю по качеству выполненного технического обслуживания.</t>
    </r>
  </si>
  <si>
    <r>
      <t xml:space="preserve">        5.5  </t>
    </r>
    <r>
      <rPr>
        <sz val="8"/>
        <color theme="1"/>
        <rFont val="Times New Roman"/>
        <family val="1"/>
        <charset val="204"/>
      </rPr>
      <t>При</t>
    </r>
    <r>
      <rPr>
        <b/>
        <sz val="8"/>
        <color theme="1"/>
        <rFont val="Times New Roman"/>
        <family val="1"/>
        <charset val="204"/>
      </rPr>
      <t xml:space="preserve">  </t>
    </r>
    <r>
      <rPr>
        <sz val="8"/>
        <color theme="1"/>
        <rFont val="Times New Roman"/>
        <family val="1"/>
        <charset val="204"/>
      </rPr>
      <t>обращении Заказчика с претензией по качеству  проведенных  в соответствии с п. 5.2, 5.3 и 5.4 технологических операций Исполнитель и Заказчик проводят совместную проверку достоверности для п. 5.2 и п. 5.3  и качественности для п. 5.4  выполненных операции. О времени и месте проверки стороны договариваются дополнительно.</t>
    </r>
  </si>
  <si>
    <r>
      <t xml:space="preserve">        5.6 </t>
    </r>
    <r>
      <rPr>
        <sz val="8"/>
        <color theme="1"/>
        <rFont val="Times New Roman"/>
        <family val="1"/>
        <charset val="204"/>
      </rPr>
      <t>При проведение любого из видов ремонта Исполнитель берет на себя гарантийные обязательства, которые составляют:</t>
    </r>
  </si>
  <si>
    <t xml:space="preserve">        - безвозмездное устранение выявленных недостатков, связанных с некачественным проведением ремонтных работ;</t>
  </si>
  <si>
    <t xml:space="preserve">        - соизмеримое уменьшение стоимости выполненных работ (без учета стоимости запасных частей);</t>
  </si>
  <si>
    <r>
      <t xml:space="preserve">        5.7</t>
    </r>
    <r>
      <rPr>
        <sz val="8"/>
        <color theme="1"/>
        <rFont val="Times New Roman"/>
        <family val="1"/>
        <charset val="204"/>
      </rPr>
      <t xml:space="preserve">  Исполнитель принимает претензии, связанные с ненадлежащим качеством установленных запасных частей в срок, который составляет: </t>
    </r>
  </si>
  <si>
    <t xml:space="preserve">        -  12 месяцев на установленные на оборудование фирменные запасные части , при этом данная гарантия не распространяется на установленные на оборудование быстроизнашивающиеся запасные части ( свечи зажигания, форсунки водяные (в т.ч. форсунки пистолетов АВД), предохранители, диски, ремни, ролики, щетки, резиновые губки, шланги, сопла, поршни, клапаны впускные и нагнетательные, топливные жиклеры ,резиновые и иные уплотнения и т.п. части,  подверженные трению, давлению, воздействию высоких температур)</t>
  </si>
  <si>
    <r>
      <t xml:space="preserve">        6.1 </t>
    </r>
    <r>
      <rPr>
        <sz val="8"/>
        <color theme="1"/>
        <rFont val="Times New Roman"/>
        <family val="1"/>
        <charset val="204"/>
      </rPr>
      <t>Заказчик имеет право отказаться от выполнения любой технологической операции из перечня: контроль технического состояния, техническое диагностирование,  техническое обслуживание, на любой стадии  как во время проведения операции так и  после её проведения, выплатив Исполнителю 100% стоимости работы, предусмотренную в п. 4.1-4.3 без применения понижающих коэффициентов.</t>
    </r>
  </si>
  <si>
    <r>
      <t xml:space="preserve">        6.2 </t>
    </r>
    <r>
      <rPr>
        <sz val="8"/>
        <color theme="1"/>
        <rFont val="Times New Roman"/>
        <family val="1"/>
        <charset val="204"/>
      </rPr>
      <t>Заказчик имеет право отказаться от выполнения ремонтных работ в любой момент до их начала, выплатив Исполнителю 100% стоимости технического диагностирования оборудования без применения понижающих коэффициентов. Если Исполнитель на момент отказа Заказчика не осуществил приобретение запасных частей или не осуществил оплату заказанных запасных частей,  необходимых для проведения ремонтных работ согласно Наряд-заказа, их стоимость с Заказчика  не взимается. Если запасные части приобретены или оплачены Исполнителем Заказчик возмещает их стоимость при расторжении договора на выполнение работ.</t>
    </r>
  </si>
  <si>
    <r>
      <t xml:space="preserve">        6.3</t>
    </r>
    <r>
      <rPr>
        <sz val="8"/>
        <color theme="1"/>
        <rFont val="Times New Roman"/>
        <family val="1"/>
        <charset val="204"/>
      </rPr>
      <t xml:space="preserve"> Если Исполнитель уже  приступил к выполнению ремонтных  работ, после проведенного технического диагностирования, Заказчик имеет право отказаться от их проведения, выплатив Исполнителю 100%  стоимости проведенного технического диагностирования без применения понижающих коэффициентов , а также часть цены Договора пропорциональную части выполненной работы. Кроме того, Заказчик выплачивает Исполнителю фактически понесенные расходы: стоимость приобретенных и установленных или стоимость заказанных и оплаченных запасных частей,  стоимость расходных материалов ( масел, смазок и т.п.). Приобретенные для выполнения Договора запасные части подлежат передаче Заказчику в момент выдачи оборудования, заказанные запасные части подлежат передаче Заказчику после получения их на склад Исполнителя в сроки указанные в п. 3.5</t>
    </r>
  </si>
  <si>
    <r>
      <t xml:space="preserve">        6.4 </t>
    </r>
    <r>
      <rPr>
        <sz val="8"/>
        <color theme="1"/>
        <rFont val="Times New Roman"/>
        <family val="1"/>
        <charset val="204"/>
      </rPr>
      <t>После</t>
    </r>
    <r>
      <rPr>
        <b/>
        <sz val="8"/>
        <color theme="1"/>
        <rFont val="Times New Roman"/>
        <family val="1"/>
        <charset val="204"/>
      </rPr>
      <t xml:space="preserve"> </t>
    </r>
    <r>
      <rPr>
        <sz val="8"/>
        <color theme="1"/>
        <rFont val="Times New Roman"/>
        <family val="1"/>
        <charset val="204"/>
      </rPr>
      <t xml:space="preserve">получения досрочного отказа Заказчика  от проведения работ, предусмотренного п. 6.1 – 6.3, оборудование выдается  Заказчику  на следующий рабочий день сервисного центра, при условии оплаты выполненной работы и наличии  должным образом оформленных документов. </t>
    </r>
  </si>
  <si>
    <r>
      <t xml:space="preserve">       6.5 </t>
    </r>
    <r>
      <rPr>
        <sz val="8"/>
        <color theme="1"/>
        <rFont val="Times New Roman"/>
        <family val="1"/>
        <charset val="204"/>
      </rPr>
      <t>При неисполнении Заказчиком обязанности уплатить установленную Договором цену Исполнитель оставляет за собой право на удержание оборудования до полной оплаты  цены  Договора.</t>
    </r>
  </si>
  <si>
    <r>
      <t xml:space="preserve">        6.8</t>
    </r>
    <r>
      <rPr>
        <sz val="8"/>
        <color theme="1"/>
        <rFont val="Times New Roman"/>
        <family val="1"/>
        <charset val="204"/>
      </rPr>
      <t xml:space="preserve"> Стороны имеют права, осуществляют обязанности и несут ответственность , не предусмотренные в настоящем Договоре в соответствии с гражданским законодательством РФ</t>
    </r>
  </si>
  <si>
    <r>
      <t xml:space="preserve">       7.1</t>
    </r>
    <r>
      <rPr>
        <sz val="8"/>
        <color theme="1"/>
        <rFont val="Times New Roman"/>
        <family val="1"/>
        <charset val="204"/>
      </rPr>
      <t xml:space="preserve"> В случае возникновения споров при осуществлении работ или после выдачи результата работ Заказчику, эти споры рассматриваются в претензионном порядке по соглашению сторон. </t>
    </r>
  </si>
  <si>
    <r>
      <t xml:space="preserve">       7.2</t>
    </r>
    <r>
      <rPr>
        <sz val="8"/>
        <color theme="1"/>
        <rFont val="Times New Roman"/>
        <family val="1"/>
        <charset val="204"/>
      </rPr>
      <t xml:space="preserve"> При не достижении  согласия спор может быть рассмотрен в предусмотренном законодательством порядке.</t>
    </r>
  </si>
  <si>
    <t>м-н   «Виктория-Авто»</t>
  </si>
  <si>
    <t>Заказчик</t>
  </si>
  <si>
    <r>
      <rPr>
        <sz val="10"/>
        <color theme="1"/>
        <rFont val="Times New Roman"/>
        <family val="1"/>
        <charset val="204"/>
      </rPr>
      <t>(Подпись и расшифровка разборчиво !!!)</t>
    </r>
    <r>
      <rPr>
        <sz val="11"/>
        <color theme="1"/>
        <rFont val="Calibri"/>
        <family val="2"/>
        <charset val="204"/>
        <scheme val="minor"/>
      </rPr>
      <t xml:space="preserve"> </t>
    </r>
  </si>
  <si>
    <t>Физ лицо</t>
  </si>
  <si>
    <t>Юр лицо</t>
  </si>
  <si>
    <t>ФИО</t>
  </si>
  <si>
    <t>Адрес</t>
  </si>
  <si>
    <t>Телефон</t>
  </si>
  <si>
    <t>Серия</t>
  </si>
  <si>
    <t>Номер</t>
  </si>
  <si>
    <t>Кем выдан</t>
  </si>
  <si>
    <t>Наряд-заказ</t>
  </si>
  <si>
    <t>Дата выдачи</t>
  </si>
  <si>
    <t>Вид документа</t>
  </si>
  <si>
    <t>Модель</t>
  </si>
  <si>
    <t>Артикул</t>
  </si>
  <si>
    <t>Серийный номер</t>
  </si>
  <si>
    <t>Наименование организации</t>
  </si>
  <si>
    <t>Контактн. телефон:</t>
  </si>
  <si>
    <t>/</t>
  </si>
  <si>
    <t>вод.удостов.</t>
  </si>
  <si>
    <t>Пароль для отключения защиты: 0000.</t>
  </si>
  <si>
    <r>
      <t xml:space="preserve">Вид документа </t>
    </r>
    <r>
      <rPr>
        <b/>
        <i/>
        <sz val="14"/>
        <color theme="1"/>
        <rFont val="Calibri"/>
        <family val="2"/>
        <charset val="204"/>
        <scheme val="minor"/>
      </rPr>
      <t>(выбрать)</t>
    </r>
  </si>
  <si>
    <r>
      <t xml:space="preserve">Для того, чтобы быстро заполнить таблицу нужно открыть "Буфер обмена"(должен быть пуст), в наряд-заказе для:                                                                                           </t>
    </r>
    <r>
      <rPr>
        <b/>
        <sz val="14"/>
        <color theme="1"/>
        <rFont val="Calibri"/>
        <family val="2"/>
        <charset val="204"/>
        <scheme val="minor"/>
      </rPr>
      <t>Физ.лица</t>
    </r>
    <r>
      <rPr>
        <sz val="14"/>
        <color theme="1"/>
        <rFont val="Calibri"/>
        <family val="2"/>
        <charset val="204"/>
        <scheme val="minor"/>
      </rPr>
      <t xml:space="preserve"> копируем по порядку: ФИО, адрес, телефон, серия, номер, дата выдачи, кем выдан, номер наряд-заказа.                                                                                            </t>
    </r>
    <r>
      <rPr>
        <b/>
        <sz val="14"/>
        <color theme="1"/>
        <rFont val="Calibri"/>
        <family val="2"/>
        <charset val="204"/>
        <scheme val="minor"/>
      </rPr>
      <t>Юр.лица</t>
    </r>
    <r>
      <rPr>
        <sz val="14"/>
        <color theme="1"/>
        <rFont val="Calibri"/>
        <family val="2"/>
        <charset val="204"/>
        <scheme val="minor"/>
      </rPr>
      <t xml:space="preserve"> порядок: название организации, модель,артикул, серийный номер.                                                                                      Кликаем на указанную </t>
    </r>
    <r>
      <rPr>
        <sz val="14"/>
        <color rgb="FF0F8406"/>
        <rFont val="Calibri"/>
        <family val="2"/>
        <charset val="204"/>
        <scheme val="minor"/>
      </rPr>
      <t>зеленой стрелкой</t>
    </r>
    <r>
      <rPr>
        <sz val="14"/>
        <color theme="1"/>
        <rFont val="Calibri"/>
        <family val="2"/>
        <charset val="204"/>
        <scheme val="minor"/>
      </rPr>
      <t xml:space="preserve"> ячейку и в буфере обмена нажимаем "Вставить все".</t>
    </r>
  </si>
  <si>
    <r>
      <t xml:space="preserve">           2.1 </t>
    </r>
    <r>
      <rPr>
        <sz val="8"/>
        <color theme="1"/>
        <rFont val="Times New Roman"/>
        <family val="1"/>
        <charset val="204"/>
      </rPr>
      <t>Потребитель осуществляет доставку оборудования до Исполнителя своими силами. Передаваемое на ремонт оборудование должно быть чистым  и  укомплектованным необходимыми расходными аксессуарами (шланг, кабель, насадка и т.п.) , для возможности его подключения и проведения технологических операций. В противном случае Исполнитель оставляет за собой право отказать Потребителю в приемке оборудования на ремонт. Оборудование принимается  на ремонт: с понедельника до пятницы с 9-00 до 18-00 , без перерыва , в субботу и воскресенье с 9-00 до 17-00, без перерыва.</t>
    </r>
  </si>
  <si>
    <r>
      <t xml:space="preserve">          2.4 </t>
    </r>
    <r>
      <rPr>
        <sz val="8"/>
        <color theme="1"/>
        <rFont val="Times New Roman"/>
        <family val="1"/>
        <charset val="204"/>
      </rPr>
      <t xml:space="preserve"> Если по итогам операции по контролю технического состояния указанные Потребителем недостатки не выявляются , то специалисты Исполнителя делают заключение об исправности и работоспособности  оборудования. Если недостатки выявляются, но они носят  неустранимый характер (понятие предельного состояния работоспособности техники – ГОСТ 27.002-89), то заключение специалистов содержит формулировку «Оборудование неисправное, неработоспособное, достигло предельного состояния.* Не пригодно к ремонту». Менеджеры Исполнителя доводят информацию, содержащуюся в заключении до сведения Потребителя  в течение одного дня после его получения от специалистов. После получения заключения Потребитель обязан забрать оборудование у Исполнителя в течение 10-ти дней после получения SMS-уведомления , оплатив стоимость контроля технического состояния в соответствии с настоящим  Договором. </t>
    </r>
  </si>
  <si>
    <r>
      <t xml:space="preserve">        2.9 </t>
    </r>
    <r>
      <rPr>
        <sz val="8"/>
        <color theme="1"/>
        <rFont val="Times New Roman"/>
        <family val="1"/>
        <charset val="204"/>
      </rPr>
      <t xml:space="preserve">Работы по техническому обслуживанию* оборудования проводятся в соответствии с эксплуатационной документацией, в объеме и с периодичностью установленной Производителем. По желанию Потребителя может быть проведено отдельное техническое обслуживание в соответствии с перечнем технологических операций. Специалисты Исполнителя делают Заключение о характере необходимого технического обслуживания (в соответствии с перечнем технологических операций), об объеме и сроках его выполнения, его стоимости, стоимости необходимых  расходных материалов (масла, смазки). Данная информация доводится до сведения Потребителя. Оплата  технического обслуживания производится в соответствии с настоящим Договором. Текущий и средний ремонт включают в себя отдельные стадии технического обслуживания. Капитальный ремонт включает в себя все стадии технического обслуживания. </t>
    </r>
  </si>
  <si>
    <r>
      <t xml:space="preserve">        2.11 </t>
    </r>
    <r>
      <rPr>
        <sz val="8"/>
        <color theme="1"/>
        <rFont val="Times New Roman"/>
        <family val="1"/>
        <charset val="204"/>
      </rPr>
      <t>При выдаче оборудования после проведения работ по  контролю технического состояния, техническому диагностированию, техническому обслуживанию или ремонту  Исполнитель и Потребитель обязаны осуществить сдачу-приемку выдаваемого оборудования, включающую в себя осмотр, , выявление появившихся явных дефектов во внешнем виде, соответствия комплектности переданного оборудования. Свидетельством совершения вышеуказанных действий Исполнителем и Потребителем является составление Акта выполнения работ, который, наравне с другими указанными в настоящем Договоре документами, является неотъемлемой частью настоящего Договора. Вместе с выданным из ремонта оборудованием Исполнитель возвращает Потребителю вышедшие из строя  запасные части.</t>
    </r>
  </si>
  <si>
    <r>
      <rPr>
        <b/>
        <sz val="8"/>
        <color theme="1"/>
        <rFont val="Times New Roman"/>
        <family val="1"/>
        <charset val="204"/>
      </rPr>
      <t xml:space="preserve">        3.3</t>
    </r>
    <r>
      <rPr>
        <sz val="8"/>
        <color theme="1"/>
        <rFont val="Times New Roman"/>
        <family val="1"/>
        <charset val="204"/>
      </rPr>
      <t xml:space="preserve"> Техническое обслуживание оборудования производится Исполнителем в течение 14 дней без учета даты составления Наряд-заказа</t>
    </r>
  </si>
  <si>
    <r>
      <t xml:space="preserve">        а)  </t>
    </r>
    <r>
      <rPr>
        <b/>
        <sz val="8"/>
        <color theme="1"/>
        <rFont val="Times New Roman"/>
        <family val="1"/>
        <charset val="204"/>
      </rPr>
      <t>1200</t>
    </r>
    <r>
      <rPr>
        <sz val="8"/>
        <color theme="1"/>
        <rFont val="Times New Roman"/>
        <family val="1"/>
        <charset val="204"/>
      </rPr>
      <t xml:space="preserve"> рублей для техники Karcher бытового назначения (аппараты ВД серии  K, насосы, парогенераторы, пыле-, водососы, серий А, VC, WD, DS, K, SE, SС, SV, FC и иные аппараты  в руководстве по эксплуатации которых указано их бытовое назначение )</t>
    </r>
  </si>
  <si>
    <r>
      <t xml:space="preserve">        Стоимость контроля технического состояния аксессуаров (комплектующих изделий)  оборудования бытовой серии Karcher , указанного в п.п а) настоящего пункта (пистолеты, шланги, форсунки, струйные трубки, грязевые фрезы, насадки и т.п.) , передаваемого на сервис без основного оборудования составляет </t>
    </r>
    <r>
      <rPr>
        <b/>
        <sz val="8"/>
        <color theme="1"/>
        <rFont val="Times New Roman"/>
        <family val="1"/>
        <charset val="204"/>
      </rPr>
      <t>200</t>
    </r>
    <r>
      <rPr>
        <sz val="8"/>
        <color theme="1"/>
        <rFont val="Times New Roman"/>
        <family val="1"/>
        <charset val="204"/>
      </rPr>
      <t xml:space="preserve"> рублей за одно изделие для аксессуаров стоимостью до 4000,00 рублей и </t>
    </r>
    <r>
      <rPr>
        <b/>
        <sz val="8"/>
        <color theme="1"/>
        <rFont val="Times New Roman"/>
        <family val="1"/>
        <charset val="204"/>
      </rPr>
      <t xml:space="preserve">400 </t>
    </r>
    <r>
      <rPr>
        <sz val="8"/>
        <color theme="1"/>
        <rFont val="Times New Roman"/>
        <family val="1"/>
        <charset val="204"/>
      </rPr>
      <t>рублей для аксессуаров стоимостью свыше 4000,00 рублей</t>
    </r>
  </si>
  <si>
    <r>
      <t xml:space="preserve">         Стоимость контроля технического состояния аксессуаров (комплектующих изделий)  оборудования профессиональной серии Karcher , указанного в п. п б) и п.п. в) настоящего пункта (пистолеты, шланги, форсунки, струйные трубки, грязевые фрезы, насадки и т.п.) , передаваемого на сервис без основного оборудования составляет </t>
    </r>
    <r>
      <rPr>
        <b/>
        <sz val="8"/>
        <color theme="1"/>
        <rFont val="Times New Roman"/>
        <family val="1"/>
        <charset val="204"/>
      </rPr>
      <t>200</t>
    </r>
    <r>
      <rPr>
        <sz val="8"/>
        <color theme="1"/>
        <rFont val="Times New Roman"/>
        <family val="1"/>
        <charset val="204"/>
      </rPr>
      <t xml:space="preserve"> рублей за одно изделие.</t>
    </r>
  </si>
  <si>
    <t xml:space="preserve">         При выявлении недостатков в выполненной работе в течение гарантийного срока  Потребитель вправе предъявить требования, предусмотренные п. 1 ст. 29  Закона РФ «О защите прав потребителей». Требование Потребителя о повторном проведении некачественно выполненной работы , согласно п.2 ст. 31 Закона РФ «О защите прав потребителей» подлежит удовлетворению в срок  предусмотренный договором о выполнении работы, которая была ненадлежащим образом исполнена . </t>
  </si>
  <si>
    <r>
      <t xml:space="preserve">        6.7 </t>
    </r>
    <r>
      <rPr>
        <sz val="8"/>
        <color theme="1"/>
        <rFont val="Times New Roman"/>
        <family val="1"/>
        <charset val="204"/>
      </rPr>
      <t>При неявке Потребителя за получением результата работы или иного уклонения Потребителя от  её приёмки, в сроки указанные в  п. 2.4, п. 2.6,  п. 2.7, п. 2.8 Исполнитель по истечении двух месяцев с момента истечения срока бесплатного хранения имеет продать результат работыза разумную цену, а вырученную сумму за вычетом всех причитающихся Исполнителю платежей (оплата работы и хранения) внести   в депозит в порядке, предусмотренном ст. 327 ГК РФ или  передать  Заказчику в момент его обращения в сервисный центр. Реализация невостребованного оборудования  будет осуществляться через торговую сеть Исполнителя по следующим ценам:</t>
    </r>
  </si>
  <si>
    <t xml:space="preserve">        - оборудование со сроком эксплуатации от 1 года до 2-ух лет – с дисконтом 50% от стоимости аналогичного  нового оборудования согласно прайсам московского представительства Karcher на момент оценки оборудования подлежащего реализации</t>
  </si>
  <si>
    <t xml:space="preserve">        - оборудование со сроком эксплуатации свыше 3-ех лет – с  дисконтом 80% от стоимости аналогичного нового оборудования согласно прайсам московского представительства Karcher на момент оценки оборудования подлежащего реализации</t>
  </si>
  <si>
    <t>2.      Условия и порядок приемки, выполнения работ и выдачи оборудования</t>
  </si>
  <si>
    <r>
      <t xml:space="preserve">        2.1 </t>
    </r>
    <r>
      <rPr>
        <sz val="8"/>
        <color theme="1"/>
        <rFont val="Times New Roman"/>
        <family val="1"/>
        <charset val="204"/>
      </rPr>
      <t>Заказчик осуществляет доставку оборудования до Исполнителя своими силами. Передаваемое на ремонт оборудование должно быть чистым  и  укомплектованным необходимыми расходными аксессуарами (шланг, кабель, насадка и т.п.), для возможности его подключения и проведения технологических операций. Оборудование принимается  на ремонт: с понедельника до пятницы с 9-00 до 18-00 , без перерыва , в субботу и воскресенье с 9-00 до 17-00, без перерыва.</t>
    </r>
  </si>
  <si>
    <r>
      <t xml:space="preserve">        2.4 </t>
    </r>
    <r>
      <rPr>
        <sz val="8"/>
        <color theme="1"/>
        <rFont val="Times New Roman"/>
        <family val="1"/>
        <charset val="204"/>
      </rPr>
      <t xml:space="preserve"> Если по итогам операции по контролю технического состояния указанные Заказчиком недостатки не выявляются, то специалисты Исполнителя делают заключение об исправности и работоспособности  оборудования. Если недостатки выявляются, но они носят  неустранимый характер (понятие предельного состояния работоспособности техники – ГОСТ 27.002-89), то заключение специалистов содержит формулировку «Оборудование неисправное, неработоспособное, достигло предельного состояния. Не пригодно к ремонту». Менеджеры Исполнителя доводят информацию, содержащуюся в заключении до сведения Заказчика  в течение одного дня после его получения от специалистов. После получения заключения Заказчик обязан забрать оборудование у Исполнителя в течение 10-ти дней после получения SMS-уведомления или уведомления по электронной почте, оплатив стоимость контроля технического состояния в соответствии с настоящим  Договором. </t>
    </r>
  </si>
  <si>
    <r>
      <t xml:space="preserve">        2.5 </t>
    </r>
    <r>
      <rPr>
        <sz val="8"/>
        <color theme="1"/>
        <rFont val="Times New Roman"/>
        <family val="1"/>
        <charset val="204"/>
      </rPr>
      <t>Если при проведении  контроля технического состояния*  в изделии выявлены  указанные Заявителем неисправности и оборудование признано ремонтопригодным* (понятие из ГОСТ 29.002-89), то специалистами Исполнителя проводится техническое диагностирование* переданного оборудования. По результатам  проведенного технического диагностирования, специалисты Исполнителя делают Заключение о характере необходимого ремонта (в соответствии с перечнем технологических операций), об объеме и сроках выполнения необходимых ремонтных работ , их стоимости, стоимости необходимых для ремонта запасных частей и расходных материалов (масла, смазки). Стоимость операции по контролю технического состояния, при этом, с Заказчика не взимается. Заключение технических специалистов Исполнителя признается приблизительной сметой на выполнение работ, с возможностью её последующей корректировки, о которой Исполнитель обязан уведомить Заказчика. Выданное Заключение является неотъемлемой частью настоящего  Договора.</t>
    </r>
  </si>
  <si>
    <r>
      <t xml:space="preserve">        2.9 </t>
    </r>
    <r>
      <rPr>
        <sz val="8"/>
        <color theme="1"/>
        <rFont val="Times New Roman"/>
        <family val="1"/>
        <charset val="204"/>
      </rPr>
      <t xml:space="preserve">Работы по техническому обслуживанию* оборудования проводятся в соответствии с эксплуатационной документацией, в объеме и с периодичностью установленной Производителем. По желанию Заказчика может быть проведено отдельное техническое обслуживание в соответствии с перечнем технологических операций. Специалисты Исполнителя делают Заключение о характере необходимого технического обслуживания (в соответствии с перечнем технологических операций), об объеме и сроках его выполнения, его стоимости, стоимости необходимых  расходных материалов (масла, смазки). Данная информация доводится до сведения Заказчика. Оплата  технического обслуживания производится в соответствии с настоящим Договором. Текущий и средний ремонт включают в себя отдельные стадии технического обслуживания. Капитальный ремонт включает в себя все стадии технического обслуживания. </t>
    </r>
  </si>
  <si>
    <r>
      <t xml:space="preserve">        2.10 </t>
    </r>
    <r>
      <rPr>
        <sz val="8"/>
        <color theme="1"/>
        <rFont val="Times New Roman"/>
        <family val="1"/>
        <charset val="204"/>
      </rPr>
      <t>Оборудование выдается  в месте нахождения Исполнителя в будние дни с понедельника до пятницы с 9-00 до 18-00 часов, без перерыва. Суббота и воскресенье выходные дни. При наличии полной  оплаты работ,  надлежащим образом оформленных платежных документов   и предъявлении Расписки в получении оборудования. Доверенность на получение оборудования  из ремонта необходимо предъявлять при безналичной форме оплаты  за ремонт. Доставка оборудования до Заказчика осуществляется по дополнительному соглашению сторон и за дополнительную плату.</t>
    </r>
  </si>
  <si>
    <r>
      <t xml:space="preserve">        2.11 </t>
    </r>
    <r>
      <rPr>
        <sz val="8"/>
        <color theme="1"/>
        <rFont val="Times New Roman"/>
        <family val="1"/>
        <charset val="204"/>
      </rPr>
      <t>При выдаче оборудования после проведения работ по  контролю технического состояния, техническому диагностированию, техническому обслуживанию или ремонту  Исполнитель и Заказчик обязаны осуществить сдачу-приемку выдаваемого оборудования, включающую в себя осмотр, , выявление появившихся явных дефектов во внешнем виде, соответствия комплектности переданного оборудования. Свидетельством совершения вышеуказанных действий Исполнителем и Заявителем является составление Акта выполнения работ, который, наравне с другими указанными в настоящем Договоре документами, является неотъемлемой частью настоящего Договора. Вместе с выданным из ремонта оборудованием Исполнитель возвращает Заказчику вышедшие из строя  запасные части.</t>
    </r>
  </si>
  <si>
    <r>
      <t xml:space="preserve">            </t>
    </r>
    <r>
      <rPr>
        <b/>
        <sz val="8"/>
        <color theme="1"/>
        <rFont val="Times New Roman"/>
        <family val="1"/>
        <charset val="204"/>
      </rPr>
      <t>3.3</t>
    </r>
    <r>
      <rPr>
        <sz val="8"/>
        <color theme="1"/>
        <rFont val="Times New Roman"/>
        <family val="1"/>
        <charset val="204"/>
      </rPr>
      <t xml:space="preserve"> Техническое обслуживание оборудования производится Исполнителем в течение 14 дней без учета даты составления Наряд-заказа</t>
    </r>
  </si>
  <si>
    <r>
      <rPr>
        <b/>
        <sz val="8"/>
        <color theme="1"/>
        <rFont val="Times New Roman"/>
        <family val="1"/>
        <charset val="204"/>
      </rPr>
      <t xml:space="preserve">         3.4 </t>
    </r>
    <r>
      <rPr>
        <sz val="8"/>
        <color theme="1"/>
        <rFont val="Times New Roman"/>
        <family val="1"/>
        <charset val="204"/>
      </rPr>
      <t>Приведенные в  п. .3.1-3.3 сроки являются максимальными и могут быть скорректированы Исполнителем в меньшую сторону при наличии производственной возможности.</t>
    </r>
  </si>
  <si>
    <r>
      <rPr>
        <b/>
        <sz val="8"/>
        <color theme="1"/>
        <rFont val="Times New Roman"/>
        <family val="1"/>
        <charset val="204"/>
      </rPr>
      <t xml:space="preserve">         3.5</t>
    </r>
    <r>
      <rPr>
        <sz val="8"/>
        <color theme="1"/>
        <rFont val="Times New Roman"/>
        <family val="1"/>
        <charset val="204"/>
      </rPr>
      <t xml:space="preserve"> Все виды ремонтов оборудования выполняются в следующие сроки : </t>
    </r>
  </si>
  <si>
    <t xml:space="preserve">        а)  при наличии запасных частей на складе Исполнителя -  в течение 20 дней с момента получения согласия Заказчика (см. п. 2.6) на проведение ремонта оборудования.</t>
  </si>
  <si>
    <r>
      <t xml:space="preserve">         </t>
    </r>
    <r>
      <rPr>
        <b/>
        <sz val="8"/>
        <color theme="1"/>
        <rFont val="Times New Roman"/>
        <family val="1"/>
        <charset val="204"/>
      </rPr>
      <t>3.6</t>
    </r>
    <r>
      <rPr>
        <sz val="8"/>
        <color theme="1"/>
        <rFont val="Times New Roman"/>
        <family val="1"/>
        <charset val="204"/>
      </rPr>
      <t xml:space="preserve"> Информация об окончательных сроках проведения работ  доводится до сведения Заказчика в Заключении технических специалистов  Исполнителя.</t>
    </r>
  </si>
  <si>
    <r>
      <t xml:space="preserve">         а)  </t>
    </r>
    <r>
      <rPr>
        <b/>
        <sz val="8"/>
        <color theme="1"/>
        <rFont val="Times New Roman"/>
        <family val="1"/>
        <charset val="204"/>
      </rPr>
      <t>1200</t>
    </r>
    <r>
      <rPr>
        <sz val="8"/>
        <color theme="1"/>
        <rFont val="Times New Roman"/>
        <family val="1"/>
        <charset val="204"/>
      </rPr>
      <t xml:space="preserve"> рублей для техники Karcher бытового назначения (аппараты ВД серии  K, насосы, парогенераторы, пыле-, водососы, серий А, VC, DS, K, MV, SE, SС, SV,WD, FC )</t>
    </r>
  </si>
  <si>
    <t xml:space="preserve">        Стоимость операции по контролю технического состояния  может быть изменена Исполнителем в меньшую сторону с поправочным коэффициентом от 0.9 до 0,5. Окончательная стоимость этой  операции определяется исходя из трудоемкости работ, состояния оборудования, его стоимости. Окончательная стоимость работ  устанавливается в Заключении, подготавливаемом специалистами сервисного центра и фиксируется в  выставляемом для оплаты счете и акте выполненных работ.  </t>
  </si>
  <si>
    <r>
      <t xml:space="preserve">        Стоимость контроля технического состояния аксессуаров (комплектующих изделий)  оборудования бытовой серии Karcher , указанного в п.п а) настоящего пункта (пистолеты, шланги, форсунки, струйные трубки, грязевые фрезы, насадки и т.п.) , передаваемого на сервис без основного оборудования составляет </t>
    </r>
    <r>
      <rPr>
        <b/>
        <sz val="8"/>
        <color theme="1"/>
        <rFont val="Times New Roman"/>
        <family val="1"/>
        <charset val="204"/>
      </rPr>
      <t>100</t>
    </r>
    <r>
      <rPr>
        <sz val="8"/>
        <color theme="1"/>
        <rFont val="Times New Roman"/>
        <family val="1"/>
        <charset val="204"/>
      </rPr>
      <t xml:space="preserve"> рублей за одно изделие.</t>
    </r>
  </si>
  <si>
    <r>
      <t xml:space="preserve">        Стоимость контроля технического состояния аксессуаров (комплектующих изделий)  оборудования профессиональной серии Karcher , указанного в п. п б) и п.п. в) настоящего пункта (пистолеты, шланги, форсунки, струйные трубки, грязевые фрезы, насадки и т.п.) , передаваемого на сервис без основного оборудования составляет </t>
    </r>
    <r>
      <rPr>
        <b/>
        <sz val="8"/>
        <color theme="1"/>
        <rFont val="Times New Roman"/>
        <family val="1"/>
        <charset val="204"/>
      </rPr>
      <t>200</t>
    </r>
    <r>
      <rPr>
        <sz val="8"/>
        <color theme="1"/>
        <rFont val="Times New Roman"/>
        <family val="1"/>
        <charset val="204"/>
      </rPr>
      <t xml:space="preserve"> рублей за одно изделие для аксессуаров стоимостью до 4000,00 рублей и </t>
    </r>
    <r>
      <rPr>
        <b/>
        <sz val="8"/>
        <color theme="1"/>
        <rFont val="Times New Roman"/>
        <family val="1"/>
        <charset val="204"/>
      </rPr>
      <t xml:space="preserve">400 </t>
    </r>
    <r>
      <rPr>
        <sz val="8"/>
        <color theme="1"/>
        <rFont val="Times New Roman"/>
        <family val="1"/>
        <charset val="204"/>
      </rPr>
      <t>рублей</t>
    </r>
    <r>
      <rPr>
        <b/>
        <sz val="8"/>
        <color theme="1"/>
        <rFont val="Times New Roman"/>
        <family val="1"/>
        <charset val="204"/>
      </rPr>
      <t xml:space="preserve"> </t>
    </r>
    <r>
      <rPr>
        <sz val="8"/>
        <color theme="1"/>
        <rFont val="Times New Roman"/>
        <family val="1"/>
        <charset val="204"/>
      </rPr>
      <t>для аксессуаров стоимостью свыше 4000,00 рублей</t>
    </r>
    <r>
      <rPr>
        <b/>
        <sz val="8"/>
        <color theme="1"/>
        <rFont val="Times New Roman"/>
        <family val="1"/>
        <charset val="204"/>
      </rPr>
      <t xml:space="preserve"> </t>
    </r>
  </si>
  <si>
    <r>
      <t xml:space="preserve">         а)  </t>
    </r>
    <r>
      <rPr>
        <b/>
        <sz val="8"/>
        <color theme="1"/>
        <rFont val="Times New Roman"/>
        <family val="1"/>
        <charset val="204"/>
      </rPr>
      <t>1200</t>
    </r>
    <r>
      <rPr>
        <sz val="8"/>
        <color theme="1"/>
        <rFont val="Times New Roman"/>
        <family val="1"/>
        <charset val="204"/>
      </rPr>
      <t xml:space="preserve"> рублей для техники Karcher бытового назначения (аппараты ВД серии  K, насосы, парогенераторы, пыле-, водососы, серий А, VC, DS, K, MV, SE, SС, SV, WD, FC )</t>
    </r>
  </si>
  <si>
    <t xml:space="preserve">        Стоимость технического диагностирования может быть изменена Исполнителем в меньшую сторону с поправочным коэффициентом от 0.9 до 0,5. Окончательная стоимость технического диагностирования определяется исходя из сложности установления причины неисправности, состояния оборудования, его стоимости, временных затрат и устанавливается в Заключении, подготавливаемом специалистами сервисного центра, в дальнейшем  фиксируется в  выставляемом для оплаты счете и акте выполненных работ.  </t>
  </si>
  <si>
    <t xml:space="preserve">Окончательная стоимость работ  устанавливается в Заключении, подготавливаемом специалистами сервисного центра и фиксируется в  выставляемом для оплаты счете и акте выполненных работ.  </t>
  </si>
  <si>
    <t xml:space="preserve">Общей стоимостью ремонтных работ является сумма, состоящая  из: стоимости самой работы (в т.ч. стоимость технического диагностирования ) и стоимости запасных частей и расходных материалов. Окончательная стоимость работ  устанавливается в Заключении, подготавливаемом специалистами сервисного центра и фиксируется в  выставляемом для оплаты счете, товарно-транспортных накладных на  устанавливаемые запчасти  и акте выполненных работ.  </t>
  </si>
  <si>
    <r>
      <t xml:space="preserve">         </t>
    </r>
    <r>
      <rPr>
        <b/>
        <sz val="8"/>
        <color theme="1"/>
        <rFont val="Times New Roman"/>
        <family val="1"/>
        <charset val="204"/>
      </rPr>
      <t xml:space="preserve">4.5  </t>
    </r>
    <r>
      <rPr>
        <sz val="8"/>
        <color theme="1"/>
        <rFont val="Times New Roman"/>
        <family val="1"/>
        <charset val="204"/>
      </rPr>
      <t>Расчет между Исполнителем и Заказчиком осуществляется  по договоренности в наличной или безналичной  форме. При осуществлении наличной формы расчета денежные средства вносятся в кассу Исполнителя, при безналичной форме расчета по выставлению счета на расчетный счет Исполнителя.  Оплата общей стоимости  выполненных работ осуществляется до  момента выдачи Исполнителем оборудования Заказчику, с учетом следующих условий:</t>
    </r>
  </si>
  <si>
    <r>
      <t xml:space="preserve">        4.6 </t>
    </r>
    <r>
      <rPr>
        <sz val="8"/>
        <color theme="1"/>
        <rFont val="Times New Roman"/>
        <family val="1"/>
        <charset val="204"/>
      </rPr>
      <t>При невозможности</t>
    </r>
    <r>
      <rPr>
        <b/>
        <sz val="8"/>
        <color theme="1"/>
        <rFont val="Times New Roman"/>
        <family val="1"/>
        <charset val="204"/>
      </rPr>
      <t xml:space="preserve"> </t>
    </r>
    <r>
      <rPr>
        <sz val="8"/>
        <color theme="1"/>
        <rFont val="Times New Roman"/>
        <family val="1"/>
        <charset val="204"/>
      </rPr>
      <t xml:space="preserve">осуществить ремонт силами Исполнителя оборудование может быть передано для ремонта в авторизованный сервисный центр Karcher в городе Москве ( третье лицо) . Передача техники третьему лицу для ее ремонта  осуществляется силами Исполнителя после получения согласия Заказчика. В этом случае стоимость  и иные условия ремонта  определяются непосредственно третьим лицом и доводятся Исполнителем до сведения Заказчика.  Все расчеты  за произведенный ремонт Заказчик осуществляет с  Исполнителем на основании выставленного третьим лицом счета. Транспортные расходы в размере </t>
    </r>
    <r>
      <rPr>
        <b/>
        <sz val="8"/>
        <color theme="1"/>
        <rFont val="Times New Roman"/>
        <family val="1"/>
        <charset val="204"/>
      </rPr>
      <t>500</t>
    </r>
    <r>
      <rPr>
        <sz val="8"/>
        <color theme="1"/>
        <rFont val="Times New Roman"/>
        <family val="1"/>
        <charset val="204"/>
      </rPr>
      <t xml:space="preserve"> рублей за технику, указанную в п.п  а) п. 4.1; </t>
    </r>
    <r>
      <rPr>
        <b/>
        <sz val="8"/>
        <color theme="1"/>
        <rFont val="Times New Roman"/>
        <family val="1"/>
        <charset val="204"/>
      </rPr>
      <t>700</t>
    </r>
    <r>
      <rPr>
        <sz val="8"/>
        <color theme="1"/>
        <rFont val="Times New Roman"/>
        <family val="1"/>
        <charset val="204"/>
      </rPr>
      <t xml:space="preserve"> рублей за технику, указанную в п.п. б) п. 4.1 и </t>
    </r>
    <r>
      <rPr>
        <b/>
        <sz val="8"/>
        <color theme="1"/>
        <rFont val="Times New Roman"/>
        <family val="1"/>
        <charset val="204"/>
      </rPr>
      <t>1000</t>
    </r>
    <r>
      <rPr>
        <sz val="8"/>
        <color theme="1"/>
        <rFont val="Times New Roman"/>
        <family val="1"/>
        <charset val="204"/>
      </rPr>
      <t xml:space="preserve"> рублей за технику, указанную в п.п. в) п. 4.1 Заказчик оплачивает Исполнителю отдельно на основании выставленного Исполнителем акта выполненных работ. Деньги вносятся в кассу Исполнителя или на его расчетный счет.</t>
    </r>
  </si>
  <si>
    <t xml:space="preserve">        При выявлении недостатков в выполненной работе в течение гарантийного срока  Заказчик вправе предъявить следующие требования:</t>
  </si>
  <si>
    <t>Требования Заказчика о повторном проведении некачественно выполненной работы, подлежит удовлетворению в срок, предусмотренный настоящим Договором о выполнении работы, которая была ненадлежащим образом исполнена.</t>
  </si>
  <si>
    <r>
      <t xml:space="preserve">        6.6 </t>
    </r>
    <r>
      <rPr>
        <sz val="8"/>
        <color theme="1"/>
        <rFont val="Times New Roman"/>
        <family val="1"/>
        <charset val="204"/>
      </rPr>
      <t xml:space="preserve">В случае неявки Заказчика за получением результата выполненной работы в предусмотренные  п. 2.4, п. 2.6,  п. 2.7, п. 2.8 сроки Исполнитель начиная с 11-го дня хранения передает невостребованное оборудование на склад  длительного хранения. При получении оборудования или аксессуаров со склада длительного хранения Заказчик вносит плату за хранение оборудования  в размере 25 рублей за каждый  полный день хранения. Оплата оформляется отдельным платежным документом. </t>
    </r>
  </si>
  <si>
    <r>
      <t xml:space="preserve">        6.7 </t>
    </r>
    <r>
      <rPr>
        <sz val="8"/>
        <color theme="1"/>
        <rFont val="Times New Roman"/>
        <family val="1"/>
        <charset val="204"/>
      </rPr>
      <t>При неявке Заказчика за получением результата работы или иного уклонения Заказчика от  её приёмки, в сроки указанные в  п. 2.4, п. 2.6,  п. 2.7, п. 2.8 Исполнитель по истечении двух месяцев с момента истечения срока бесплатного хранения имеет право продать результат работы за разумную цену, а вырученную сумму за вычетом всех причитающихся Исполнителю платежей (оплата работы и хранения) передать  Заказчику в момент его обращения в сервисный центр. Реализация невостребованного оборудования  будет осуществляться через торговую сеть Исполнителя по следующим ценам:</t>
    </r>
  </si>
  <si>
    <t xml:space="preserve">         В случае отказа от ремонта оборудования или не информировании  Исполнителя о принятом решении по Заключению в трехдневный срок   Заказчик обязан забрать оборудование у Исполнителя в течение 10-ти дней после истечения 3 дневного срока на принятие решения, оплатив стоимость технического диагностирования, в соответствии с настоящим  Договором. </t>
  </si>
  <si>
    <t xml:space="preserve">         В случае получения Исполнителем согласия от Потребителя на ремонт  оборудования, ремонт осуществляется в соответствии с условиями настоящего Договора и его неотъемлемых частей.</t>
  </si>
  <si>
    <r>
      <rPr>
        <b/>
        <sz val="8"/>
        <rFont val="Times New Roman"/>
        <family val="1"/>
        <charset val="204"/>
      </rPr>
      <t xml:space="preserve">        2.6 </t>
    </r>
    <r>
      <rPr>
        <sz val="8"/>
        <rFont val="Times New Roman"/>
        <family val="1"/>
        <charset val="204"/>
      </rPr>
      <t xml:space="preserve">После получения заключения от технических специалистов, Менеджеры Исполнителя сообщают Заказчику об окончании технического диагностирования и передают информацию указанную в Заключении по телефону или электронной почте, в течение одного дня. При отсутствии возможности передать вышеуказанную информацию, Заказчику отсылается SMS сообщение о готовности Заключения.  Заказчик обязан в течение трех дней принять решение о ремонте оборудования на предлагаемых в Заключении условиях или отказаться от ремонта оборудования. Согласие Заказчика на ремонт оборудования может быть получено в письменной форме, путем подписания  Заключения. Согласие на проведение ремонта в письменной форме должно быть получено от Заказчика, если стоимость ремонта составляет более  60% от  стоимости аналогичного нового оборудования, в остальных случаях достаточно получения  согласия Заказчика  в в виде электронного письма на адрес viktoria-avto@yandex.ru или сообщения по факсимильной связи. Подтверждением согласия на выполнение работ на указанных в Заключении условиях является также оплата по выставленному на основании Заключения счету от Исполнителя. </t>
    </r>
  </si>
  <si>
    <t xml:space="preserve">         В случае отказа от ремонта оборудования или не информировании  Исполнителя о принятом решении по Заключению в трехдневный срок   Заказчик обязан забрать оборудование у Исполнителя в течение 10-ти дней после истечения срока на принятие решения, оплатив стоимость технического диагностирования, в соответствии с настоящим  Договором. </t>
  </si>
  <si>
    <t xml:space="preserve">         В случае получения Исполнителем согласия от Заказчика на ремонт  оборудования, ремонт осуществляется в соответствии с условиями настоящего Договора и его неотъемлемых частей.</t>
  </si>
  <si>
    <t>Проверка аппарата при выдаче из ремонта произведена:</t>
  </si>
  <si>
    <t>ДА</t>
  </si>
  <si>
    <t>(подпись)</t>
  </si>
  <si>
    <t xml:space="preserve"> НЕТ</t>
  </si>
  <si>
    <t xml:space="preserve">Цена оборудования Потребителя передаваемого на ремонт  ИП Корнееву устанавливается исходя из процента износа и  цены нового аналогичного  </t>
  </si>
  <si>
    <t xml:space="preserve">оборудования и определяется  в момент приемки оборудования в ремонт. Цена определяется в Наряд-заказе. </t>
  </si>
  <si>
    <r>
      <t xml:space="preserve">         </t>
    </r>
    <r>
      <rPr>
        <b/>
        <sz val="8"/>
        <color theme="1"/>
        <rFont val="Times New Roman"/>
        <family val="1"/>
        <charset val="204"/>
      </rPr>
      <t>2.6</t>
    </r>
    <r>
      <rPr>
        <sz val="8"/>
        <color theme="1"/>
        <rFont val="Times New Roman"/>
        <family val="1"/>
        <charset val="204"/>
      </rPr>
      <t xml:space="preserve"> После получения заключения от технических специалистов, Менеджеры Исполнителя доводят до сведения Потребителя информацию, указанную в Заключении в течение одного дня. При отсутствии возможности передать вышеуказанную информацию, Заказчику отсылается SMS сообщение о готовности Заключения.  Потребитель обязан в течение трех дней принять решение о ремонте оборудования на предлагаемых в Заключении условиях или отказаться от ремонта оборудования. Согласие Потребителя на ремонт оборудования должно быть получено в письменной форме путем подписания Заключения сервисного центра и выдаче Потребителю одного экземпляра Заключения. Получение согласия Потребителя  возможно также в виде письма в электронном виде на адрес viktoria-avto@yandex.ru.</t>
    </r>
  </si>
  <si>
    <r>
      <rPr>
        <b/>
        <sz val="8"/>
        <color theme="1"/>
        <rFont val="Times New Roman"/>
        <family val="1"/>
        <charset val="204"/>
      </rPr>
      <t xml:space="preserve">        3.2 </t>
    </r>
    <r>
      <rPr>
        <sz val="8"/>
        <color theme="1"/>
        <rFont val="Times New Roman"/>
        <family val="1"/>
        <charset val="204"/>
      </rPr>
      <t>Продолжительность технического диагностирования* оборудования указанного в п. п а) п. 4.2 составляет 14 дней с момента составления Наряд-заказа.</t>
    </r>
  </si>
  <si>
    <r>
      <t xml:space="preserve">            </t>
    </r>
    <r>
      <rPr>
        <sz val="8"/>
        <color theme="1"/>
        <rFont val="Times New Roman"/>
        <family val="1"/>
        <charset val="204"/>
      </rPr>
      <t xml:space="preserve">    Продолжительность технического диагностирования оборудования указанного в п.п. б) и в) п .4.2 составляет 30 дней с момента составления Наряд-заказа.</t>
    </r>
  </si>
  <si>
    <r>
      <t xml:space="preserve">           </t>
    </r>
    <r>
      <rPr>
        <b/>
        <sz val="8"/>
        <color theme="1"/>
        <rFont val="Times New Roman"/>
        <family val="1"/>
        <charset val="204"/>
      </rPr>
      <t xml:space="preserve">3.5 </t>
    </r>
    <r>
      <rPr>
        <sz val="8"/>
        <color theme="1"/>
        <rFont val="Times New Roman"/>
        <family val="1"/>
        <charset val="204"/>
      </rPr>
      <t>Все виды ремонтов оборудования выполняется в срок 90 дней с момента составления Наряд-Заказа.</t>
    </r>
  </si>
  <si>
    <r>
      <t xml:space="preserve">         </t>
    </r>
    <r>
      <rPr>
        <b/>
        <sz val="8"/>
        <color theme="1"/>
        <rFont val="Times New Roman"/>
        <family val="1"/>
        <charset val="204"/>
      </rPr>
      <t xml:space="preserve">4.5 </t>
    </r>
    <r>
      <rPr>
        <sz val="8"/>
        <color theme="1"/>
        <rFont val="Times New Roman"/>
        <family val="1"/>
        <charset val="204"/>
      </rPr>
      <t>Расчет между Исполнителем и Потребителем осуществляется в наличной или безналичной форме. При осуществлении расчета денежные средства вносятся в кассу Исполнителя. Оплата общей стоимости  выполненных работ осуществляется до  момента выдачи Исполнителем оборудования Потребителю, с учетом следующих условий:</t>
    </r>
  </si>
  <si>
    <r>
      <t xml:space="preserve">        6.1 </t>
    </r>
    <r>
      <rPr>
        <sz val="8"/>
        <color theme="1"/>
        <rFont val="Times New Roman"/>
        <family val="1"/>
        <charset val="204"/>
      </rPr>
      <t>Потребитель имеет право отказаться от выполнения любой технологической операции из перечня: контроль технического состояния, техническое диагностирование,  техническое обслуживание, на любой стадии  как во время проведения операции так и  после её проведения, оплатив Исполнителю фактически понесенные расходы, связанные с исполнением обязательств по договору.</t>
    </r>
  </si>
  <si>
    <r>
      <t xml:space="preserve">        6.2 </t>
    </r>
    <r>
      <rPr>
        <sz val="8"/>
        <color theme="1"/>
        <rFont val="Times New Roman"/>
        <family val="1"/>
        <charset val="204"/>
      </rPr>
      <t xml:space="preserve">Потребитель имеет право отказаться от выполнения ремонтных работ в любой момент до их начала, оплатив Исполнителю  стоимость технического диагностирования оборудования. </t>
    </r>
  </si>
  <si>
    <r>
      <t xml:space="preserve">        6.3</t>
    </r>
    <r>
      <rPr>
        <sz val="8"/>
        <color theme="1"/>
        <rFont val="Times New Roman"/>
        <family val="1"/>
        <charset val="204"/>
      </rPr>
      <t xml:space="preserve"> Если Исполнитель уже  приступил к выполнению ремонтных  работ, после проведенного технического диагностирования, Потребитель имеет право отказаться от их проведения, выплатив Исполнителю полную стоимость проведенного технического диагностирования , а также оплатив Исполнителю фактически понесенные им расходы ,связанные с исполнением обязательств по договору.</t>
    </r>
  </si>
  <si>
    <r>
      <t>          </t>
    </r>
    <r>
      <rPr>
        <b/>
        <sz val="8"/>
        <color theme="1"/>
        <rFont val="Times New Roman"/>
        <family val="1"/>
        <charset val="204"/>
      </rPr>
      <t>3</t>
    </r>
    <r>
      <rPr>
        <sz val="8"/>
        <color theme="1"/>
        <rFont val="Times New Roman"/>
        <family val="1"/>
        <charset val="204"/>
      </rPr>
      <t>.</t>
    </r>
    <r>
      <rPr>
        <b/>
        <sz val="8"/>
        <color theme="1"/>
        <rFont val="Times New Roman"/>
        <family val="1"/>
        <charset val="204"/>
      </rPr>
      <t>1</t>
    </r>
    <r>
      <rPr>
        <sz val="8"/>
        <color theme="1"/>
        <rFont val="Times New Roman"/>
        <family val="1"/>
        <charset val="204"/>
      </rPr>
      <t xml:space="preserve"> Продолжительность</t>
    </r>
    <r>
      <rPr>
        <b/>
        <sz val="8"/>
        <color theme="1"/>
        <rFont val="Times New Roman"/>
        <family val="1"/>
        <charset val="204"/>
      </rPr>
      <t xml:space="preserve"> к</t>
    </r>
    <r>
      <rPr>
        <sz val="8"/>
        <color theme="1"/>
        <rFont val="Times New Roman"/>
        <family val="1"/>
        <charset val="204"/>
      </rPr>
      <t>онтроля</t>
    </r>
    <r>
      <rPr>
        <b/>
        <sz val="8"/>
        <color theme="1"/>
        <rFont val="Times New Roman"/>
        <family val="1"/>
        <charset val="204"/>
      </rPr>
      <t xml:space="preserve"> </t>
    </r>
    <r>
      <rPr>
        <sz val="8"/>
        <color theme="1"/>
        <rFont val="Times New Roman"/>
        <family val="1"/>
        <charset val="204"/>
      </rPr>
      <t>технического состояния* оборудования  составляет 14 дней  без учета даты составления Наряд-заказа.</t>
    </r>
  </si>
  <si>
    <r>
      <t xml:space="preserve">          </t>
    </r>
    <r>
      <rPr>
        <b/>
        <sz val="8"/>
        <color theme="1"/>
        <rFont val="Times New Roman"/>
        <family val="1"/>
        <charset val="204"/>
      </rPr>
      <t>2.7</t>
    </r>
    <r>
      <rPr>
        <sz val="8"/>
        <color theme="1"/>
        <rFont val="Times New Roman"/>
        <family val="1"/>
        <charset val="204"/>
      </rPr>
      <t xml:space="preserve"> Если при проведении ремонтных работ Исполнителем выявлены скрытые  дефекты оборудования, не заявленные Потребителем при обращении и не выявленные при проведении первоначального технического диагностирования,  Исполнителем составляется дополнительное Заключение, содержащее информацию, предусмотренную  п. 2.5. При этом дальнейшие работы Исполнитель проводит только при получении дополнительного согласия Потребителя на их проведение и оплату, полученное в соответствии с п. 2.6. В этом случае сроки работ могут корректироваться по обоюдному согласию сторон, исходя из условий п. 3.5. Исполнитель обязан довести информацию, содержащуюся в дополнительном Заключении, до Потребителя в течение 2-ух дней с момента составления  дополнительного Заключения. При отказе Потребителя от  работ, проведение которых предусматривается  дополнительным Заключением, Потребитель обязан забрать оборудование у Исполнителя в течение 10- ти дней после получения SMS-уведомления,  оплатив стоимость первоначального технического диагностирования ,  а также оплатив часть установленной цены, пропорциональную части выполненной работы.</t>
    </r>
  </si>
  <si>
    <r>
      <t xml:space="preserve">         2.8 </t>
    </r>
    <r>
      <rPr>
        <sz val="8"/>
        <color theme="1"/>
        <rFont val="Times New Roman"/>
        <family val="1"/>
        <charset val="204"/>
      </rPr>
      <t>О завершении ремонтных работ Потребителя информируют менеджеры Исполнителя отправкой SMS – сообщения по телефону указанному Потребителем в наряд-заказе.  Потребитель обязан забрать готовое оборудование в течение 10-ти дней после получения SMS-уведомления,  оплатив стоимость  работ , в соответствии с настоящим Договором</t>
    </r>
    <r>
      <rPr>
        <b/>
        <sz val="8"/>
        <color theme="1"/>
        <rFont val="Times New Roman"/>
        <family val="1"/>
        <charset val="204"/>
      </rPr>
      <t xml:space="preserve">. </t>
    </r>
  </si>
  <si>
    <r>
      <t xml:space="preserve">        в) </t>
    </r>
    <r>
      <rPr>
        <b/>
        <sz val="8"/>
        <color theme="1"/>
        <rFont val="Times New Roman"/>
        <family val="1"/>
        <charset val="204"/>
      </rPr>
      <t>2000</t>
    </r>
    <r>
      <rPr>
        <sz val="8"/>
        <color theme="1"/>
        <rFont val="Times New Roman"/>
        <family val="1"/>
        <charset val="204"/>
      </rPr>
      <t xml:space="preserve"> рублей для техники  Karcher профессионального назначения  (аппараты ВД с нагревом воды серии HDS, автономные аппраты ВД, аппараты  Puzzi серии 300, 400, поломойные машины серии BR, BD, подметальные машины KM серия 75 и выше)
Стоимость операции по контролю технического состояния  может быть изменена Исполнителем в меньшую сторону с поправочным коэффициентом от 0.9 до 0,5. Окончательная стоимость этой  операции определяется исходя из трудоемкости работ, состояния оборудования, его стоимости.</t>
    </r>
  </si>
  <si>
    <r>
      <t xml:space="preserve">        в) </t>
    </r>
    <r>
      <rPr>
        <b/>
        <sz val="8"/>
        <color theme="1"/>
        <rFont val="Times New Roman"/>
        <family val="1"/>
        <charset val="204"/>
      </rPr>
      <t>4000</t>
    </r>
    <r>
      <rPr>
        <sz val="8"/>
        <color theme="1"/>
        <rFont val="Times New Roman"/>
        <family val="1"/>
        <charset val="204"/>
      </rPr>
      <t xml:space="preserve"> рублей для техники  Karcher профессионального назначения  (аппараты ВД с нагревом воды серии HDS, автономные аппраты ВД, аппараты Puzzi серии 300, 400, поломойные машины серии BR, BD, подметальные машины KM серия 75 и выше)
Стоимость технического диагностирования может быть изменена Исполнителем в меньшую сторону с поправочным коэффициентом от 0.9 до 0,5. Окончательная стоимость технического диагностирования определяется исходя из сложности установления причины неисправности, состояния оборудования, его стоимости, временных затрат.
</t>
    </r>
  </si>
  <si>
    <r>
      <t xml:space="preserve">        6.9</t>
    </r>
    <r>
      <rPr>
        <sz val="8"/>
        <color theme="1"/>
        <rFont val="Times New Roman"/>
        <family val="1"/>
        <charset val="204"/>
      </rPr>
      <t xml:space="preserve"> Стороны имеют права, осуществляют обязанности и несут ответственность , не предусмотренные в настоящем Договоре в соответствии с гражданским законодательством РФ.</t>
    </r>
  </si>
  <si>
    <t>Памятка о сроках проведения технического диагностирования и ремонта.</t>
  </si>
  <si>
    <t xml:space="preserve">        В соответствии с правилами оказания услуг по ремонту техники Karcher:</t>
  </si>
  <si>
    <t>        Продолжительность технического диагностирования бытового оборудования (серии: А, VC, DS, K, MV, SE, SС, SI, SV,WD, FC, WV, SP, SDP, SCP, BP и другие) составляет 14 дней без учета даты составления Наряд-заказа</t>
  </si>
  <si>
    <t>        Продолжительность технического диагностирования профессионального оборудования (серии: HD, HDS, NT, T, CV, B, BD, BDP, BDS, AB, BR, KM, PUZZI и другие) составляет 30 дней без учета даты составления Наряд-заказа.</t>
  </si>
  <si>
    <t xml:space="preserve">         Приведенные сроки являются максимальными и могут быть скорректированы Исполнителем в меньшую сторону при наличии производственной возможности.</t>
  </si>
  <si>
    <t xml:space="preserve">         Все виды ремонтов оборудования выполняются в следующие сроки : </t>
  </si>
</sst>
</file>

<file path=xl/styles.xml><?xml version="1.0" encoding="utf-8"?>
<styleSheet xmlns="http://schemas.openxmlformats.org/spreadsheetml/2006/main">
  <numFmts count="2">
    <numFmt numFmtId="164" formatCode="[$-F800]dddd\,\ mmmm\ dd\,\ yyyy"/>
    <numFmt numFmtId="165" formatCode="dd/mm/yy;@"/>
  </numFmts>
  <fonts count="25">
    <font>
      <sz val="11"/>
      <color theme="1"/>
      <name val="Calibri"/>
      <family val="2"/>
      <charset val="204"/>
      <scheme val="minor"/>
    </font>
    <font>
      <sz val="12"/>
      <color theme="1"/>
      <name val="Times New Roman"/>
      <family val="1"/>
      <charset val="204"/>
    </font>
    <font>
      <b/>
      <i/>
      <sz val="10"/>
      <color theme="1"/>
      <name val="Times New Roman"/>
      <family val="1"/>
      <charset val="204"/>
    </font>
    <font>
      <b/>
      <sz val="8"/>
      <color theme="1"/>
      <name val="Times New Roman"/>
      <family val="1"/>
      <charset val="204"/>
    </font>
    <font>
      <sz val="8"/>
      <color theme="1"/>
      <name val="Times New Roman"/>
      <family val="1"/>
      <charset val="204"/>
    </font>
    <font>
      <b/>
      <sz val="7"/>
      <color theme="1"/>
      <name val="Times New Roman"/>
      <family val="1"/>
      <charset val="204"/>
    </font>
    <font>
      <sz val="7"/>
      <color theme="1"/>
      <name val="Times New Roman"/>
      <family val="1"/>
      <charset val="204"/>
    </font>
    <font>
      <u/>
      <sz val="11"/>
      <color theme="10"/>
      <name val="Calibri"/>
      <family val="2"/>
      <charset val="204"/>
    </font>
    <font>
      <sz val="9"/>
      <color theme="1"/>
      <name val="Times New Roman"/>
      <family val="1"/>
      <charset val="204"/>
    </font>
    <font>
      <sz val="8"/>
      <name val="Times New Roman"/>
      <family val="1"/>
      <charset val="204"/>
    </font>
    <font>
      <b/>
      <sz val="8"/>
      <name val="Times New Roman"/>
      <family val="1"/>
      <charset val="204"/>
    </font>
    <font>
      <sz val="10"/>
      <color theme="1"/>
      <name val="Times New Roman"/>
      <family val="1"/>
      <charset val="204"/>
    </font>
    <font>
      <sz val="11"/>
      <color theme="1"/>
      <name val="Calibri"/>
      <family val="2"/>
      <charset val="204"/>
      <scheme val="minor"/>
    </font>
    <font>
      <b/>
      <sz val="18"/>
      <color theme="1"/>
      <name val="Calibri"/>
      <family val="2"/>
      <charset val="204"/>
      <scheme val="minor"/>
    </font>
    <font>
      <sz val="16"/>
      <color theme="1"/>
      <name val="Calibri"/>
      <family val="2"/>
      <charset val="204"/>
      <scheme val="minor"/>
    </font>
    <font>
      <b/>
      <i/>
      <sz val="16"/>
      <color theme="1"/>
      <name val="Calibri"/>
      <family val="2"/>
      <charset val="204"/>
      <scheme val="minor"/>
    </font>
    <font>
      <sz val="9"/>
      <color theme="1"/>
      <name val="Calibri"/>
      <family val="2"/>
      <charset val="204"/>
      <scheme val="minor"/>
    </font>
    <font>
      <sz val="14"/>
      <color theme="1"/>
      <name val="Calibri"/>
      <family val="2"/>
      <charset val="204"/>
      <scheme val="minor"/>
    </font>
    <font>
      <sz val="14"/>
      <color rgb="FF000000"/>
      <name val="Calibri"/>
      <family val="2"/>
      <charset val="204"/>
      <scheme val="minor"/>
    </font>
    <font>
      <b/>
      <sz val="14"/>
      <color theme="1"/>
      <name val="Calibri"/>
      <family val="2"/>
      <charset val="204"/>
      <scheme val="minor"/>
    </font>
    <font>
      <sz val="14"/>
      <color rgb="FF0F8406"/>
      <name val="Calibri"/>
      <family val="2"/>
      <charset val="204"/>
      <scheme val="minor"/>
    </font>
    <font>
      <b/>
      <i/>
      <sz val="14"/>
      <color theme="1"/>
      <name val="Calibri"/>
      <family val="2"/>
      <charset val="204"/>
      <scheme val="minor"/>
    </font>
    <font>
      <b/>
      <sz val="16"/>
      <color rgb="FF000000"/>
      <name val="Calibri"/>
      <family val="2"/>
      <charset val="204"/>
      <scheme val="minor"/>
    </font>
    <font>
      <sz val="16"/>
      <color theme="1"/>
      <name val="Times New Roman"/>
      <family val="1"/>
      <charset val="204"/>
    </font>
    <font>
      <sz val="11"/>
      <color theme="1"/>
      <name val="Times New Roman"/>
      <family val="1"/>
      <charset val="204"/>
    </font>
  </fonts>
  <fills count="10">
    <fill>
      <patternFill patternType="none"/>
    </fill>
    <fill>
      <patternFill patternType="gray125"/>
    </fill>
    <fill>
      <patternFill patternType="solid">
        <fgColor theme="7" tint="0.79998168889431442"/>
        <bgColor indexed="65"/>
      </patternFill>
    </fill>
    <fill>
      <patternFill patternType="solid">
        <fgColor theme="8" tint="0.79998168889431442"/>
        <bgColor indexed="65"/>
      </patternFill>
    </fill>
    <fill>
      <patternFill patternType="solid">
        <fgColor rgb="FF00B0F0"/>
        <bgColor indexed="64"/>
      </patternFill>
    </fill>
    <fill>
      <patternFill patternType="solid">
        <fgColor rgb="FFFF0000"/>
        <bgColor indexed="64"/>
      </patternFill>
    </fill>
    <fill>
      <patternFill patternType="solid">
        <fgColor rgb="FFFFD9D9"/>
        <bgColor indexed="64"/>
      </patternFill>
    </fill>
    <fill>
      <patternFill patternType="solid">
        <fgColor theme="4" tint="0.59999389629810485"/>
        <bgColor indexed="64"/>
      </patternFill>
    </fill>
    <fill>
      <patternFill patternType="solid">
        <fgColor rgb="FFFFFF00"/>
        <bgColor indexed="64"/>
      </patternFill>
    </fill>
    <fill>
      <patternFill patternType="solid">
        <fgColor theme="0" tint="-0.14999847407452621"/>
        <bgColor indexed="64"/>
      </patternFill>
    </fill>
  </fills>
  <borders count="21">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4">
    <xf numFmtId="0" fontId="0" fillId="0" borderId="0"/>
    <xf numFmtId="0" fontId="7" fillId="0" borderId="0" applyNumberFormat="0" applyFill="0" applyBorder="0" applyAlignment="0" applyProtection="0">
      <alignment vertical="top"/>
      <protection locked="0"/>
    </xf>
    <xf numFmtId="0" fontId="12" fillId="2" borderId="0" applyNumberFormat="0" applyBorder="0" applyAlignment="0" applyProtection="0"/>
    <xf numFmtId="0" fontId="12" fillId="3" borderId="0" applyNumberFormat="0" applyBorder="0" applyAlignment="0" applyProtection="0"/>
  </cellStyleXfs>
  <cellXfs count="111">
    <xf numFmtId="0" fontId="0" fillId="0" borderId="0" xfId="0"/>
    <xf numFmtId="0" fontId="2" fillId="0" borderId="0" xfId="0" applyFont="1"/>
    <xf numFmtId="0" fontId="3" fillId="0" borderId="0" xfId="0" applyFont="1"/>
    <xf numFmtId="0" fontId="4" fillId="0" borderId="0" xfId="0" applyFont="1"/>
    <xf numFmtId="0" fontId="4" fillId="0" borderId="0" xfId="0" applyFont="1" applyAlignment="1">
      <alignment horizontal="left"/>
    </xf>
    <xf numFmtId="3" fontId="4" fillId="0" borderId="0" xfId="0" applyNumberFormat="1" applyFont="1" applyAlignment="1"/>
    <xf numFmtId="0" fontId="4" fillId="0" borderId="0" xfId="0" applyFont="1" applyAlignment="1">
      <alignment horizontal="right"/>
    </xf>
    <xf numFmtId="49" fontId="4" fillId="0" borderId="0" xfId="0" applyNumberFormat="1" applyFont="1" applyAlignment="1"/>
    <xf numFmtId="0" fontId="4" fillId="0" borderId="0" xfId="0" applyFont="1" applyAlignment="1">
      <alignment wrapText="1"/>
    </xf>
    <xf numFmtId="0" fontId="3" fillId="0" borderId="0" xfId="0" applyFont="1" applyAlignment="1">
      <alignment wrapText="1"/>
    </xf>
    <xf numFmtId="0" fontId="3" fillId="0" borderId="0" xfId="0" applyFont="1" applyAlignment="1"/>
    <xf numFmtId="0" fontId="3" fillId="0" borderId="0" xfId="0" applyFont="1" applyAlignment="1">
      <alignment horizontal="left"/>
    </xf>
    <xf numFmtId="0" fontId="1" fillId="0" borderId="0" xfId="0" applyFont="1" applyAlignment="1"/>
    <xf numFmtId="0" fontId="4" fillId="0" borderId="0" xfId="0" applyFont="1" applyAlignment="1"/>
    <xf numFmtId="0" fontId="4" fillId="0" borderId="1" xfId="0" applyFont="1" applyBorder="1" applyAlignment="1"/>
    <xf numFmtId="0" fontId="4" fillId="0" borderId="0" xfId="0" applyFont="1" applyAlignment="1">
      <alignment horizontal="left" wrapText="1"/>
    </xf>
    <xf numFmtId="14" fontId="4" fillId="0" borderId="0" xfId="0" applyNumberFormat="1" applyFont="1" applyAlignment="1"/>
    <xf numFmtId="0" fontId="4" fillId="0" borderId="0" xfId="0" applyFont="1" applyAlignment="1">
      <alignment vertical="distributed"/>
    </xf>
    <xf numFmtId="0" fontId="8" fillId="0" borderId="0" xfId="0" applyFont="1"/>
    <xf numFmtId="0" fontId="0" fillId="0" borderId="1" xfId="0" applyBorder="1"/>
    <xf numFmtId="0" fontId="0" fillId="0" borderId="0" xfId="0" applyAlignment="1">
      <alignment horizontal="center"/>
    </xf>
    <xf numFmtId="0" fontId="0" fillId="0" borderId="2" xfId="0" applyBorder="1"/>
    <xf numFmtId="0" fontId="0" fillId="0" borderId="0" xfId="0" applyAlignment="1"/>
    <xf numFmtId="0" fontId="14" fillId="0" borderId="0" xfId="0" applyFont="1" applyBorder="1" applyAlignment="1">
      <alignment horizontal="left" wrapText="1"/>
    </xf>
    <xf numFmtId="0" fontId="0" fillId="0" borderId="0" xfId="0" applyBorder="1" applyAlignment="1">
      <alignment horizontal="left"/>
    </xf>
    <xf numFmtId="0" fontId="15" fillId="0" borderId="6" xfId="0" applyFont="1" applyBorder="1" applyAlignment="1">
      <alignment horizontal="left" vertical="center"/>
    </xf>
    <xf numFmtId="0" fontId="15" fillId="3" borderId="6" xfId="3" applyFont="1" applyBorder="1" applyAlignment="1">
      <alignment horizontal="left" vertical="center"/>
    </xf>
    <xf numFmtId="0" fontId="15" fillId="0" borderId="8" xfId="0" applyFont="1" applyBorder="1" applyAlignment="1">
      <alignment horizontal="left" vertical="center"/>
    </xf>
    <xf numFmtId="0" fontId="15" fillId="0" borderId="6" xfId="0" applyFont="1" applyBorder="1" applyAlignment="1">
      <alignment horizontal="left" vertical="center" wrapText="1"/>
    </xf>
    <xf numFmtId="0" fontId="15" fillId="6" borderId="6" xfId="2" applyFont="1" applyFill="1" applyBorder="1" applyAlignment="1">
      <alignment horizontal="left" vertical="center"/>
    </xf>
    <xf numFmtId="0" fontId="15" fillId="6" borderId="8" xfId="2" applyFont="1" applyFill="1" applyBorder="1" applyAlignment="1">
      <alignment horizontal="left" vertical="center" wrapText="1"/>
    </xf>
    <xf numFmtId="0" fontId="11" fillId="0" borderId="1" xfId="0" applyFont="1" applyBorder="1" applyAlignment="1"/>
    <xf numFmtId="0" fontId="3" fillId="0" borderId="0" xfId="0" applyFont="1" applyAlignment="1">
      <alignment vertical="top"/>
    </xf>
    <xf numFmtId="0" fontId="0" fillId="0" borderId="0" xfId="0" applyAlignment="1">
      <alignment vertical="top"/>
    </xf>
    <xf numFmtId="0" fontId="0" fillId="0" borderId="2" xfId="0" applyBorder="1" applyAlignment="1">
      <alignment horizontal="right"/>
    </xf>
    <xf numFmtId="0" fontId="0" fillId="0" borderId="0" xfId="0" applyAlignment="1">
      <alignment horizontal="right"/>
    </xf>
    <xf numFmtId="0" fontId="0" fillId="0" borderId="10" xfId="0" applyBorder="1"/>
    <xf numFmtId="0" fontId="0" fillId="0" borderId="0" xfId="0" applyBorder="1" applyAlignment="1"/>
    <xf numFmtId="0" fontId="0" fillId="0" borderId="0" xfId="0" applyBorder="1"/>
    <xf numFmtId="0" fontId="0" fillId="7" borderId="10" xfId="0" applyFill="1" applyBorder="1" applyAlignment="1">
      <alignment horizontal="center"/>
    </xf>
    <xf numFmtId="0" fontId="4" fillId="0" borderId="3" xfId="0" applyFont="1" applyBorder="1" applyAlignment="1"/>
    <xf numFmtId="0" fontId="17" fillId="0" borderId="7" xfId="0" applyFont="1" applyBorder="1" applyAlignment="1" applyProtection="1">
      <alignment horizontal="left" vertical="center" wrapText="1"/>
      <protection locked="0"/>
    </xf>
    <xf numFmtId="49" fontId="17" fillId="0" borderId="7" xfId="0" applyNumberFormat="1" applyFont="1" applyBorder="1" applyAlignment="1" applyProtection="1">
      <alignment horizontal="left" vertical="center" wrapText="1"/>
      <protection locked="0"/>
    </xf>
    <xf numFmtId="0" fontId="17" fillId="6" borderId="7" xfId="2" applyFont="1" applyFill="1" applyBorder="1" applyAlignment="1" applyProtection="1">
      <alignment horizontal="left" vertical="center" wrapText="1"/>
      <protection locked="0"/>
    </xf>
    <xf numFmtId="0" fontId="0" fillId="4" borderId="20" xfId="0" applyFill="1" applyBorder="1" applyAlignment="1"/>
    <xf numFmtId="0" fontId="0" fillId="5" borderId="20" xfId="0" applyFill="1" applyBorder="1" applyAlignment="1"/>
    <xf numFmtId="0" fontId="1" fillId="0" borderId="1" xfId="0" applyFont="1" applyBorder="1" applyAlignment="1"/>
    <xf numFmtId="49" fontId="17" fillId="6" borderId="9" xfId="2" applyNumberFormat="1" applyFont="1" applyFill="1" applyBorder="1" applyAlignment="1" applyProtection="1">
      <alignment horizontal="left" vertical="center" wrapText="1"/>
      <protection locked="0"/>
    </xf>
    <xf numFmtId="49" fontId="17" fillId="3" borderId="7" xfId="3" applyNumberFormat="1" applyFont="1" applyBorder="1" applyAlignment="1" applyProtection="1">
      <alignment horizontal="left" vertical="center" wrapText="1"/>
      <protection locked="0"/>
    </xf>
    <xf numFmtId="49" fontId="17" fillId="0" borderId="9" xfId="0" applyNumberFormat="1" applyFont="1" applyBorder="1" applyAlignment="1" applyProtection="1">
      <alignment horizontal="left" vertical="center" wrapText="1"/>
      <protection locked="0"/>
    </xf>
    <xf numFmtId="0" fontId="18" fillId="0" borderId="7" xfId="0" applyFont="1" applyBorder="1" applyAlignment="1" applyProtection="1">
      <alignment horizontal="left" vertical="center" wrapText="1"/>
      <protection locked="0"/>
    </xf>
    <xf numFmtId="0" fontId="0" fillId="0" borderId="20" xfId="0" applyBorder="1"/>
    <xf numFmtId="0" fontId="1" fillId="0" borderId="0" xfId="0" applyFont="1" applyAlignment="1">
      <alignment horizontal="left"/>
    </xf>
    <xf numFmtId="0" fontId="4" fillId="0" borderId="3" xfId="0" applyFont="1" applyBorder="1" applyAlignment="1">
      <alignment horizontal="center" vertical="top"/>
    </xf>
    <xf numFmtId="0" fontId="4" fillId="0" borderId="0" xfId="0" applyFont="1" applyAlignment="1">
      <alignment horizontal="center"/>
    </xf>
    <xf numFmtId="0" fontId="24" fillId="0" borderId="0" xfId="0" applyFont="1"/>
    <xf numFmtId="0" fontId="24" fillId="0" borderId="0" xfId="0" applyFont="1" applyAlignment="1">
      <alignment horizontal="justify"/>
    </xf>
    <xf numFmtId="0" fontId="24" fillId="0" borderId="0" xfId="0" applyFont="1" applyAlignment="1">
      <alignment horizontal="left"/>
    </xf>
    <xf numFmtId="0" fontId="17" fillId="9" borderId="14" xfId="0" applyFont="1" applyFill="1" applyBorder="1" applyAlignment="1">
      <alignment horizontal="center" vertical="center" wrapText="1"/>
    </xf>
    <xf numFmtId="0" fontId="17" fillId="9" borderId="3" xfId="0" applyFont="1" applyFill="1" applyBorder="1" applyAlignment="1">
      <alignment horizontal="center" vertical="center" wrapText="1"/>
    </xf>
    <xf numFmtId="0" fontId="17" fillId="9" borderId="15" xfId="0" applyFont="1" applyFill="1" applyBorder="1" applyAlignment="1">
      <alignment horizontal="center" vertical="center" wrapText="1"/>
    </xf>
    <xf numFmtId="0" fontId="17" fillId="9" borderId="13" xfId="0" applyFont="1" applyFill="1" applyBorder="1" applyAlignment="1">
      <alignment horizontal="center" vertical="center" wrapText="1"/>
    </xf>
    <xf numFmtId="0" fontId="17" fillId="9" borderId="0" xfId="0" applyFont="1" applyFill="1" applyBorder="1" applyAlignment="1">
      <alignment horizontal="center" vertical="center" wrapText="1"/>
    </xf>
    <xf numFmtId="0" fontId="17" fillId="9" borderId="16" xfId="0" applyFont="1" applyFill="1" applyBorder="1" applyAlignment="1">
      <alignment horizontal="center" vertical="center" wrapText="1"/>
    </xf>
    <xf numFmtId="0" fontId="17" fillId="9" borderId="17" xfId="0" applyFont="1" applyFill="1" applyBorder="1" applyAlignment="1">
      <alignment horizontal="center" vertical="center" wrapText="1"/>
    </xf>
    <xf numFmtId="0" fontId="17" fillId="9" borderId="1" xfId="0" applyFont="1" applyFill="1" applyBorder="1" applyAlignment="1">
      <alignment horizontal="center" vertical="center" wrapText="1"/>
    </xf>
    <xf numFmtId="0" fontId="17" fillId="9" borderId="18" xfId="0" applyFont="1" applyFill="1" applyBorder="1" applyAlignment="1">
      <alignment horizontal="center" vertical="center" wrapText="1"/>
    </xf>
    <xf numFmtId="0" fontId="13" fillId="4" borderId="4" xfId="0" applyFont="1" applyFill="1" applyBorder="1" applyAlignment="1">
      <alignment horizontal="center" vertical="center"/>
    </xf>
    <xf numFmtId="0" fontId="13" fillId="4" borderId="19" xfId="0" applyFont="1" applyFill="1" applyBorder="1" applyAlignment="1">
      <alignment horizontal="center" vertical="center"/>
    </xf>
    <xf numFmtId="0" fontId="13" fillId="5" borderId="4" xfId="0" applyFont="1" applyFill="1" applyBorder="1" applyAlignment="1">
      <alignment horizontal="center" vertical="center"/>
    </xf>
    <xf numFmtId="0" fontId="13" fillId="5" borderId="5" xfId="0" applyFont="1" applyFill="1" applyBorder="1" applyAlignment="1">
      <alignment horizontal="center" vertical="center"/>
    </xf>
    <xf numFmtId="0" fontId="16" fillId="8" borderId="11" xfId="0" applyFont="1" applyFill="1" applyBorder="1" applyAlignment="1">
      <alignment horizontal="center" vertical="center" wrapText="1"/>
    </xf>
    <xf numFmtId="0" fontId="16" fillId="8" borderId="12" xfId="0" applyFont="1" applyFill="1" applyBorder="1" applyAlignment="1">
      <alignment horizontal="center" vertical="center" wrapText="1"/>
    </xf>
    <xf numFmtId="0" fontId="3" fillId="0" borderId="0" xfId="0" applyFont="1" applyAlignment="1">
      <alignment horizontal="justify" vertical="distributed"/>
    </xf>
    <xf numFmtId="0" fontId="4" fillId="0" borderId="1" xfId="0" applyFont="1" applyBorder="1" applyAlignment="1">
      <alignment horizontal="center"/>
    </xf>
    <xf numFmtId="0" fontId="4" fillId="0" borderId="0" xfId="0" applyFont="1" applyAlignment="1">
      <alignment horizontal="left" vertical="distributed" wrapText="1"/>
    </xf>
    <xf numFmtId="0" fontId="4" fillId="0" borderId="0" xfId="0" applyFont="1" applyAlignment="1">
      <alignment horizontal="left" vertical="distributed"/>
    </xf>
    <xf numFmtId="0" fontId="4" fillId="0" borderId="1" xfId="0" applyFont="1" applyBorder="1" applyAlignment="1">
      <alignment horizontal="left"/>
    </xf>
    <xf numFmtId="0" fontId="3" fillId="0" borderId="0" xfId="0" applyFont="1" applyAlignment="1">
      <alignment horizontal="justify" vertical="distributed" wrapText="1"/>
    </xf>
    <xf numFmtId="0" fontId="4" fillId="0" borderId="0" xfId="0" applyFont="1" applyAlignment="1">
      <alignment horizontal="justify" vertical="distributed" wrapText="1"/>
    </xf>
    <xf numFmtId="0" fontId="3" fillId="0" borderId="0" xfId="0" applyFont="1" applyAlignment="1">
      <alignment horizontal="center" vertical="distributed"/>
    </xf>
    <xf numFmtId="0" fontId="4" fillId="0" borderId="0" xfId="0" applyFont="1" applyAlignment="1">
      <alignment horizontal="justify" vertical="distributed"/>
    </xf>
    <xf numFmtId="0" fontId="6" fillId="0" borderId="0" xfId="0" applyFont="1" applyAlignment="1">
      <alignment horizontal="justify" vertical="distributed" wrapText="1"/>
    </xf>
    <xf numFmtId="164" fontId="4" fillId="0" borderId="0" xfId="0" applyNumberFormat="1" applyFont="1" applyBorder="1" applyAlignment="1">
      <alignment horizontal="right"/>
    </xf>
    <xf numFmtId="0" fontId="4" fillId="0" borderId="0" xfId="0" applyFont="1" applyAlignment="1">
      <alignment horizontal="justify" wrapText="1"/>
    </xf>
    <xf numFmtId="0" fontId="4" fillId="0" borderId="0" xfId="0" applyFont="1" applyAlignment="1">
      <alignment horizontal="left" wrapText="1"/>
    </xf>
    <xf numFmtId="0" fontId="4" fillId="0" borderId="1" xfId="0" applyNumberFormat="1" applyFont="1" applyBorder="1" applyAlignment="1">
      <alignment horizontal="center"/>
    </xf>
    <xf numFmtId="165" fontId="4" fillId="0" borderId="1" xfId="0" applyNumberFormat="1" applyFont="1" applyBorder="1" applyAlignment="1">
      <alignment horizontal="center"/>
    </xf>
    <xf numFmtId="0" fontId="4" fillId="0" borderId="2" xfId="0" applyFont="1" applyBorder="1" applyAlignment="1">
      <alignment horizontal="left"/>
    </xf>
    <xf numFmtId="0" fontId="3" fillId="0" borderId="0" xfId="0" applyFont="1" applyAlignment="1">
      <alignment horizontal="center"/>
    </xf>
    <xf numFmtId="0" fontId="3" fillId="0" borderId="0" xfId="0" applyFont="1" applyAlignment="1">
      <alignment horizontal="left"/>
    </xf>
    <xf numFmtId="0" fontId="4" fillId="0" borderId="2" xfId="0" applyFont="1" applyBorder="1" applyAlignment="1">
      <alignment horizontal="center"/>
    </xf>
    <xf numFmtId="0" fontId="4" fillId="0" borderId="2" xfId="0" applyFont="1" applyBorder="1" applyAlignment="1">
      <alignment horizontal="left" wrapText="1"/>
    </xf>
    <xf numFmtId="14" fontId="4" fillId="0" borderId="2" xfId="0" applyNumberFormat="1" applyFont="1" applyBorder="1" applyAlignment="1">
      <alignment horizontal="left"/>
    </xf>
    <xf numFmtId="3" fontId="4" fillId="0" borderId="2" xfId="0" applyNumberFormat="1" applyFont="1" applyBorder="1" applyAlignment="1">
      <alignment horizontal="center"/>
    </xf>
    <xf numFmtId="0" fontId="3" fillId="0" borderId="0" xfId="0" applyFont="1" applyAlignment="1">
      <alignment horizontal="center" vertical="distributed" wrapText="1"/>
    </xf>
    <xf numFmtId="164" fontId="4" fillId="0" borderId="1" xfId="0" applyNumberFormat="1" applyFont="1" applyBorder="1" applyAlignment="1">
      <alignment horizontal="center"/>
    </xf>
    <xf numFmtId="0" fontId="3" fillId="0" borderId="0" xfId="0" applyFont="1" applyAlignment="1">
      <alignment horizontal="center" wrapText="1"/>
    </xf>
    <xf numFmtId="0" fontId="3" fillId="0" borderId="0" xfId="0" applyFont="1" applyAlignment="1">
      <alignment horizontal="left" wrapText="1"/>
    </xf>
    <xf numFmtId="0" fontId="3" fillId="0" borderId="0" xfId="0" applyFont="1" applyAlignment="1">
      <alignment horizontal="justify" wrapText="1"/>
    </xf>
    <xf numFmtId="0" fontId="4" fillId="0" borderId="0" xfId="0" applyFont="1" applyAlignment="1">
      <alignment horizontal="justify"/>
    </xf>
    <xf numFmtId="0" fontId="3" fillId="0" borderId="0" xfId="0" applyFont="1" applyAlignment="1">
      <alignment horizontal="justify"/>
    </xf>
    <xf numFmtId="0" fontId="6" fillId="0" borderId="0" xfId="0" applyFont="1" applyAlignment="1">
      <alignment horizontal="justify" wrapText="1"/>
    </xf>
    <xf numFmtId="0" fontId="6" fillId="0" borderId="0" xfId="0" applyFont="1" applyAlignment="1">
      <alignment horizontal="justify"/>
    </xf>
    <xf numFmtId="0" fontId="0" fillId="0" borderId="3" xfId="0" applyBorder="1" applyAlignment="1">
      <alignment horizontal="center"/>
    </xf>
    <xf numFmtId="0" fontId="4" fillId="0" borderId="0" xfId="0" applyFont="1" applyAlignment="1">
      <alignment horizontal="center"/>
    </xf>
    <xf numFmtId="0" fontId="4" fillId="0" borderId="0" xfId="0" applyFont="1" applyAlignment="1">
      <alignment horizontal="center" wrapText="1"/>
    </xf>
    <xf numFmtId="0" fontId="9" fillId="0" borderId="0" xfId="1" applyFont="1" applyAlignment="1" applyProtection="1">
      <alignment horizontal="justify" wrapText="1"/>
    </xf>
    <xf numFmtId="0" fontId="24" fillId="0" borderId="0" xfId="0" applyFont="1" applyAlignment="1">
      <alignment horizontal="justify" wrapText="1"/>
    </xf>
    <xf numFmtId="0" fontId="23" fillId="0" borderId="0" xfId="0" applyFont="1" applyAlignment="1">
      <alignment horizontal="center" wrapText="1"/>
    </xf>
    <xf numFmtId="0" fontId="24" fillId="0" borderId="0" xfId="0" applyFont="1" applyAlignment="1">
      <alignment horizontal="justify"/>
    </xf>
  </cellXfs>
  <cellStyles count="4">
    <cellStyle name="20% - Акцент4" xfId="2" builtinId="42"/>
    <cellStyle name="20% - Акцент5" xfId="3" builtinId="46"/>
    <cellStyle name="Гиперссылка" xfId="1" builtinId="8"/>
    <cellStyle name="Обычный" xfId="0" builtinId="0"/>
  </cellStyles>
  <dxfs count="0"/>
  <tableStyles count="0" defaultTableStyle="TableStyleMedium9" defaultPivotStyle="PivotStyleLight16"/>
  <colors>
    <mruColors>
      <color rgb="FF0F8406"/>
      <color rgb="FFFFD9D9"/>
      <color rgb="FFFFB7B7"/>
    </mruColors>
  </colors>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activeX1.xml><?xml version="1.0" encoding="utf-8"?>
<ax:ocx xmlns:ax="http://schemas.microsoft.com/office/2006/activeX" xmlns:r="http://schemas.openxmlformats.org/officeDocument/2006/relationships" ax:classid="{D7053240-CE69-11CD-A777-00DD01143C57}" ax:persistence="persistPropertyBag">
  <ax:ocxPr ax:name="BackColor" ax:value="12632064"/>
  <ax:ocxPr ax:name="VariousPropertyBits" ax:value="8388635"/>
  <ax:ocxPr ax:name="Caption" ax:value="Печать Памятки"/>
  <ax:ocxPr ax:name="Size" ax:value="2223;1931"/>
  <ax:ocxPr ax:name="FontName" ax:value="Times New Roman"/>
  <ax:ocxPr ax:name="FontEffects" ax:value="1073741825"/>
  <ax:ocxPr ax:name="FontHeight" ax:value="225"/>
  <ax:ocxPr ax:name="FontCharSet" ax:value="204"/>
  <ax:ocxPr ax:name="FontPitchAndFamily" ax:value="2"/>
  <ax:ocxPr ax:name="ParagraphAlign" ax:value="3"/>
  <ax:ocxPr ax:name="FontWeight" ax:value="700"/>
</ax:ocx>
</file>

<file path=xl/activeX/activeX2.xml><?xml version="1.0" encoding="utf-8"?>
<ax:ocx xmlns:ax="http://schemas.microsoft.com/office/2006/activeX" xmlns:r="http://schemas.openxmlformats.org/officeDocument/2006/relationships" ax:classid="{D7053240-CE69-11CD-A777-00DD01143C57}" ax:persistence="persistPropertyBag">
  <ax:ocxPr ax:name="BackColor" ax:value="8454016"/>
  <ax:ocxPr ax:name="VariousPropertyBits" ax:value="8388635"/>
  <ax:ocxPr ax:name="Caption" ax:value="Печать Проверки аппарата"/>
  <ax:ocxPr ax:name="Size" ax:value="2223;1931"/>
  <ax:ocxPr ax:name="FontName" ax:value="Times New Roman"/>
  <ax:ocxPr ax:name="FontEffects" ax:value="1073741825"/>
  <ax:ocxPr ax:name="FontHeight" ax:value="225"/>
  <ax:ocxPr ax:name="FontCharSet" ax:value="204"/>
  <ax:ocxPr ax:name="FontPitchAndFamily" ax:value="2"/>
  <ax:ocxPr ax:name="ParagraphAlign" ax:value="3"/>
  <ax:ocxPr ax:name="FontWeight" ax:value="700"/>
</ax:ocx>
</file>

<file path=xl/activeX/activeX3.xml><?xml version="1.0" encoding="utf-8"?>
<ax:ocx xmlns:ax="http://schemas.microsoft.com/office/2006/activeX" xmlns:r="http://schemas.openxmlformats.org/officeDocument/2006/relationships" ax:classid="{D7053240-CE69-11CD-A777-00DD01143C57}" ax:persistence="persistPropertyBag">
  <ax:ocxPr ax:name="Caption" ax:value="Печать Форма 3"/>
  <ax:ocxPr ax:name="Size" ax:value="3545;1085"/>
  <ax:ocxPr ax:name="FontName" ax:value="Tahoma"/>
  <ax:ocxPr ax:name="FontEffects" ax:value="1073741825"/>
  <ax:ocxPr ax:name="FontHeight" ax:value="195"/>
  <ax:ocxPr ax:name="FontCharSet" ax:value="204"/>
  <ax:ocxPr ax:name="FontPitchAndFamily" ax:value="2"/>
  <ax:ocxPr ax:name="ParagraphAlign" ax:value="3"/>
  <ax:ocxPr ax:name="FontWeight" ax:value="700"/>
</ax:ocx>
</file>

<file path=xl/activeX/activeX4.xml><?xml version="1.0" encoding="utf-8"?>
<ax:ocx xmlns:ax="http://schemas.microsoft.com/office/2006/activeX" xmlns:r="http://schemas.openxmlformats.org/officeDocument/2006/relationships" ax:classid="{D7053240-CE69-11CD-A777-00DD01143C57}" ax:persistence="persistPropertyBag">
  <ax:ocxPr ax:name="Caption" ax:value="Печать Форма 5"/>
  <ax:ocxPr ax:name="Size" ax:value="3545;1085"/>
  <ax:ocxPr ax:name="FontName" ax:value="Tahoma"/>
  <ax:ocxPr ax:name="FontEffects" ax:value="1073741825"/>
  <ax:ocxPr ax:name="FontHeight" ax:value="195"/>
  <ax:ocxPr ax:name="FontCharSet" ax:value="0"/>
  <ax:ocxPr ax:name="FontPitchAndFamily" ax:value="2"/>
  <ax:ocxPr ax:name="ParagraphAlign" ax:value="3"/>
  <ax:ocxPr ax:name="FontWeight" ax:value="700"/>
</ax:ocx>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7</xdr:col>
      <xdr:colOff>66675</xdr:colOff>
      <xdr:row>2</xdr:row>
      <xdr:rowOff>161925</xdr:rowOff>
    </xdr:from>
    <xdr:to>
      <xdr:col>7</xdr:col>
      <xdr:colOff>466725</xdr:colOff>
      <xdr:row>2</xdr:row>
      <xdr:rowOff>371475</xdr:rowOff>
    </xdr:to>
    <xdr:sp macro="" textlink="">
      <xdr:nvSpPr>
        <xdr:cNvPr id="3" name="Стрелка влево 2"/>
        <xdr:cNvSpPr/>
      </xdr:nvSpPr>
      <xdr:spPr>
        <a:xfrm>
          <a:off x="9172575" y="790575"/>
          <a:ext cx="400050" cy="209550"/>
        </a:xfrm>
        <a:prstGeom prst="leftArrow">
          <a:avLst/>
        </a:prstGeom>
        <a:solidFill>
          <a:srgbClr val="00B050"/>
        </a:solidFill>
        <a:ln>
          <a:solidFill>
            <a:srgbClr val="00B050"/>
          </a:solidFill>
        </a:ln>
      </xdr:spPr>
      <xdr:style>
        <a:lnRef idx="2">
          <a:schemeClr val="accent3">
            <a:shade val="50000"/>
          </a:schemeClr>
        </a:lnRef>
        <a:fillRef idx="1">
          <a:schemeClr val="accent3"/>
        </a:fillRef>
        <a:effectRef idx="0">
          <a:schemeClr val="accent3"/>
        </a:effectRef>
        <a:fontRef idx="minor">
          <a:schemeClr val="lt1"/>
        </a:fontRef>
      </xdr:style>
      <xdr:txBody>
        <a:bodyPr rtlCol="0" anchor="ctr"/>
        <a:lstStyle/>
        <a:p>
          <a:pPr algn="ctr"/>
          <a:endParaRPr lang="ru-RU" sz="1100"/>
        </a:p>
      </xdr:txBody>
    </xdr:sp>
    <xdr:clientData/>
  </xdr:twoCellAnchor>
  <xdr:twoCellAnchor>
    <xdr:from>
      <xdr:col>3</xdr:col>
      <xdr:colOff>114300</xdr:colOff>
      <xdr:row>3</xdr:row>
      <xdr:rowOff>142875</xdr:rowOff>
    </xdr:from>
    <xdr:to>
      <xdr:col>3</xdr:col>
      <xdr:colOff>514350</xdr:colOff>
      <xdr:row>3</xdr:row>
      <xdr:rowOff>352425</xdr:rowOff>
    </xdr:to>
    <xdr:sp macro="" textlink="">
      <xdr:nvSpPr>
        <xdr:cNvPr id="4" name="Стрелка влево 3"/>
        <xdr:cNvSpPr/>
      </xdr:nvSpPr>
      <xdr:spPr>
        <a:xfrm>
          <a:off x="4286250" y="1304925"/>
          <a:ext cx="400050" cy="209550"/>
        </a:xfrm>
        <a:prstGeom prst="leftArrow">
          <a:avLst/>
        </a:prstGeom>
        <a:solidFill>
          <a:srgbClr val="00B050"/>
        </a:solidFill>
        <a:ln>
          <a:solidFill>
            <a:srgbClr val="00B050"/>
          </a:solidFill>
        </a:ln>
      </xdr:spPr>
      <xdr:style>
        <a:lnRef idx="2">
          <a:schemeClr val="accent3">
            <a:shade val="50000"/>
          </a:schemeClr>
        </a:lnRef>
        <a:fillRef idx="1">
          <a:schemeClr val="accent3"/>
        </a:fillRef>
        <a:effectRef idx="0">
          <a:schemeClr val="accent3"/>
        </a:effectRef>
        <a:fontRef idx="minor">
          <a:schemeClr val="lt1"/>
        </a:fontRef>
      </xdr:style>
      <xdr:txBody>
        <a:bodyPr wrap="square" rtlCol="0"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endParaRPr lang="ru-RU" sz="1100"/>
        </a:p>
      </xdr:txBody>
    </xdr:sp>
    <xdr:clientData/>
  </xdr:twoCellAnchor>
  <xdr:twoCellAnchor>
    <xdr:from>
      <xdr:col>3</xdr:col>
      <xdr:colOff>514351</xdr:colOff>
      <xdr:row>4</xdr:row>
      <xdr:rowOff>200025</xdr:rowOff>
    </xdr:from>
    <xdr:to>
      <xdr:col>4</xdr:col>
      <xdr:colOff>466726</xdr:colOff>
      <xdr:row>6</xdr:row>
      <xdr:rowOff>38100</xdr:rowOff>
    </xdr:to>
    <xdr:sp macro="" textlink="">
      <xdr:nvSpPr>
        <xdr:cNvPr id="5" name="Прямоугольник 4"/>
        <xdr:cNvSpPr/>
      </xdr:nvSpPr>
      <xdr:spPr>
        <a:xfrm>
          <a:off x="5153026" y="1895475"/>
          <a:ext cx="1257300" cy="990600"/>
        </a:xfrm>
        <a:prstGeom prst="rect">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ru-RU" sz="1100"/>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ntrol" Target="../activeX/activeX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3.xml"/><Relationship Id="rId5" Type="http://schemas.openxmlformats.org/officeDocument/2006/relationships/control" Target="../activeX/activeX2.xml"/><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mailto:viktoria-avto@yandex.ru"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Лист1"/>
  <dimension ref="B1:K18"/>
  <sheetViews>
    <sheetView showGridLines="0" tabSelected="1" workbookViewId="0">
      <selection activeCell="C4" sqref="C4"/>
    </sheetView>
  </sheetViews>
  <sheetFormatPr defaultRowHeight="15"/>
  <cols>
    <col min="1" max="1" width="2.5703125" customWidth="1"/>
    <col min="2" max="2" width="22.5703125" customWidth="1"/>
    <col min="3" max="3" width="44.42578125" customWidth="1"/>
    <col min="4" max="4" width="20.140625" customWidth="1"/>
    <col min="5" max="5" width="13.140625" customWidth="1"/>
    <col min="6" max="6" width="21.28515625" customWidth="1"/>
    <col min="7" max="7" width="44.42578125" customWidth="1"/>
    <col min="8" max="8" width="20.28515625" customWidth="1"/>
  </cols>
  <sheetData>
    <row r="1" spans="2:11" ht="13.5" customHeight="1" thickBot="1"/>
    <row r="2" spans="2:11" ht="36" customHeight="1" thickBot="1">
      <c r="B2" s="67" t="s">
        <v>132</v>
      </c>
      <c r="C2" s="68"/>
      <c r="D2" s="44"/>
      <c r="F2" s="69" t="s">
        <v>133</v>
      </c>
      <c r="G2" s="70"/>
      <c r="H2" s="45"/>
      <c r="I2" s="22"/>
      <c r="J2" s="71" t="s">
        <v>150</v>
      </c>
      <c r="K2" s="72"/>
    </row>
    <row r="3" spans="2:11" ht="42.6" customHeight="1">
      <c r="B3" s="28" t="s">
        <v>151</v>
      </c>
      <c r="C3" s="41" t="s">
        <v>18</v>
      </c>
      <c r="D3" s="22"/>
      <c r="F3" s="28" t="s">
        <v>146</v>
      </c>
      <c r="G3" s="50"/>
      <c r="H3" s="20"/>
      <c r="I3" s="20"/>
    </row>
    <row r="4" spans="2:11" ht="42.6" customHeight="1">
      <c r="B4" s="26" t="s">
        <v>134</v>
      </c>
      <c r="C4" s="48"/>
      <c r="F4" s="29" t="s">
        <v>143</v>
      </c>
      <c r="G4" s="43"/>
    </row>
    <row r="5" spans="2:11" ht="48.75" customHeight="1">
      <c r="B5" s="25" t="s">
        <v>135</v>
      </c>
      <c r="C5" s="42"/>
      <c r="F5" s="25" t="s">
        <v>144</v>
      </c>
      <c r="G5" s="41"/>
    </row>
    <row r="6" spans="2:11" ht="42.6" customHeight="1" thickBot="1">
      <c r="B6" s="26" t="s">
        <v>136</v>
      </c>
      <c r="C6" s="48"/>
      <c r="F6" s="30" t="s">
        <v>145</v>
      </c>
      <c r="G6" s="47"/>
    </row>
    <row r="7" spans="2:11" ht="42.6" customHeight="1">
      <c r="B7" s="25" t="s">
        <v>137</v>
      </c>
      <c r="C7" s="42"/>
      <c r="F7" s="23"/>
      <c r="G7" s="24"/>
    </row>
    <row r="8" spans="2:11" ht="42.6" customHeight="1">
      <c r="B8" s="26" t="s">
        <v>138</v>
      </c>
      <c r="C8" s="48"/>
      <c r="E8" s="58" t="s">
        <v>152</v>
      </c>
      <c r="F8" s="59"/>
      <c r="G8" s="59"/>
      <c r="H8" s="60"/>
    </row>
    <row r="9" spans="2:11" ht="42.6" customHeight="1">
      <c r="B9" s="25" t="s">
        <v>141</v>
      </c>
      <c r="C9" s="42"/>
      <c r="E9" s="61"/>
      <c r="F9" s="62"/>
      <c r="G9" s="62"/>
      <c r="H9" s="63"/>
    </row>
    <row r="10" spans="2:11" ht="42.6" customHeight="1">
      <c r="B10" s="26" t="s">
        <v>139</v>
      </c>
      <c r="C10" s="48"/>
      <c r="E10" s="61"/>
      <c r="F10" s="62"/>
      <c r="G10" s="62"/>
      <c r="H10" s="63"/>
    </row>
    <row r="11" spans="2:11" ht="42.6" customHeight="1" thickBot="1">
      <c r="B11" s="27" t="s">
        <v>140</v>
      </c>
      <c r="C11" s="49"/>
      <c r="E11" s="64"/>
      <c r="F11" s="65"/>
      <c r="G11" s="65"/>
      <c r="H11" s="66"/>
    </row>
    <row r="16" spans="2:11">
      <c r="B16" s="39" t="s">
        <v>142</v>
      </c>
      <c r="C16" s="37"/>
    </row>
    <row r="17" spans="2:3">
      <c r="B17" s="36" t="s">
        <v>18</v>
      </c>
      <c r="C17" s="38"/>
    </row>
    <row r="18" spans="2:3">
      <c r="B18" s="36" t="s">
        <v>149</v>
      </c>
      <c r="C18" s="38"/>
    </row>
  </sheetData>
  <sheetProtection password="CC6F" sheet="1" objects="1" scenarios="1"/>
  <mergeCells count="4">
    <mergeCell ref="E8:H11"/>
    <mergeCell ref="B2:C2"/>
    <mergeCell ref="F2:G2"/>
    <mergeCell ref="J2:K2"/>
  </mergeCells>
  <conditionalFormatting sqref="D4">
    <cfRule type="iconSet" priority="1">
      <iconSet iconSet="3Symbols2">
        <cfvo type="percent" val="0"/>
        <cfvo type="percent" val="33"/>
        <cfvo type="percent" val="67"/>
      </iconSet>
    </cfRule>
  </conditionalFormatting>
  <dataValidations count="1">
    <dataValidation type="list" allowBlank="1" showInputMessage="1" showErrorMessage="1" sqref="C3">
      <formula1>Документы</formula1>
    </dataValidation>
  </dataValidations>
  <pageMargins left="0.25" right="0.25" top="0.75" bottom="0.75" header="0.3" footer="0.3"/>
  <pageSetup paperSize="9" orientation="landscape" horizontalDpi="180" verticalDpi="180" r:id="rId1"/>
  <drawing r:id="rId2"/>
  <legacyDrawing r:id="rId3"/>
  <controls>
    <control shapeId="1032" r:id="rId4" name="CommandButton2"/>
    <control shapeId="1031" r:id="rId5" name="CommandButton1"/>
    <control shapeId="1030" r:id="rId6" name="ПечатьФорма3"/>
    <control shapeId="1029" r:id="rId7" name="ПечатьФорма5"/>
  </controls>
</worksheet>
</file>

<file path=xl/worksheets/sheet2.xml><?xml version="1.0" encoding="utf-8"?>
<worksheet xmlns="http://schemas.openxmlformats.org/spreadsheetml/2006/main" xmlns:r="http://schemas.openxmlformats.org/officeDocument/2006/relationships">
  <sheetPr codeName="Лист2">
    <pageSetUpPr fitToPage="1"/>
  </sheetPr>
  <dimension ref="A1:BC110"/>
  <sheetViews>
    <sheetView view="pageLayout" zoomScale="120" zoomScaleNormal="110" zoomScalePageLayoutView="120" workbookViewId="0"/>
  </sheetViews>
  <sheetFormatPr defaultColWidth="1.7109375" defaultRowHeight="15"/>
  <cols>
    <col min="24" max="24" width="2.42578125" customWidth="1"/>
    <col min="27" max="27" width="1.42578125" customWidth="1"/>
    <col min="29" max="29" width="2.28515625" customWidth="1"/>
    <col min="31" max="31" width="2.85546875" customWidth="1"/>
    <col min="36" max="36" width="3.85546875" customWidth="1"/>
    <col min="41" max="41" width="2.7109375" customWidth="1"/>
    <col min="42" max="42" width="2.42578125" customWidth="1"/>
    <col min="53" max="54" width="1.85546875" customWidth="1"/>
    <col min="55" max="55" width="1.7109375" customWidth="1"/>
  </cols>
  <sheetData>
    <row r="1" spans="1:55" ht="11.85" customHeight="1">
      <c r="A1" s="1" t="s">
        <v>0</v>
      </c>
    </row>
    <row r="2" spans="1:55" ht="11.85" customHeight="1">
      <c r="A2" s="89" t="s">
        <v>1</v>
      </c>
      <c r="B2" s="89"/>
      <c r="C2" s="89"/>
      <c r="D2" s="89"/>
      <c r="E2" s="89"/>
      <c r="F2" s="89"/>
      <c r="G2" s="89"/>
      <c r="H2" s="89"/>
      <c r="I2" s="89"/>
      <c r="J2" s="89"/>
      <c r="K2" s="89"/>
      <c r="L2" s="89"/>
      <c r="M2" s="89"/>
      <c r="N2" s="89"/>
      <c r="O2" s="89"/>
      <c r="P2" s="89"/>
      <c r="Q2" s="89"/>
      <c r="R2" s="89"/>
      <c r="S2" s="89"/>
      <c r="T2" s="89"/>
      <c r="U2" s="89"/>
      <c r="V2" s="89"/>
      <c r="W2" s="89"/>
      <c r="X2" s="89"/>
      <c r="Y2" s="89"/>
      <c r="Z2" s="89"/>
      <c r="AA2" s="89"/>
      <c r="AB2" s="89"/>
      <c r="AC2" s="89"/>
      <c r="AD2" s="89"/>
      <c r="AE2" s="89"/>
      <c r="AF2" s="89"/>
      <c r="AG2" s="89"/>
      <c r="AH2" s="89"/>
      <c r="AI2" s="89"/>
      <c r="AJ2" s="89"/>
      <c r="AK2" s="89"/>
      <c r="AL2" s="89"/>
      <c r="AM2" s="89"/>
      <c r="AN2" s="89"/>
      <c r="AO2" s="89"/>
      <c r="AP2" s="89"/>
      <c r="AQ2" s="89"/>
      <c r="AR2" s="89"/>
      <c r="AS2" s="89"/>
      <c r="AT2" s="89"/>
      <c r="AU2" s="89"/>
      <c r="AV2" s="89"/>
      <c r="AW2" s="89"/>
      <c r="AX2" s="89"/>
      <c r="AY2" s="89"/>
      <c r="AZ2" s="89"/>
      <c r="BA2" s="89"/>
      <c r="BB2" s="89"/>
      <c r="BC2" s="89"/>
    </row>
    <row r="3" spans="1:55" ht="11.85" customHeight="1">
      <c r="A3" s="2" t="s">
        <v>17</v>
      </c>
      <c r="AV3" s="96">
        <f ca="1">TODAY()</f>
        <v>43874</v>
      </c>
      <c r="AW3" s="96"/>
      <c r="AX3" s="96"/>
      <c r="AY3" s="96"/>
      <c r="AZ3" s="96"/>
      <c r="BA3" s="96"/>
      <c r="BB3" s="96"/>
      <c r="BC3" s="96"/>
    </row>
    <row r="4" spans="1:55" ht="33.75" customHeight="1">
      <c r="A4" s="84" t="s">
        <v>80</v>
      </c>
      <c r="B4" s="84"/>
      <c r="C4" s="84"/>
      <c r="D4" s="84"/>
      <c r="E4" s="84"/>
      <c r="F4" s="84"/>
      <c r="G4" s="84"/>
      <c r="H4" s="84"/>
      <c r="I4" s="84"/>
      <c r="J4" s="84"/>
      <c r="K4" s="84"/>
      <c r="L4" s="84"/>
      <c r="M4" s="84"/>
      <c r="N4" s="84"/>
      <c r="O4" s="84"/>
      <c r="P4" s="84"/>
      <c r="Q4" s="84"/>
      <c r="R4" s="84"/>
      <c r="S4" s="84"/>
      <c r="T4" s="84"/>
      <c r="U4" s="84"/>
      <c r="V4" s="84"/>
      <c r="W4" s="84"/>
      <c r="X4" s="84"/>
      <c r="Y4" s="84"/>
      <c r="Z4" s="84"/>
      <c r="AA4" s="84"/>
      <c r="AB4" s="84"/>
      <c r="AC4" s="84"/>
      <c r="AD4" s="84"/>
      <c r="AE4" s="84"/>
      <c r="AF4" s="84"/>
      <c r="AG4" s="84"/>
      <c r="AH4" s="84"/>
      <c r="AI4" s="84"/>
      <c r="AJ4" s="84"/>
      <c r="AK4" s="84"/>
      <c r="AL4" s="84"/>
      <c r="AM4" s="84"/>
      <c r="AN4" s="84"/>
      <c r="AO4" s="84"/>
      <c r="AP4" s="84"/>
      <c r="AQ4" s="84"/>
      <c r="AR4" s="84"/>
      <c r="AS4" s="84"/>
      <c r="AT4" s="84"/>
      <c r="AU4" s="84"/>
      <c r="AV4" s="84"/>
      <c r="AW4" s="84"/>
      <c r="AX4" s="84"/>
      <c r="AY4" s="84"/>
      <c r="AZ4" s="84"/>
      <c r="BA4" s="84"/>
      <c r="BB4" s="84"/>
      <c r="BC4" s="84"/>
    </row>
    <row r="5" spans="1:55" ht="11.85" customHeight="1">
      <c r="A5" s="77" t="str">
        <f>LEFT(Данные!C4,100)</f>
        <v/>
      </c>
      <c r="B5" s="77"/>
      <c r="C5" s="77"/>
      <c r="D5" s="77"/>
      <c r="E5" s="77"/>
      <c r="F5" s="77"/>
      <c r="G5" s="77"/>
      <c r="H5" s="77"/>
      <c r="I5" s="77"/>
      <c r="J5" s="77"/>
      <c r="K5" s="77"/>
      <c r="L5" s="77"/>
      <c r="M5" s="77"/>
      <c r="N5" s="77"/>
      <c r="O5" s="77"/>
      <c r="P5" s="77"/>
      <c r="Q5" s="77"/>
      <c r="R5" s="77"/>
      <c r="S5" s="77"/>
      <c r="T5" s="77"/>
      <c r="U5" s="77"/>
      <c r="V5" s="77"/>
      <c r="W5" s="13" t="s">
        <v>21</v>
      </c>
      <c r="X5" s="74" t="str">
        <f>LEFT(Данные!C3,15)</f>
        <v>паспорт</v>
      </c>
      <c r="Y5" s="74"/>
      <c r="Z5" s="74"/>
      <c r="AA5" s="74"/>
      <c r="AB5" s="3" t="s">
        <v>19</v>
      </c>
      <c r="AC5" s="5"/>
      <c r="AD5" s="86" t="str">
        <f>LEFT(Данные!C7,5)</f>
        <v/>
      </c>
      <c r="AE5" s="86"/>
      <c r="AF5" s="86"/>
      <c r="AG5" s="5" t="s">
        <v>20</v>
      </c>
      <c r="AH5" s="86" t="str">
        <f>LEFT(Данные!C8,7)</f>
        <v/>
      </c>
      <c r="AI5" s="86"/>
      <c r="AJ5" s="86"/>
      <c r="AK5" s="86"/>
      <c r="AL5" s="13" t="s">
        <v>81</v>
      </c>
      <c r="AM5" s="13"/>
      <c r="AN5" s="13"/>
      <c r="AO5" s="16"/>
      <c r="AP5" s="13"/>
      <c r="AQ5" s="87" t="str">
        <f>LEFT(Данные!C9,10)</f>
        <v/>
      </c>
      <c r="AR5" s="87"/>
      <c r="AS5" s="87"/>
      <c r="AT5" s="87"/>
      <c r="AU5" s="87"/>
      <c r="AV5" s="5" t="s">
        <v>82</v>
      </c>
      <c r="AW5" s="5"/>
      <c r="AX5" s="5"/>
      <c r="AZ5" s="3"/>
      <c r="BB5" s="3"/>
      <c r="BC5" s="3"/>
    </row>
    <row r="6" spans="1:55" ht="11.85" customHeight="1">
      <c r="A6" s="77" t="str">
        <f>LEFT(Данные!C10,100)</f>
        <v/>
      </c>
      <c r="B6" s="77"/>
      <c r="C6" s="77"/>
      <c r="D6" s="77"/>
      <c r="E6" s="77"/>
      <c r="F6" s="77"/>
      <c r="G6" s="77"/>
      <c r="H6" s="77"/>
      <c r="I6" s="77"/>
      <c r="J6" s="77"/>
      <c r="K6" s="77"/>
      <c r="L6" s="77"/>
      <c r="M6" s="77"/>
      <c r="N6" s="77"/>
      <c r="O6" s="77"/>
      <c r="P6" s="77"/>
      <c r="Q6" s="77"/>
      <c r="R6" s="77"/>
      <c r="S6" s="77"/>
      <c r="T6" s="77"/>
      <c r="U6" s="77"/>
      <c r="V6" s="77"/>
      <c r="W6" s="77"/>
      <c r="X6" s="77"/>
      <c r="Y6" s="77"/>
      <c r="Z6" s="77"/>
      <c r="AA6" s="77"/>
      <c r="AB6" s="77"/>
      <c r="AC6" s="77"/>
      <c r="AD6" s="77"/>
      <c r="AE6" s="77"/>
      <c r="AF6" s="77"/>
      <c r="AG6" s="77"/>
      <c r="AH6" s="7" t="s">
        <v>24</v>
      </c>
      <c r="AI6" s="7"/>
      <c r="AJ6" s="7"/>
      <c r="AK6" s="7"/>
      <c r="AL6" s="7"/>
      <c r="AM6" s="7"/>
      <c r="AN6" s="7" t="s">
        <v>85</v>
      </c>
      <c r="AO6" s="7"/>
      <c r="AP6" s="3"/>
      <c r="AQ6" s="3"/>
      <c r="AR6" s="3"/>
      <c r="AS6" s="3"/>
      <c r="AT6" s="3"/>
      <c r="AU6" s="3"/>
      <c r="AV6" s="3"/>
      <c r="AW6" s="3"/>
      <c r="AX6" s="3"/>
      <c r="AY6" s="3"/>
      <c r="AZ6" s="3"/>
      <c r="BA6" s="3"/>
      <c r="BB6" s="3"/>
      <c r="BC6" s="3"/>
    </row>
    <row r="7" spans="1:55" ht="11.85" customHeight="1">
      <c r="A7" s="88" t="str">
        <f>LEFT(Данные!C5,100)</f>
        <v/>
      </c>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13" t="s">
        <v>25</v>
      </c>
      <c r="AE7" s="13"/>
      <c r="AF7" s="13"/>
      <c r="AG7" s="13"/>
      <c r="AH7" s="13"/>
      <c r="AI7" s="13"/>
      <c r="AJ7" s="54"/>
      <c r="AK7" s="74" t="str">
        <f>LEFT(Данные!C6,15)</f>
        <v/>
      </c>
      <c r="AL7" s="74"/>
      <c r="AM7" s="74"/>
      <c r="AN7" s="74"/>
      <c r="AO7" s="74"/>
      <c r="AP7" s="13" t="s">
        <v>83</v>
      </c>
      <c r="AQ7" s="13"/>
      <c r="AR7" s="13"/>
      <c r="AS7" s="13"/>
      <c r="AT7" s="13"/>
      <c r="AU7" s="13"/>
      <c r="AV7" s="13"/>
      <c r="AW7" s="4"/>
      <c r="AX7" s="3"/>
      <c r="AY7" s="3"/>
      <c r="AZ7" s="3"/>
      <c r="BA7" s="3"/>
      <c r="BB7" s="3"/>
      <c r="BC7" s="3"/>
    </row>
    <row r="8" spans="1:55" ht="11.85" customHeight="1">
      <c r="A8" s="85" t="s">
        <v>84</v>
      </c>
      <c r="B8" s="85"/>
      <c r="C8" s="85"/>
      <c r="D8" s="85"/>
      <c r="E8" s="85"/>
      <c r="F8" s="85"/>
      <c r="G8" s="85"/>
      <c r="H8" s="85"/>
      <c r="I8" s="85"/>
      <c r="J8" s="85"/>
      <c r="K8" s="85"/>
      <c r="L8" s="85"/>
      <c r="M8" s="85"/>
      <c r="N8" s="85"/>
      <c r="O8" s="85"/>
      <c r="P8" s="85"/>
      <c r="Q8" s="85"/>
      <c r="R8" s="85"/>
      <c r="S8" s="85"/>
      <c r="T8" s="85"/>
      <c r="U8" s="85"/>
      <c r="V8" s="85"/>
      <c r="W8" s="85"/>
      <c r="X8" s="85"/>
      <c r="Y8" s="85"/>
      <c r="Z8" s="85"/>
      <c r="AA8" s="85"/>
      <c r="AB8" s="85"/>
      <c r="AC8" s="85"/>
      <c r="AD8" s="85"/>
      <c r="AE8" s="85"/>
      <c r="AF8" s="85"/>
      <c r="AG8" s="85"/>
      <c r="AH8" s="85"/>
      <c r="AI8" s="85"/>
      <c r="AJ8" s="85"/>
      <c r="AK8" s="85"/>
      <c r="AL8" s="85"/>
      <c r="AM8" s="85"/>
      <c r="AN8" s="85"/>
      <c r="AO8" s="85"/>
      <c r="AP8" s="85"/>
      <c r="AQ8" s="85"/>
      <c r="AR8" s="85"/>
      <c r="AS8" s="85"/>
      <c r="AT8" s="85"/>
      <c r="AU8" s="85"/>
      <c r="AV8" s="85"/>
      <c r="AW8" s="85"/>
      <c r="AX8" s="85"/>
      <c r="AY8" s="85"/>
      <c r="AZ8" s="85"/>
      <c r="BA8" s="85"/>
      <c r="BB8" s="85"/>
      <c r="BC8" s="85"/>
    </row>
    <row r="9" spans="1:55" ht="6" customHeight="1">
      <c r="A9" s="15"/>
      <c r="B9" s="15"/>
      <c r="C9" s="15"/>
      <c r="D9" s="15"/>
      <c r="E9" s="15"/>
      <c r="F9" s="15"/>
      <c r="G9" s="15"/>
      <c r="H9" s="15"/>
      <c r="I9" s="15"/>
      <c r="J9" s="15"/>
      <c r="K9" s="15"/>
      <c r="L9" s="15"/>
      <c r="M9" s="15"/>
      <c r="N9" s="15"/>
      <c r="O9" s="15"/>
      <c r="P9" s="15"/>
      <c r="Q9" s="15"/>
      <c r="R9" s="15"/>
      <c r="S9" s="15"/>
      <c r="T9" s="15"/>
      <c r="U9" s="15"/>
      <c r="V9" s="15"/>
      <c r="W9" s="15"/>
      <c r="X9" s="15"/>
      <c r="Y9" s="15"/>
      <c r="Z9" s="15"/>
      <c r="AA9" s="15"/>
      <c r="AB9" s="15"/>
      <c r="AC9" s="15"/>
      <c r="AD9" s="15"/>
      <c r="AE9" s="15"/>
      <c r="AF9" s="15"/>
      <c r="AG9" s="15"/>
      <c r="AH9" s="15"/>
      <c r="AI9" s="15"/>
      <c r="AJ9" s="15"/>
      <c r="AK9" s="15"/>
      <c r="AL9" s="15"/>
      <c r="AM9" s="15"/>
      <c r="AN9" s="15"/>
      <c r="AO9" s="15"/>
      <c r="AP9" s="15"/>
      <c r="AQ9" s="15"/>
      <c r="AR9" s="15"/>
      <c r="AS9" s="15"/>
      <c r="AT9" s="15"/>
      <c r="AU9" s="15"/>
      <c r="AV9" s="15"/>
      <c r="AW9" s="15"/>
      <c r="AX9" s="15"/>
      <c r="AY9" s="15"/>
      <c r="AZ9" s="15"/>
      <c r="BA9" s="15"/>
      <c r="BB9" s="15"/>
      <c r="BC9" s="15"/>
    </row>
    <row r="10" spans="1:55" ht="11.85" customHeight="1">
      <c r="A10" s="89" t="s">
        <v>23</v>
      </c>
      <c r="B10" s="89"/>
      <c r="C10" s="89"/>
      <c r="D10" s="89"/>
      <c r="E10" s="89"/>
      <c r="F10" s="89"/>
      <c r="G10" s="89"/>
      <c r="H10" s="89"/>
      <c r="I10" s="89"/>
      <c r="J10" s="89"/>
      <c r="K10" s="89"/>
      <c r="L10" s="89"/>
      <c r="M10" s="89"/>
      <c r="N10" s="89"/>
      <c r="O10" s="89"/>
      <c r="P10" s="89"/>
      <c r="Q10" s="89"/>
      <c r="R10" s="89"/>
      <c r="S10" s="89"/>
      <c r="T10" s="89"/>
      <c r="U10" s="89"/>
      <c r="V10" s="89"/>
      <c r="W10" s="89"/>
      <c r="X10" s="89"/>
      <c r="Y10" s="89"/>
      <c r="Z10" s="89"/>
      <c r="AA10" s="89"/>
      <c r="AB10" s="89"/>
      <c r="AC10" s="89"/>
      <c r="AD10" s="89"/>
      <c r="AE10" s="89"/>
      <c r="AF10" s="89"/>
      <c r="AG10" s="89"/>
      <c r="AH10" s="89"/>
      <c r="AI10" s="89"/>
      <c r="AJ10" s="89"/>
      <c r="AK10" s="89"/>
      <c r="AL10" s="89"/>
      <c r="AM10" s="89"/>
      <c r="AN10" s="89"/>
      <c r="AO10" s="89"/>
      <c r="AP10" s="89"/>
      <c r="AQ10" s="89"/>
      <c r="AR10" s="89"/>
      <c r="AS10" s="89"/>
      <c r="AT10" s="89"/>
      <c r="AU10" s="89"/>
      <c r="AV10" s="89"/>
      <c r="AW10" s="89"/>
      <c r="AX10" s="89"/>
      <c r="AY10" s="89"/>
      <c r="AZ10" s="89"/>
      <c r="BA10" s="89"/>
      <c r="BB10" s="89"/>
      <c r="BC10" s="89"/>
    </row>
    <row r="11" spans="1:55" ht="22.5" customHeight="1">
      <c r="A11" s="79" t="s">
        <v>87</v>
      </c>
      <c r="B11" s="79"/>
      <c r="C11" s="79"/>
      <c r="D11" s="79"/>
      <c r="E11" s="79"/>
      <c r="F11" s="79"/>
      <c r="G11" s="79"/>
      <c r="H11" s="79"/>
      <c r="I11" s="79"/>
      <c r="J11" s="79"/>
      <c r="K11" s="79"/>
      <c r="L11" s="79"/>
      <c r="M11" s="79"/>
      <c r="N11" s="79"/>
      <c r="O11" s="79"/>
      <c r="P11" s="79"/>
      <c r="Q11" s="79"/>
      <c r="R11" s="79"/>
      <c r="S11" s="79"/>
      <c r="T11" s="79"/>
      <c r="U11" s="79"/>
      <c r="V11" s="79"/>
      <c r="W11" s="79"/>
      <c r="X11" s="79"/>
      <c r="Y11" s="79"/>
      <c r="Z11" s="79"/>
      <c r="AA11" s="79"/>
      <c r="AB11" s="79"/>
      <c r="AC11" s="79"/>
      <c r="AD11" s="79"/>
      <c r="AE11" s="79"/>
      <c r="AF11" s="79"/>
      <c r="AG11" s="79"/>
      <c r="AH11" s="79"/>
      <c r="AI11" s="79"/>
      <c r="AJ11" s="79"/>
      <c r="AK11" s="79"/>
      <c r="AL11" s="79"/>
      <c r="AM11" s="79"/>
      <c r="AN11" s="79"/>
      <c r="AO11" s="79"/>
      <c r="AP11" s="79"/>
      <c r="AQ11" s="79"/>
      <c r="AR11" s="79"/>
      <c r="AS11" s="79"/>
      <c r="AT11" s="79"/>
      <c r="AU11" s="79"/>
      <c r="AV11" s="79"/>
      <c r="AW11" s="79"/>
      <c r="AX11" s="79"/>
      <c r="AY11" s="79"/>
      <c r="AZ11" s="79"/>
      <c r="BA11" s="79"/>
      <c r="BB11" s="79"/>
      <c r="BC11" s="79"/>
    </row>
    <row r="12" spans="1:55" ht="11.25" customHeight="1">
      <c r="A12" s="76" t="s">
        <v>88</v>
      </c>
      <c r="B12" s="76"/>
      <c r="C12" s="76"/>
      <c r="D12" s="76"/>
      <c r="E12" s="76"/>
      <c r="F12" s="76"/>
      <c r="G12" s="76"/>
      <c r="H12" s="76"/>
      <c r="I12" s="76"/>
      <c r="J12" s="76"/>
      <c r="K12" s="76"/>
      <c r="L12" s="76"/>
      <c r="M12" s="76"/>
      <c r="N12" s="76"/>
      <c r="O12" s="76"/>
      <c r="P12" s="76"/>
      <c r="Q12" s="76"/>
      <c r="R12" s="76"/>
      <c r="S12" s="76"/>
      <c r="T12" s="76"/>
      <c r="U12" s="76"/>
      <c r="V12" s="76"/>
      <c r="W12" s="76"/>
      <c r="X12" s="76"/>
      <c r="Y12" s="76"/>
      <c r="Z12" s="76"/>
      <c r="AA12" s="76"/>
      <c r="AB12" s="76"/>
      <c r="AC12" s="76"/>
      <c r="AD12" s="76"/>
      <c r="AE12" s="76"/>
      <c r="AF12" s="76"/>
      <c r="AG12" s="76"/>
      <c r="AH12" s="76"/>
      <c r="AI12" s="76"/>
      <c r="AJ12" s="76"/>
      <c r="AK12" s="76"/>
      <c r="AL12" s="76"/>
      <c r="AM12" s="76"/>
      <c r="AN12" s="76"/>
      <c r="AO12" s="76"/>
      <c r="AP12" s="76"/>
      <c r="AQ12" s="76"/>
      <c r="AR12" s="76"/>
      <c r="AS12" s="76"/>
      <c r="AT12" s="76"/>
      <c r="AU12" s="76"/>
      <c r="AV12" s="76"/>
      <c r="AW12" s="76"/>
      <c r="AX12" s="76"/>
      <c r="AY12" s="76"/>
      <c r="AZ12" s="76"/>
      <c r="BA12" s="76"/>
      <c r="BB12" s="76"/>
      <c r="BC12" s="76"/>
    </row>
    <row r="13" spans="1:55" ht="12.75" customHeight="1">
      <c r="A13" s="17" t="s">
        <v>20</v>
      </c>
      <c r="B13" s="74" t="str">
        <f>LEFT(Данные!C11,15)</f>
        <v/>
      </c>
      <c r="C13" s="74"/>
      <c r="D13" s="74"/>
      <c r="E13" s="74"/>
      <c r="F13" s="74"/>
      <c r="G13" s="17" t="s">
        <v>26</v>
      </c>
      <c r="H13" s="75" t="s">
        <v>200</v>
      </c>
      <c r="I13" s="75"/>
      <c r="J13" s="75"/>
      <c r="K13" s="75"/>
      <c r="L13" s="75"/>
      <c r="M13" s="75"/>
      <c r="N13" s="75"/>
      <c r="O13" s="75"/>
      <c r="P13" s="75"/>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P13" s="75"/>
      <c r="AQ13" s="75"/>
      <c r="AR13" s="75"/>
      <c r="AS13" s="75"/>
      <c r="AT13" s="75"/>
      <c r="AU13" s="75"/>
      <c r="AV13" s="75"/>
      <c r="AW13" s="75"/>
      <c r="AX13" s="75"/>
      <c r="AY13" s="75"/>
      <c r="AZ13" s="75"/>
      <c r="BA13" s="75"/>
      <c r="BB13" s="75"/>
      <c r="BC13" s="75"/>
    </row>
    <row r="14" spans="1:55" ht="12.75" customHeight="1">
      <c r="A14" s="76" t="s">
        <v>201</v>
      </c>
      <c r="B14" s="76"/>
      <c r="C14" s="76"/>
      <c r="D14" s="76"/>
      <c r="E14" s="76"/>
      <c r="F14" s="76"/>
      <c r="G14" s="76"/>
      <c r="H14" s="76"/>
      <c r="I14" s="76"/>
      <c r="J14" s="76"/>
      <c r="K14" s="76"/>
      <c r="L14" s="76"/>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76"/>
      <c r="AS14" s="76"/>
      <c r="AT14" s="76"/>
      <c r="AU14" s="76"/>
      <c r="AV14" s="76"/>
      <c r="AW14" s="76"/>
      <c r="AX14" s="76"/>
      <c r="AY14" s="76"/>
      <c r="AZ14" s="76"/>
      <c r="BA14" s="76"/>
      <c r="BB14" s="76"/>
      <c r="BC14" s="76"/>
    </row>
    <row r="15" spans="1:55" ht="10.5" customHeight="1">
      <c r="A15" s="80" t="s">
        <v>29</v>
      </c>
      <c r="B15" s="80"/>
      <c r="C15" s="80"/>
      <c r="D15" s="80"/>
      <c r="E15" s="80"/>
      <c r="F15" s="80"/>
      <c r="G15" s="80"/>
      <c r="H15" s="80"/>
      <c r="I15" s="80"/>
      <c r="J15" s="80"/>
      <c r="K15" s="80"/>
      <c r="L15" s="80"/>
      <c r="M15" s="80"/>
      <c r="N15" s="80"/>
      <c r="O15" s="80"/>
      <c r="P15" s="80"/>
      <c r="Q15" s="80"/>
      <c r="R15" s="80"/>
      <c r="S15" s="80"/>
      <c r="T15" s="80"/>
      <c r="U15" s="80"/>
      <c r="V15" s="80"/>
      <c r="W15" s="80"/>
      <c r="X15" s="80"/>
      <c r="Y15" s="80"/>
      <c r="Z15" s="80"/>
      <c r="AA15" s="80"/>
      <c r="AB15" s="80"/>
      <c r="AC15" s="80"/>
      <c r="AD15" s="80"/>
      <c r="AE15" s="80"/>
      <c r="AF15" s="80"/>
      <c r="AG15" s="80"/>
      <c r="AH15" s="80"/>
      <c r="AI15" s="80"/>
      <c r="AJ15" s="80"/>
      <c r="AK15" s="80"/>
      <c r="AL15" s="80"/>
      <c r="AM15" s="80"/>
      <c r="AN15" s="80"/>
      <c r="AO15" s="80"/>
      <c r="AP15" s="80"/>
      <c r="AQ15" s="80"/>
      <c r="AR15" s="80"/>
      <c r="AS15" s="80"/>
      <c r="AT15" s="80"/>
      <c r="AU15" s="80"/>
      <c r="AV15" s="80"/>
      <c r="AW15" s="80"/>
      <c r="AX15" s="80"/>
      <c r="AY15" s="80"/>
      <c r="AZ15" s="80"/>
      <c r="BA15" s="80"/>
      <c r="BB15" s="80"/>
      <c r="BC15" s="80"/>
    </row>
    <row r="16" spans="1:55" ht="45.75" customHeight="1">
      <c r="A16" s="73" t="s">
        <v>153</v>
      </c>
      <c r="B16" s="73"/>
      <c r="C16" s="73"/>
      <c r="D16" s="73"/>
      <c r="E16" s="73"/>
      <c r="F16" s="73"/>
      <c r="G16" s="73"/>
      <c r="H16" s="73"/>
      <c r="I16" s="73"/>
      <c r="J16" s="73"/>
      <c r="K16" s="73"/>
      <c r="L16" s="73"/>
      <c r="M16" s="73"/>
      <c r="N16" s="73"/>
      <c r="O16" s="73"/>
      <c r="P16" s="73"/>
      <c r="Q16" s="73"/>
      <c r="R16" s="73"/>
      <c r="S16" s="73"/>
      <c r="T16" s="73"/>
      <c r="U16" s="73"/>
      <c r="V16" s="73"/>
      <c r="W16" s="73"/>
      <c r="X16" s="73"/>
      <c r="Y16" s="73"/>
      <c r="Z16" s="73"/>
      <c r="AA16" s="73"/>
      <c r="AB16" s="73"/>
      <c r="AC16" s="73"/>
      <c r="AD16" s="73"/>
      <c r="AE16" s="73"/>
      <c r="AF16" s="73"/>
      <c r="AG16" s="73"/>
      <c r="AH16" s="73"/>
      <c r="AI16" s="73"/>
      <c r="AJ16" s="73"/>
      <c r="AK16" s="73"/>
      <c r="AL16" s="73"/>
      <c r="AM16" s="73"/>
      <c r="AN16" s="73"/>
      <c r="AO16" s="73"/>
      <c r="AP16" s="73"/>
      <c r="AQ16" s="73"/>
      <c r="AR16" s="73"/>
      <c r="AS16" s="73"/>
      <c r="AT16" s="73"/>
      <c r="AU16" s="73"/>
      <c r="AV16" s="73"/>
      <c r="AW16" s="73"/>
      <c r="AX16" s="73"/>
      <c r="AY16" s="73"/>
      <c r="AZ16" s="73"/>
      <c r="BA16" s="73"/>
      <c r="BB16" s="73"/>
      <c r="BC16" s="73"/>
    </row>
    <row r="17" spans="1:55" ht="81.75" customHeight="1">
      <c r="A17" s="78" t="s">
        <v>27</v>
      </c>
      <c r="B17" s="78"/>
      <c r="C17" s="78"/>
      <c r="D17" s="78"/>
      <c r="E17" s="78"/>
      <c r="F17" s="78"/>
      <c r="G17" s="78"/>
      <c r="H17" s="78"/>
      <c r="I17" s="78"/>
      <c r="J17" s="78"/>
      <c r="K17" s="78"/>
      <c r="L17" s="78"/>
      <c r="M17" s="78"/>
      <c r="N17" s="78"/>
      <c r="O17" s="78"/>
      <c r="P17" s="78"/>
      <c r="Q17" s="78"/>
      <c r="R17" s="78"/>
      <c r="S17" s="78"/>
      <c r="T17" s="78"/>
      <c r="U17" s="78"/>
      <c r="V17" s="78"/>
      <c r="W17" s="78"/>
      <c r="X17" s="78"/>
      <c r="Y17" s="78"/>
      <c r="Z17" s="78"/>
      <c r="AA17" s="78"/>
      <c r="AB17" s="78"/>
      <c r="AC17" s="78"/>
      <c r="AD17" s="78"/>
      <c r="AE17" s="78"/>
      <c r="AF17" s="78"/>
      <c r="AG17" s="78"/>
      <c r="AH17" s="78"/>
      <c r="AI17" s="78"/>
      <c r="AJ17" s="78"/>
      <c r="AK17" s="78"/>
      <c r="AL17" s="78"/>
      <c r="AM17" s="78"/>
      <c r="AN17" s="78"/>
      <c r="AO17" s="78"/>
      <c r="AP17" s="78"/>
      <c r="AQ17" s="78"/>
      <c r="AR17" s="78"/>
      <c r="AS17" s="78"/>
      <c r="AT17" s="78"/>
      <c r="AU17" s="78"/>
      <c r="AV17" s="78"/>
      <c r="AW17" s="78"/>
      <c r="AX17" s="78"/>
      <c r="AY17" s="78"/>
      <c r="AZ17" s="78"/>
      <c r="BA17" s="78"/>
      <c r="BB17" s="78"/>
      <c r="BC17" s="78"/>
    </row>
    <row r="18" spans="1:55" ht="23.25" customHeight="1">
      <c r="A18" s="78" t="s">
        <v>28</v>
      </c>
      <c r="B18" s="78"/>
      <c r="C18" s="78"/>
      <c r="D18" s="78"/>
      <c r="E18" s="78"/>
      <c r="F18" s="78"/>
      <c r="G18" s="78"/>
      <c r="H18" s="78"/>
      <c r="I18" s="78"/>
      <c r="J18" s="78"/>
      <c r="K18" s="78"/>
      <c r="L18" s="78"/>
      <c r="M18" s="78"/>
      <c r="N18" s="78"/>
      <c r="O18" s="78"/>
      <c r="P18" s="78"/>
      <c r="Q18" s="78"/>
      <c r="R18" s="78"/>
      <c r="S18" s="78"/>
      <c r="T18" s="78"/>
      <c r="U18" s="78"/>
      <c r="V18" s="78"/>
      <c r="W18" s="78"/>
      <c r="X18" s="78"/>
      <c r="Y18" s="78"/>
      <c r="Z18" s="78"/>
      <c r="AA18" s="78"/>
      <c r="AB18" s="78"/>
      <c r="AC18" s="78"/>
      <c r="AD18" s="78"/>
      <c r="AE18" s="78"/>
      <c r="AF18" s="78"/>
      <c r="AG18" s="78"/>
      <c r="AH18" s="78"/>
      <c r="AI18" s="78"/>
      <c r="AJ18" s="78"/>
      <c r="AK18" s="78"/>
      <c r="AL18" s="78"/>
      <c r="AM18" s="78"/>
      <c r="AN18" s="78"/>
      <c r="AO18" s="78"/>
      <c r="AP18" s="78"/>
      <c r="AQ18" s="78"/>
      <c r="AR18" s="78"/>
      <c r="AS18" s="78"/>
      <c r="AT18" s="78"/>
      <c r="AU18" s="78"/>
      <c r="AV18" s="78"/>
      <c r="AW18" s="78"/>
      <c r="AX18" s="78"/>
      <c r="AY18" s="78"/>
      <c r="AZ18" s="78"/>
      <c r="BA18" s="78"/>
      <c r="BB18" s="78"/>
      <c r="BC18" s="78"/>
    </row>
    <row r="19" spans="1:55" ht="77.25" customHeight="1">
      <c r="A19" s="78" t="s">
        <v>154</v>
      </c>
      <c r="B19" s="78"/>
      <c r="C19" s="78"/>
      <c r="D19" s="78"/>
      <c r="E19" s="78"/>
      <c r="F19" s="78"/>
      <c r="G19" s="78"/>
      <c r="H19" s="78"/>
      <c r="I19" s="78"/>
      <c r="J19" s="78"/>
      <c r="K19" s="78"/>
      <c r="L19" s="78"/>
      <c r="M19" s="78"/>
      <c r="N19" s="78"/>
      <c r="O19" s="78"/>
      <c r="P19" s="78"/>
      <c r="Q19" s="78"/>
      <c r="R19" s="78"/>
      <c r="S19" s="78"/>
      <c r="T19" s="78"/>
      <c r="U19" s="78"/>
      <c r="V19" s="78"/>
      <c r="W19" s="78"/>
      <c r="X19" s="78"/>
      <c r="Y19" s="78"/>
      <c r="Z19" s="78"/>
      <c r="AA19" s="78"/>
      <c r="AB19" s="78"/>
      <c r="AC19" s="78"/>
      <c r="AD19" s="78"/>
      <c r="AE19" s="78"/>
      <c r="AF19" s="78"/>
      <c r="AG19" s="78"/>
      <c r="AH19" s="78"/>
      <c r="AI19" s="78"/>
      <c r="AJ19" s="78"/>
      <c r="AK19" s="78"/>
      <c r="AL19" s="78"/>
      <c r="AM19" s="78"/>
      <c r="AN19" s="78"/>
      <c r="AO19" s="78"/>
      <c r="AP19" s="78"/>
      <c r="AQ19" s="78"/>
      <c r="AR19" s="78"/>
      <c r="AS19" s="78"/>
      <c r="AT19" s="78"/>
      <c r="AU19" s="78"/>
      <c r="AV19" s="78"/>
      <c r="AW19" s="78"/>
      <c r="AX19" s="78"/>
      <c r="AY19" s="78"/>
      <c r="AZ19" s="78"/>
      <c r="BA19" s="78"/>
      <c r="BB19" s="78"/>
      <c r="BC19" s="78"/>
    </row>
    <row r="20" spans="1:55" ht="88.5" customHeight="1">
      <c r="A20" s="78" t="s">
        <v>30</v>
      </c>
      <c r="B20" s="78"/>
      <c r="C20" s="78"/>
      <c r="D20" s="78"/>
      <c r="E20" s="78"/>
      <c r="F20" s="78"/>
      <c r="G20" s="78"/>
      <c r="H20" s="78"/>
      <c r="I20" s="78"/>
      <c r="J20" s="78"/>
      <c r="K20" s="78"/>
      <c r="L20" s="78"/>
      <c r="M20" s="78"/>
      <c r="N20" s="78"/>
      <c r="O20" s="78"/>
      <c r="P20" s="78"/>
      <c r="Q20" s="78"/>
      <c r="R20" s="78"/>
      <c r="S20" s="78"/>
      <c r="T20" s="78"/>
      <c r="U20" s="78"/>
      <c r="V20" s="78"/>
      <c r="W20" s="78"/>
      <c r="X20" s="78"/>
      <c r="Y20" s="78"/>
      <c r="Z20" s="78"/>
      <c r="AA20" s="78"/>
      <c r="AB20" s="78"/>
      <c r="AC20" s="78"/>
      <c r="AD20" s="78"/>
      <c r="AE20" s="78"/>
      <c r="AF20" s="78"/>
      <c r="AG20" s="78"/>
      <c r="AH20" s="78"/>
      <c r="AI20" s="78"/>
      <c r="AJ20" s="78"/>
      <c r="AK20" s="78"/>
      <c r="AL20" s="78"/>
      <c r="AM20" s="78"/>
      <c r="AN20" s="78"/>
      <c r="AO20" s="78"/>
      <c r="AP20" s="78"/>
      <c r="AQ20" s="78"/>
      <c r="AR20" s="78"/>
      <c r="AS20" s="78"/>
      <c r="AT20" s="78"/>
      <c r="AU20" s="78"/>
      <c r="AV20" s="78"/>
      <c r="AW20" s="78"/>
      <c r="AX20" s="78"/>
      <c r="AY20" s="78"/>
      <c r="AZ20" s="78"/>
      <c r="BA20" s="78"/>
      <c r="BB20" s="78"/>
      <c r="BC20" s="78"/>
    </row>
    <row r="21" spans="1:55" ht="77.25" customHeight="1">
      <c r="A21" s="79" t="s">
        <v>202</v>
      </c>
      <c r="B21" s="78"/>
      <c r="C21" s="78"/>
      <c r="D21" s="78"/>
      <c r="E21" s="78"/>
      <c r="F21" s="78"/>
      <c r="G21" s="78"/>
      <c r="H21" s="78"/>
      <c r="I21" s="78"/>
      <c r="J21" s="78"/>
      <c r="K21" s="78"/>
      <c r="L21" s="78"/>
      <c r="M21" s="78"/>
      <c r="N21" s="78"/>
      <c r="O21" s="78"/>
      <c r="P21" s="78"/>
      <c r="Q21" s="78"/>
      <c r="R21" s="78"/>
      <c r="S21" s="78"/>
      <c r="T21" s="78"/>
      <c r="U21" s="78"/>
      <c r="V21" s="78"/>
      <c r="W21" s="78"/>
      <c r="X21" s="78"/>
      <c r="Y21" s="78"/>
      <c r="Z21" s="78"/>
      <c r="AA21" s="78"/>
      <c r="AB21" s="78"/>
      <c r="AC21" s="78"/>
      <c r="AD21" s="78"/>
      <c r="AE21" s="78"/>
      <c r="AF21" s="78"/>
      <c r="AG21" s="78"/>
      <c r="AH21" s="78"/>
      <c r="AI21" s="78"/>
      <c r="AJ21" s="78"/>
      <c r="AK21" s="78"/>
      <c r="AL21" s="78"/>
      <c r="AM21" s="78"/>
      <c r="AN21" s="78"/>
      <c r="AO21" s="78"/>
      <c r="AP21" s="78"/>
      <c r="AQ21" s="78"/>
      <c r="AR21" s="78"/>
      <c r="AS21" s="78"/>
      <c r="AT21" s="78"/>
      <c r="AU21" s="78"/>
      <c r="AV21" s="78"/>
      <c r="AW21" s="78"/>
      <c r="AX21" s="78"/>
      <c r="AY21" s="78"/>
      <c r="AZ21" s="78"/>
      <c r="BA21" s="78"/>
      <c r="BB21" s="78"/>
      <c r="BC21" s="78"/>
    </row>
    <row r="22" spans="1:55" ht="34.5" customHeight="1">
      <c r="A22" s="79" t="s">
        <v>191</v>
      </c>
      <c r="B22" s="79"/>
      <c r="C22" s="79"/>
      <c r="D22" s="79"/>
      <c r="E22" s="79"/>
      <c r="F22" s="79"/>
      <c r="G22" s="79"/>
      <c r="H22" s="79"/>
      <c r="I22" s="79"/>
      <c r="J22" s="79"/>
      <c r="K22" s="79"/>
      <c r="L22" s="79"/>
      <c r="M22" s="79"/>
      <c r="N22" s="79"/>
      <c r="O22" s="79"/>
      <c r="P22" s="79"/>
      <c r="Q22" s="79"/>
      <c r="R22" s="79"/>
      <c r="S22" s="79"/>
      <c r="T22" s="79"/>
      <c r="U22" s="79"/>
      <c r="V22" s="79"/>
      <c r="W22" s="79"/>
      <c r="X22" s="79"/>
      <c r="Y22" s="79"/>
      <c r="Z22" s="79"/>
      <c r="AA22" s="79"/>
      <c r="AB22" s="79"/>
      <c r="AC22" s="79"/>
      <c r="AD22" s="79"/>
      <c r="AE22" s="79"/>
      <c r="AF22" s="79"/>
      <c r="AG22" s="79"/>
      <c r="AH22" s="79"/>
      <c r="AI22" s="79"/>
      <c r="AJ22" s="79"/>
      <c r="AK22" s="79"/>
      <c r="AL22" s="79"/>
      <c r="AM22" s="79"/>
      <c r="AN22" s="79"/>
      <c r="AO22" s="79"/>
      <c r="AP22" s="79"/>
      <c r="AQ22" s="79"/>
      <c r="AR22" s="79"/>
      <c r="AS22" s="79"/>
      <c r="AT22" s="79"/>
      <c r="AU22" s="79"/>
      <c r="AV22" s="79"/>
      <c r="AW22" s="79"/>
      <c r="AX22" s="79"/>
      <c r="AY22" s="79"/>
      <c r="AZ22" s="79"/>
      <c r="BA22" s="79"/>
      <c r="BB22" s="79"/>
      <c r="BC22" s="79"/>
    </row>
    <row r="23" spans="1:55" ht="21.75" customHeight="1">
      <c r="A23" s="79" t="s">
        <v>192</v>
      </c>
      <c r="B23" s="79"/>
      <c r="C23" s="79"/>
      <c r="D23" s="79"/>
      <c r="E23" s="79"/>
      <c r="F23" s="79"/>
      <c r="G23" s="79"/>
      <c r="H23" s="79"/>
      <c r="I23" s="79"/>
      <c r="J23" s="79"/>
      <c r="K23" s="79"/>
      <c r="L23" s="79"/>
      <c r="M23" s="79"/>
      <c r="N23" s="79"/>
      <c r="O23" s="79"/>
      <c r="P23" s="79"/>
      <c r="Q23" s="79"/>
      <c r="R23" s="79"/>
      <c r="S23" s="79"/>
      <c r="T23" s="79"/>
      <c r="U23" s="79"/>
      <c r="V23" s="79"/>
      <c r="W23" s="79"/>
      <c r="X23" s="79"/>
      <c r="Y23" s="79"/>
      <c r="Z23" s="79"/>
      <c r="AA23" s="79"/>
      <c r="AB23" s="79"/>
      <c r="AC23" s="79"/>
      <c r="AD23" s="79"/>
      <c r="AE23" s="79"/>
      <c r="AF23" s="79"/>
      <c r="AG23" s="79"/>
      <c r="AH23" s="79"/>
      <c r="AI23" s="79"/>
      <c r="AJ23" s="79"/>
      <c r="AK23" s="79"/>
      <c r="AL23" s="79"/>
      <c r="AM23" s="79"/>
      <c r="AN23" s="79"/>
      <c r="AO23" s="79"/>
      <c r="AP23" s="79"/>
      <c r="AQ23" s="79"/>
      <c r="AR23" s="79"/>
      <c r="AS23" s="79"/>
      <c r="AT23" s="79"/>
      <c r="AU23" s="79"/>
      <c r="AV23" s="79"/>
      <c r="AW23" s="79"/>
      <c r="AX23" s="79"/>
      <c r="AY23" s="79"/>
      <c r="AZ23" s="79"/>
      <c r="BA23" s="79"/>
      <c r="BB23" s="79"/>
      <c r="BC23" s="79"/>
    </row>
    <row r="24" spans="1:55" ht="91.5" customHeight="1">
      <c r="A24" s="79" t="s">
        <v>211</v>
      </c>
      <c r="B24" s="79"/>
      <c r="C24" s="79"/>
      <c r="D24" s="79"/>
      <c r="E24" s="79"/>
      <c r="F24" s="79"/>
      <c r="G24" s="79"/>
      <c r="H24" s="79"/>
      <c r="I24" s="79"/>
      <c r="J24" s="79"/>
      <c r="K24" s="79"/>
      <c r="L24" s="79"/>
      <c r="M24" s="79"/>
      <c r="N24" s="79"/>
      <c r="O24" s="79"/>
      <c r="P24" s="79"/>
      <c r="Q24" s="79"/>
      <c r="R24" s="79"/>
      <c r="S24" s="79"/>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c r="AX24" s="79"/>
      <c r="AY24" s="79"/>
      <c r="AZ24" s="79"/>
      <c r="BA24" s="79"/>
      <c r="BB24" s="79"/>
      <c r="BC24" s="79"/>
    </row>
    <row r="25" spans="1:55" ht="33.6" customHeight="1">
      <c r="A25" s="78" t="s">
        <v>212</v>
      </c>
      <c r="B25" s="78"/>
      <c r="C25" s="78"/>
      <c r="D25" s="78"/>
      <c r="E25" s="78"/>
      <c r="F25" s="78"/>
      <c r="G25" s="78"/>
      <c r="H25" s="78"/>
      <c r="I25" s="78"/>
      <c r="J25" s="78"/>
      <c r="K25" s="78"/>
      <c r="L25" s="78"/>
      <c r="M25" s="78"/>
      <c r="N25" s="78"/>
      <c r="O25" s="78"/>
      <c r="P25" s="78"/>
      <c r="Q25" s="78"/>
      <c r="R25" s="78"/>
      <c r="S25" s="78"/>
      <c r="T25" s="78"/>
      <c r="U25" s="78"/>
      <c r="V25" s="78"/>
      <c r="W25" s="78"/>
      <c r="X25" s="78"/>
      <c r="Y25" s="78"/>
      <c r="Z25" s="78"/>
      <c r="AA25" s="78"/>
      <c r="AB25" s="78"/>
      <c r="AC25" s="78"/>
      <c r="AD25" s="78"/>
      <c r="AE25" s="78"/>
      <c r="AF25" s="78"/>
      <c r="AG25" s="78"/>
      <c r="AH25" s="78"/>
      <c r="AI25" s="78"/>
      <c r="AJ25" s="78"/>
      <c r="AK25" s="78"/>
      <c r="AL25" s="78"/>
      <c r="AM25" s="78"/>
      <c r="AN25" s="78"/>
      <c r="AO25" s="78"/>
      <c r="AP25" s="78"/>
      <c r="AQ25" s="78"/>
      <c r="AR25" s="78"/>
      <c r="AS25" s="78"/>
      <c r="AT25" s="78"/>
      <c r="AU25" s="78"/>
      <c r="AV25" s="78"/>
      <c r="AW25" s="78"/>
      <c r="AX25" s="78"/>
      <c r="AY25" s="78"/>
      <c r="AZ25" s="78"/>
      <c r="BA25" s="78"/>
      <c r="BB25" s="78"/>
      <c r="BC25" s="78"/>
    </row>
    <row r="26" spans="1:55" ht="77.25" customHeight="1">
      <c r="A26" s="78" t="s">
        <v>155</v>
      </c>
      <c r="B26" s="78"/>
      <c r="C26" s="78"/>
      <c r="D26" s="78"/>
      <c r="E26" s="78"/>
      <c r="F26" s="78"/>
      <c r="G26" s="78"/>
      <c r="H26" s="78"/>
      <c r="I26" s="78"/>
      <c r="J26" s="78"/>
      <c r="K26" s="78"/>
      <c r="L26" s="78"/>
      <c r="M26" s="78"/>
      <c r="N26" s="78"/>
      <c r="O26" s="78"/>
      <c r="P26" s="78"/>
      <c r="Q26" s="78"/>
      <c r="R26" s="78"/>
      <c r="S26" s="78"/>
      <c r="T26" s="78"/>
      <c r="U26" s="78"/>
      <c r="V26" s="78"/>
      <c r="W26" s="78"/>
      <c r="X26" s="78"/>
      <c r="Y26" s="78"/>
      <c r="Z26" s="78"/>
      <c r="AA26" s="78"/>
      <c r="AB26" s="78"/>
      <c r="AC26" s="78"/>
      <c r="AD26" s="78"/>
      <c r="AE26" s="78"/>
      <c r="AF26" s="78"/>
      <c r="AG26" s="78"/>
      <c r="AH26" s="78"/>
      <c r="AI26" s="78"/>
      <c r="AJ26" s="78"/>
      <c r="AK26" s="78"/>
      <c r="AL26" s="78"/>
      <c r="AM26" s="78"/>
      <c r="AN26" s="78"/>
      <c r="AO26" s="78"/>
      <c r="AP26" s="78"/>
      <c r="AQ26" s="78"/>
      <c r="AR26" s="78"/>
      <c r="AS26" s="78"/>
      <c r="AT26" s="78"/>
      <c r="AU26" s="78"/>
      <c r="AV26" s="78"/>
      <c r="AW26" s="78"/>
      <c r="AX26" s="78"/>
      <c r="AY26" s="78"/>
      <c r="AZ26" s="78"/>
      <c r="BA26" s="78"/>
      <c r="BB26" s="78"/>
      <c r="BC26" s="78"/>
    </row>
    <row r="27" spans="1:55" ht="36.75" customHeight="1">
      <c r="A27" s="78" t="s">
        <v>31</v>
      </c>
      <c r="B27" s="78"/>
      <c r="C27" s="78"/>
      <c r="D27" s="78"/>
      <c r="E27" s="78"/>
      <c r="F27" s="78"/>
      <c r="G27" s="78"/>
      <c r="H27" s="78"/>
      <c r="I27" s="78"/>
      <c r="J27" s="78"/>
      <c r="K27" s="78"/>
      <c r="L27" s="78"/>
      <c r="M27" s="78"/>
      <c r="N27" s="78"/>
      <c r="O27" s="78"/>
      <c r="P27" s="78"/>
      <c r="Q27" s="78"/>
      <c r="R27" s="78"/>
      <c r="S27" s="78"/>
      <c r="T27" s="78"/>
      <c r="U27" s="78"/>
      <c r="V27" s="78"/>
      <c r="W27" s="78"/>
      <c r="X27" s="78"/>
      <c r="Y27" s="78"/>
      <c r="Z27" s="78"/>
      <c r="AA27" s="78"/>
      <c r="AB27" s="78"/>
      <c r="AC27" s="78"/>
      <c r="AD27" s="78"/>
      <c r="AE27" s="78"/>
      <c r="AF27" s="78"/>
      <c r="AG27" s="78"/>
      <c r="AH27" s="78"/>
      <c r="AI27" s="78"/>
      <c r="AJ27" s="78"/>
      <c r="AK27" s="78"/>
      <c r="AL27" s="78"/>
      <c r="AM27" s="78"/>
      <c r="AN27" s="78"/>
      <c r="AO27" s="78"/>
      <c r="AP27" s="78"/>
      <c r="AQ27" s="78"/>
      <c r="AR27" s="78"/>
      <c r="AS27" s="78"/>
      <c r="AT27" s="78"/>
      <c r="AU27" s="78"/>
      <c r="AV27" s="78"/>
      <c r="AW27" s="78"/>
      <c r="AX27" s="78"/>
      <c r="AY27" s="78"/>
      <c r="AZ27" s="78"/>
      <c r="BA27" s="78"/>
      <c r="BB27" s="78"/>
      <c r="BC27" s="78"/>
    </row>
    <row r="28" spans="1:55" ht="63" customHeight="1">
      <c r="A28" s="78" t="s">
        <v>156</v>
      </c>
      <c r="B28" s="78"/>
      <c r="C28" s="78"/>
      <c r="D28" s="78"/>
      <c r="E28" s="78"/>
      <c r="F28" s="78"/>
      <c r="G28" s="78"/>
      <c r="H28" s="78"/>
      <c r="I28" s="78"/>
      <c r="J28" s="78"/>
      <c r="K28" s="78"/>
      <c r="L28" s="78"/>
      <c r="M28" s="78"/>
      <c r="N28" s="78"/>
      <c r="O28" s="78"/>
      <c r="P28" s="78"/>
      <c r="Q28" s="78"/>
      <c r="R28" s="78"/>
      <c r="S28" s="78"/>
      <c r="T28" s="78"/>
      <c r="U28" s="78"/>
      <c r="V28" s="78"/>
      <c r="W28" s="78"/>
      <c r="X28" s="78"/>
      <c r="Y28" s="78"/>
      <c r="Z28" s="78"/>
      <c r="AA28" s="78"/>
      <c r="AB28" s="78"/>
      <c r="AC28" s="78"/>
      <c r="AD28" s="78"/>
      <c r="AE28" s="78"/>
      <c r="AF28" s="78"/>
      <c r="AG28" s="78"/>
      <c r="AH28" s="78"/>
      <c r="AI28" s="78"/>
      <c r="AJ28" s="78"/>
      <c r="AK28" s="78"/>
      <c r="AL28" s="78"/>
      <c r="AM28" s="78"/>
      <c r="AN28" s="78"/>
      <c r="AO28" s="78"/>
      <c r="AP28" s="78"/>
      <c r="AQ28" s="78"/>
      <c r="AR28" s="78"/>
      <c r="AS28" s="78"/>
      <c r="AT28" s="78"/>
      <c r="AU28" s="78"/>
      <c r="AV28" s="78"/>
      <c r="AW28" s="78"/>
      <c r="AX28" s="78"/>
      <c r="AY28" s="78"/>
      <c r="AZ28" s="78"/>
      <c r="BA28" s="78"/>
      <c r="BB28" s="78"/>
      <c r="BC28" s="78"/>
    </row>
    <row r="29" spans="1:55" ht="33.6" customHeight="1">
      <c r="A29" s="78" t="s">
        <v>32</v>
      </c>
      <c r="B29" s="78"/>
      <c r="C29" s="78"/>
      <c r="D29" s="78"/>
      <c r="E29" s="78"/>
      <c r="F29" s="78"/>
      <c r="G29" s="78"/>
      <c r="H29" s="78"/>
      <c r="I29" s="78"/>
      <c r="J29" s="78"/>
      <c r="K29" s="78"/>
      <c r="L29" s="78"/>
      <c r="M29" s="78"/>
      <c r="N29" s="78"/>
      <c r="O29" s="78"/>
      <c r="P29" s="78"/>
      <c r="Q29" s="78"/>
      <c r="R29" s="78"/>
      <c r="S29" s="78"/>
      <c r="T29" s="78"/>
      <c r="U29" s="78"/>
      <c r="V29" s="78"/>
      <c r="W29" s="78"/>
      <c r="X29" s="78"/>
      <c r="Y29" s="78"/>
      <c r="Z29" s="78"/>
      <c r="AA29" s="78"/>
      <c r="AB29" s="78"/>
      <c r="AC29" s="78"/>
      <c r="AD29" s="78"/>
      <c r="AE29" s="78"/>
      <c r="AF29" s="78"/>
      <c r="AG29" s="78"/>
      <c r="AH29" s="78"/>
      <c r="AI29" s="78"/>
      <c r="AJ29" s="78"/>
      <c r="AK29" s="78"/>
      <c r="AL29" s="78"/>
      <c r="AM29" s="78"/>
      <c r="AN29" s="78"/>
      <c r="AO29" s="78"/>
      <c r="AP29" s="78"/>
      <c r="AQ29" s="78"/>
      <c r="AR29" s="78"/>
      <c r="AS29" s="78"/>
      <c r="AT29" s="78"/>
      <c r="AU29" s="78"/>
      <c r="AV29" s="78"/>
      <c r="AW29" s="78"/>
      <c r="AX29" s="78"/>
      <c r="AY29" s="78"/>
      <c r="AZ29" s="78"/>
      <c r="BA29" s="78"/>
      <c r="BB29" s="78"/>
      <c r="BC29" s="78"/>
    </row>
    <row r="30" spans="1:55" ht="11.85" customHeight="1">
      <c r="A30" s="80" t="s">
        <v>2</v>
      </c>
      <c r="B30" s="80"/>
      <c r="C30" s="80"/>
      <c r="D30" s="80"/>
      <c r="E30" s="80"/>
      <c r="F30" s="80"/>
      <c r="G30" s="80"/>
      <c r="H30" s="80"/>
      <c r="I30" s="80"/>
      <c r="J30" s="80"/>
      <c r="K30" s="80"/>
      <c r="L30" s="80"/>
      <c r="M30" s="80"/>
      <c r="N30" s="80"/>
      <c r="O30" s="80"/>
      <c r="P30" s="80"/>
      <c r="Q30" s="80"/>
      <c r="R30" s="80"/>
      <c r="S30" s="80"/>
      <c r="T30" s="80"/>
      <c r="U30" s="80"/>
      <c r="V30" s="80"/>
      <c r="W30" s="80"/>
      <c r="X30" s="80"/>
      <c r="Y30" s="80"/>
      <c r="Z30" s="80"/>
      <c r="AA30" s="80"/>
      <c r="AB30" s="80"/>
      <c r="AC30" s="80"/>
      <c r="AD30" s="80"/>
      <c r="AE30" s="80"/>
      <c r="AF30" s="80"/>
      <c r="AG30" s="80"/>
      <c r="AH30" s="80"/>
      <c r="AI30" s="80"/>
      <c r="AJ30" s="80"/>
      <c r="AK30" s="80"/>
      <c r="AL30" s="80"/>
      <c r="AM30" s="80"/>
      <c r="AN30" s="80"/>
      <c r="AO30" s="80"/>
      <c r="AP30" s="80"/>
      <c r="AQ30" s="80"/>
      <c r="AR30" s="80"/>
      <c r="AS30" s="80"/>
      <c r="AT30" s="80"/>
      <c r="AU30" s="80"/>
      <c r="AV30" s="80"/>
      <c r="AW30" s="80"/>
      <c r="AX30" s="80"/>
      <c r="AY30" s="80"/>
      <c r="AZ30" s="80"/>
      <c r="BA30" s="80"/>
      <c r="BB30" s="80"/>
      <c r="BC30" s="80"/>
    </row>
    <row r="31" spans="1:55" ht="11.85" customHeight="1">
      <c r="A31" s="82" t="s">
        <v>210</v>
      </c>
      <c r="B31" s="82"/>
      <c r="C31" s="82"/>
      <c r="D31" s="82"/>
      <c r="E31" s="82"/>
      <c r="F31" s="82"/>
      <c r="G31" s="82"/>
      <c r="H31" s="82"/>
      <c r="I31" s="82"/>
      <c r="J31" s="82"/>
      <c r="K31" s="82"/>
      <c r="L31" s="82"/>
      <c r="M31" s="82"/>
      <c r="N31" s="82"/>
      <c r="O31" s="82"/>
      <c r="P31" s="82"/>
      <c r="Q31" s="82"/>
      <c r="R31" s="82"/>
      <c r="S31" s="82"/>
      <c r="T31" s="82"/>
      <c r="U31" s="82"/>
      <c r="V31" s="82"/>
      <c r="W31" s="82"/>
      <c r="X31" s="82"/>
      <c r="Y31" s="82"/>
      <c r="Z31" s="82"/>
      <c r="AA31" s="82"/>
      <c r="AB31" s="82"/>
      <c r="AC31" s="82"/>
      <c r="AD31" s="82"/>
      <c r="AE31" s="82"/>
      <c r="AF31" s="82"/>
      <c r="AG31" s="82"/>
      <c r="AH31" s="82"/>
      <c r="AI31" s="82"/>
      <c r="AJ31" s="82"/>
      <c r="AK31" s="82"/>
      <c r="AL31" s="82"/>
      <c r="AM31" s="82"/>
      <c r="AN31" s="82"/>
      <c r="AO31" s="82"/>
      <c r="AP31" s="82"/>
      <c r="AQ31" s="82"/>
      <c r="AR31" s="82"/>
      <c r="AS31" s="82"/>
      <c r="AT31" s="82"/>
      <c r="AU31" s="82"/>
      <c r="AV31" s="82"/>
      <c r="AW31" s="82"/>
      <c r="AX31" s="82"/>
      <c r="AY31" s="82"/>
      <c r="AZ31" s="82"/>
      <c r="BA31" s="82"/>
      <c r="BB31" s="82"/>
      <c r="BC31" s="82"/>
    </row>
    <row r="32" spans="1:55" ht="21.75" customHeight="1">
      <c r="A32" s="79" t="s">
        <v>203</v>
      </c>
      <c r="B32" s="82"/>
      <c r="C32" s="82"/>
      <c r="D32" s="82"/>
      <c r="E32" s="82"/>
      <c r="F32" s="82"/>
      <c r="G32" s="82"/>
      <c r="H32" s="82"/>
      <c r="I32" s="82"/>
      <c r="J32" s="82"/>
      <c r="K32" s="82"/>
      <c r="L32" s="82"/>
      <c r="M32" s="82"/>
      <c r="N32" s="82"/>
      <c r="O32" s="82"/>
      <c r="P32" s="82"/>
      <c r="Q32" s="82"/>
      <c r="R32" s="82"/>
      <c r="S32" s="82"/>
      <c r="T32" s="82"/>
      <c r="U32" s="82"/>
      <c r="V32" s="82"/>
      <c r="W32" s="82"/>
      <c r="X32" s="82"/>
      <c r="Y32" s="82"/>
      <c r="Z32" s="82"/>
      <c r="AA32" s="82"/>
      <c r="AB32" s="82"/>
      <c r="AC32" s="82"/>
      <c r="AD32" s="82"/>
      <c r="AE32" s="82"/>
      <c r="AF32" s="82"/>
      <c r="AG32" s="82"/>
      <c r="AH32" s="82"/>
      <c r="AI32" s="82"/>
      <c r="AJ32" s="82"/>
      <c r="AK32" s="82"/>
      <c r="AL32" s="82"/>
      <c r="AM32" s="82"/>
      <c r="AN32" s="82"/>
      <c r="AO32" s="82"/>
      <c r="AP32" s="82"/>
      <c r="AQ32" s="82"/>
      <c r="AR32" s="82"/>
      <c r="AS32" s="82"/>
      <c r="AT32" s="82"/>
      <c r="AU32" s="82"/>
      <c r="AV32" s="82"/>
      <c r="AW32" s="82"/>
      <c r="AX32" s="82"/>
      <c r="AY32" s="82"/>
      <c r="AZ32" s="82"/>
      <c r="BA32" s="82"/>
      <c r="BB32" s="82"/>
      <c r="BC32" s="82"/>
    </row>
    <row r="33" spans="1:55" ht="14.25" customHeight="1">
      <c r="A33" s="82" t="s">
        <v>204</v>
      </c>
      <c r="B33" s="82"/>
      <c r="C33" s="82"/>
      <c r="D33" s="82"/>
      <c r="E33" s="82"/>
      <c r="F33" s="82"/>
      <c r="G33" s="82"/>
      <c r="H33" s="82"/>
      <c r="I33" s="82"/>
      <c r="J33" s="82"/>
      <c r="K33" s="82"/>
      <c r="L33" s="82"/>
      <c r="M33" s="82"/>
      <c r="N33" s="82"/>
      <c r="O33" s="82"/>
      <c r="P33" s="82"/>
      <c r="Q33" s="82"/>
      <c r="R33" s="82"/>
      <c r="S33" s="82"/>
      <c r="T33" s="82"/>
      <c r="U33" s="82"/>
      <c r="V33" s="82"/>
      <c r="W33" s="82"/>
      <c r="X33" s="82"/>
      <c r="Y33" s="82"/>
      <c r="Z33" s="82"/>
      <c r="AA33" s="82"/>
      <c r="AB33" s="82"/>
      <c r="AC33" s="82"/>
      <c r="AD33" s="82"/>
      <c r="AE33" s="82"/>
      <c r="AF33" s="82"/>
      <c r="AG33" s="82"/>
      <c r="AH33" s="82"/>
      <c r="AI33" s="82"/>
      <c r="AJ33" s="82"/>
      <c r="AK33" s="82"/>
      <c r="AL33" s="82"/>
      <c r="AM33" s="82"/>
      <c r="AN33" s="82"/>
      <c r="AO33" s="82"/>
      <c r="AP33" s="82"/>
      <c r="AQ33" s="82"/>
      <c r="AR33" s="82"/>
      <c r="AS33" s="82"/>
      <c r="AT33" s="82"/>
      <c r="AU33" s="82"/>
      <c r="AV33" s="82"/>
      <c r="AW33" s="82"/>
      <c r="AX33" s="82"/>
      <c r="AY33" s="82"/>
      <c r="AZ33" s="82"/>
      <c r="BA33" s="82"/>
      <c r="BB33" s="82"/>
      <c r="BC33" s="82"/>
    </row>
    <row r="34" spans="1:55" ht="11.85" customHeight="1">
      <c r="A34" s="79" t="s">
        <v>157</v>
      </c>
      <c r="B34" s="82"/>
      <c r="C34" s="82"/>
      <c r="D34" s="82"/>
      <c r="E34" s="82"/>
      <c r="F34" s="82"/>
      <c r="G34" s="82"/>
      <c r="H34" s="82"/>
      <c r="I34" s="82"/>
      <c r="J34" s="82"/>
      <c r="K34" s="82"/>
      <c r="L34" s="82"/>
      <c r="M34" s="82"/>
      <c r="N34" s="82"/>
      <c r="O34" s="82"/>
      <c r="P34" s="82"/>
      <c r="Q34" s="82"/>
      <c r="R34" s="82"/>
      <c r="S34" s="82"/>
      <c r="T34" s="82"/>
      <c r="U34" s="82"/>
      <c r="V34" s="82"/>
      <c r="W34" s="82"/>
      <c r="X34" s="82"/>
      <c r="Y34" s="82"/>
      <c r="Z34" s="82"/>
      <c r="AA34" s="82"/>
      <c r="AB34" s="82"/>
      <c r="AC34" s="82"/>
      <c r="AD34" s="82"/>
      <c r="AE34" s="82"/>
      <c r="AF34" s="82"/>
      <c r="AG34" s="82"/>
      <c r="AH34" s="82"/>
      <c r="AI34" s="82"/>
      <c r="AJ34" s="82"/>
      <c r="AK34" s="82"/>
      <c r="AL34" s="82"/>
      <c r="AM34" s="82"/>
      <c r="AN34" s="82"/>
      <c r="AO34" s="82"/>
      <c r="AP34" s="82"/>
      <c r="AQ34" s="82"/>
      <c r="AR34" s="82"/>
      <c r="AS34" s="82"/>
      <c r="AT34" s="82"/>
      <c r="AU34" s="82"/>
      <c r="AV34" s="82"/>
      <c r="AW34" s="82"/>
      <c r="AX34" s="82"/>
      <c r="AY34" s="82"/>
      <c r="AZ34" s="82"/>
      <c r="BA34" s="82"/>
      <c r="BB34" s="82"/>
      <c r="BC34" s="82"/>
    </row>
    <row r="35" spans="1:55" ht="21.75" customHeight="1">
      <c r="A35" s="79" t="s">
        <v>86</v>
      </c>
      <c r="B35" s="82"/>
      <c r="C35" s="82"/>
      <c r="D35" s="82"/>
      <c r="E35" s="82"/>
      <c r="F35" s="82"/>
      <c r="G35" s="82"/>
      <c r="H35" s="82"/>
      <c r="I35" s="82"/>
      <c r="J35" s="82"/>
      <c r="K35" s="82"/>
      <c r="L35" s="82"/>
      <c r="M35" s="82"/>
      <c r="N35" s="82"/>
      <c r="O35" s="82"/>
      <c r="P35" s="82"/>
      <c r="Q35" s="82"/>
      <c r="R35" s="82"/>
      <c r="S35" s="82"/>
      <c r="T35" s="82"/>
      <c r="U35" s="82"/>
      <c r="V35" s="82"/>
      <c r="W35" s="82"/>
      <c r="X35" s="82"/>
      <c r="Y35" s="82"/>
      <c r="Z35" s="82"/>
      <c r="AA35" s="82"/>
      <c r="AB35" s="82"/>
      <c r="AC35" s="82"/>
      <c r="AD35" s="82"/>
      <c r="AE35" s="82"/>
      <c r="AF35" s="82"/>
      <c r="AG35" s="82"/>
      <c r="AH35" s="82"/>
      <c r="AI35" s="82"/>
      <c r="AJ35" s="82"/>
      <c r="AK35" s="82"/>
      <c r="AL35" s="82"/>
      <c r="AM35" s="82"/>
      <c r="AN35" s="82"/>
      <c r="AO35" s="82"/>
      <c r="AP35" s="82"/>
      <c r="AQ35" s="82"/>
      <c r="AR35" s="82"/>
      <c r="AS35" s="82"/>
      <c r="AT35" s="82"/>
      <c r="AU35" s="82"/>
      <c r="AV35" s="82"/>
      <c r="AW35" s="82"/>
      <c r="AX35" s="82"/>
      <c r="AY35" s="82"/>
      <c r="AZ35" s="82"/>
      <c r="BA35" s="82"/>
      <c r="BB35" s="82"/>
      <c r="BC35" s="82"/>
    </row>
    <row r="36" spans="1:55" ht="11.85" customHeight="1">
      <c r="A36" s="82" t="s">
        <v>205</v>
      </c>
      <c r="B36" s="82"/>
      <c r="C36" s="82"/>
      <c r="D36" s="82"/>
      <c r="E36" s="82"/>
      <c r="F36" s="82"/>
      <c r="G36" s="82"/>
      <c r="H36" s="82"/>
      <c r="I36" s="82"/>
      <c r="J36" s="82"/>
      <c r="K36" s="82"/>
      <c r="L36" s="82"/>
      <c r="M36" s="82"/>
      <c r="N36" s="82"/>
      <c r="O36" s="82"/>
      <c r="P36" s="82"/>
      <c r="Q36" s="82"/>
      <c r="R36" s="82"/>
      <c r="S36" s="82"/>
      <c r="T36" s="82"/>
      <c r="U36" s="82"/>
      <c r="V36" s="82"/>
      <c r="W36" s="82"/>
      <c r="X36" s="82"/>
      <c r="Y36" s="82"/>
      <c r="Z36" s="82"/>
      <c r="AA36" s="82"/>
      <c r="AB36" s="82"/>
      <c r="AC36" s="82"/>
      <c r="AD36" s="82"/>
      <c r="AE36" s="82"/>
      <c r="AF36" s="82"/>
      <c r="AG36" s="82"/>
      <c r="AH36" s="82"/>
      <c r="AI36" s="82"/>
      <c r="AJ36" s="82"/>
      <c r="AK36" s="82"/>
      <c r="AL36" s="82"/>
      <c r="AM36" s="82"/>
      <c r="AN36" s="82"/>
      <c r="AO36" s="82"/>
      <c r="AP36" s="82"/>
      <c r="AQ36" s="82"/>
      <c r="AR36" s="82"/>
      <c r="AS36" s="82"/>
      <c r="AT36" s="82"/>
      <c r="AU36" s="82"/>
      <c r="AV36" s="82"/>
      <c r="AW36" s="82"/>
      <c r="AX36" s="82"/>
      <c r="AY36" s="82"/>
      <c r="AZ36" s="82"/>
      <c r="BA36" s="82"/>
      <c r="BB36" s="82"/>
      <c r="BC36" s="82"/>
    </row>
    <row r="37" spans="1:55" ht="12" customHeight="1">
      <c r="A37" s="80" t="s">
        <v>4</v>
      </c>
      <c r="B37" s="80"/>
      <c r="C37" s="80"/>
      <c r="D37" s="80"/>
      <c r="E37" s="80"/>
      <c r="F37" s="80"/>
      <c r="G37" s="80"/>
      <c r="H37" s="80"/>
      <c r="I37" s="80"/>
      <c r="J37" s="80"/>
      <c r="K37" s="80"/>
      <c r="L37" s="80"/>
      <c r="M37" s="80"/>
      <c r="N37" s="80"/>
      <c r="O37" s="80"/>
      <c r="P37" s="80"/>
      <c r="Q37" s="80"/>
      <c r="R37" s="80"/>
      <c r="S37" s="80"/>
      <c r="T37" s="80"/>
      <c r="U37" s="80"/>
      <c r="V37" s="80"/>
      <c r="W37" s="80"/>
      <c r="X37" s="80"/>
      <c r="Y37" s="80"/>
      <c r="Z37" s="80"/>
      <c r="AA37" s="80"/>
      <c r="AB37" s="80"/>
      <c r="AC37" s="80"/>
      <c r="AD37" s="80"/>
      <c r="AE37" s="80"/>
      <c r="AF37" s="80"/>
      <c r="AG37" s="80"/>
      <c r="AH37" s="80"/>
      <c r="AI37" s="80"/>
      <c r="AJ37" s="80"/>
      <c r="AK37" s="80"/>
      <c r="AL37" s="80"/>
      <c r="AM37" s="80"/>
      <c r="AN37" s="80"/>
      <c r="AO37" s="80"/>
      <c r="AP37" s="80"/>
      <c r="AQ37" s="80"/>
      <c r="AR37" s="80"/>
      <c r="AS37" s="80"/>
      <c r="AT37" s="80"/>
      <c r="AU37" s="80"/>
      <c r="AV37" s="80"/>
      <c r="AW37" s="80"/>
      <c r="AX37" s="80"/>
      <c r="AY37" s="80"/>
      <c r="AZ37" s="80"/>
      <c r="BA37" s="80"/>
      <c r="BB37" s="80"/>
      <c r="BC37" s="80"/>
    </row>
    <row r="38" spans="1:55" ht="11.85" customHeight="1">
      <c r="A38" s="78" t="s">
        <v>33</v>
      </c>
      <c r="B38" s="78"/>
      <c r="C38" s="78"/>
      <c r="D38" s="78"/>
      <c r="E38" s="78"/>
      <c r="F38" s="78"/>
      <c r="G38" s="78"/>
      <c r="H38" s="78"/>
      <c r="I38" s="78"/>
      <c r="J38" s="78"/>
      <c r="K38" s="78"/>
      <c r="L38" s="78"/>
      <c r="M38" s="78"/>
      <c r="N38" s="78"/>
      <c r="O38" s="78"/>
      <c r="P38" s="78"/>
      <c r="Q38" s="78"/>
      <c r="R38" s="78"/>
      <c r="S38" s="78"/>
      <c r="T38" s="78"/>
      <c r="U38" s="78"/>
      <c r="V38" s="78"/>
      <c r="W38" s="78"/>
      <c r="X38" s="78"/>
      <c r="Y38" s="78"/>
      <c r="Z38" s="78"/>
      <c r="AA38" s="78"/>
      <c r="AB38" s="78"/>
      <c r="AC38" s="78"/>
      <c r="AD38" s="78"/>
      <c r="AE38" s="78"/>
      <c r="AF38" s="78"/>
      <c r="AG38" s="78"/>
      <c r="AH38" s="78"/>
      <c r="AI38" s="78"/>
      <c r="AJ38" s="78"/>
      <c r="AK38" s="78"/>
      <c r="AL38" s="78"/>
      <c r="AM38" s="78"/>
      <c r="AN38" s="78"/>
      <c r="AO38" s="78"/>
      <c r="AP38" s="78"/>
      <c r="AQ38" s="78"/>
      <c r="AR38" s="78"/>
      <c r="AS38" s="78"/>
      <c r="AT38" s="78"/>
      <c r="AU38" s="78"/>
      <c r="AV38" s="78"/>
      <c r="AW38" s="78"/>
      <c r="AX38" s="78"/>
      <c r="AY38" s="78"/>
      <c r="AZ38" s="78"/>
      <c r="BA38" s="78"/>
      <c r="BB38" s="78"/>
      <c r="BC38" s="78"/>
    </row>
    <row r="39" spans="1:55" ht="23.1" customHeight="1">
      <c r="A39" s="79" t="s">
        <v>158</v>
      </c>
      <c r="B39" s="79"/>
      <c r="C39" s="79"/>
      <c r="D39" s="79"/>
      <c r="E39" s="79"/>
      <c r="F39" s="79"/>
      <c r="G39" s="79"/>
      <c r="H39" s="79"/>
      <c r="I39" s="79"/>
      <c r="J39" s="79"/>
      <c r="K39" s="79"/>
      <c r="L39" s="79"/>
      <c r="M39" s="79"/>
      <c r="N39" s="79"/>
      <c r="O39" s="79"/>
      <c r="P39" s="79"/>
      <c r="Q39" s="79"/>
      <c r="R39" s="79"/>
      <c r="S39" s="79"/>
      <c r="T39" s="79"/>
      <c r="U39" s="79"/>
      <c r="V39" s="79"/>
      <c r="W39" s="79"/>
      <c r="X39" s="79"/>
      <c r="Y39" s="79"/>
      <c r="Z39" s="79"/>
      <c r="AA39" s="79"/>
      <c r="AB39" s="79"/>
      <c r="AC39" s="79"/>
      <c r="AD39" s="79"/>
      <c r="AE39" s="79"/>
      <c r="AF39" s="79"/>
      <c r="AG39" s="79"/>
      <c r="AH39" s="79"/>
      <c r="AI39" s="79"/>
      <c r="AJ39" s="79"/>
      <c r="AK39" s="79"/>
      <c r="AL39" s="79"/>
      <c r="AM39" s="79"/>
      <c r="AN39" s="79"/>
      <c r="AO39" s="79"/>
      <c r="AP39" s="79"/>
      <c r="AQ39" s="79"/>
      <c r="AR39" s="79"/>
      <c r="AS39" s="79"/>
      <c r="AT39" s="79"/>
      <c r="AU39" s="79"/>
      <c r="AV39" s="79"/>
      <c r="AW39" s="79"/>
      <c r="AX39" s="79"/>
      <c r="AY39" s="79"/>
      <c r="AZ39" s="79"/>
      <c r="BA39" s="79"/>
      <c r="BB39" s="79"/>
      <c r="BC39" s="79"/>
    </row>
    <row r="40" spans="1:55" ht="23.1" customHeight="1">
      <c r="A40" s="76" t="s">
        <v>34</v>
      </c>
      <c r="B40" s="76"/>
      <c r="C40" s="76"/>
      <c r="D40" s="76"/>
      <c r="E40" s="76"/>
      <c r="F40" s="76"/>
      <c r="G40" s="76"/>
      <c r="H40" s="76"/>
      <c r="I40" s="76"/>
      <c r="J40" s="76"/>
      <c r="K40" s="76"/>
      <c r="L40" s="76"/>
      <c r="M40" s="76"/>
      <c r="N40" s="76"/>
      <c r="O40" s="76"/>
      <c r="P40" s="76"/>
      <c r="Q40" s="76"/>
      <c r="R40" s="76"/>
      <c r="S40" s="76"/>
      <c r="T40" s="76"/>
      <c r="U40" s="76"/>
      <c r="V40" s="76"/>
      <c r="W40" s="76"/>
      <c r="X40" s="76"/>
      <c r="Y40" s="76"/>
      <c r="Z40" s="76"/>
      <c r="AA40" s="76"/>
      <c r="AB40" s="76"/>
      <c r="AC40" s="76"/>
      <c r="AD40" s="76"/>
      <c r="AE40" s="76"/>
      <c r="AF40" s="76"/>
      <c r="AG40" s="76"/>
      <c r="AH40" s="76"/>
      <c r="AI40" s="76"/>
      <c r="AJ40" s="76"/>
      <c r="AK40" s="76"/>
      <c r="AL40" s="76"/>
      <c r="AM40" s="76"/>
      <c r="AN40" s="76"/>
      <c r="AO40" s="76"/>
      <c r="AP40" s="76"/>
      <c r="AQ40" s="76"/>
      <c r="AR40" s="76"/>
      <c r="AS40" s="76"/>
      <c r="AT40" s="76"/>
      <c r="AU40" s="76"/>
      <c r="AV40" s="76"/>
      <c r="AW40" s="76"/>
      <c r="AX40" s="76"/>
      <c r="AY40" s="76"/>
      <c r="AZ40" s="76"/>
      <c r="BA40" s="76"/>
      <c r="BB40" s="76"/>
      <c r="BC40" s="76"/>
    </row>
    <row r="41" spans="1:55" ht="44.25" customHeight="1">
      <c r="A41" s="79" t="s">
        <v>213</v>
      </c>
      <c r="B41" s="79"/>
      <c r="C41" s="79"/>
      <c r="D41" s="79"/>
      <c r="E41" s="79"/>
      <c r="F41" s="79"/>
      <c r="G41" s="79"/>
      <c r="H41" s="79"/>
      <c r="I41" s="79"/>
      <c r="J41" s="79"/>
      <c r="K41" s="79"/>
      <c r="L41" s="79"/>
      <c r="M41" s="79"/>
      <c r="N41" s="79"/>
      <c r="O41" s="79"/>
      <c r="P41" s="79"/>
      <c r="Q41" s="79"/>
      <c r="R41" s="79"/>
      <c r="S41" s="79"/>
      <c r="T41" s="79"/>
      <c r="U41" s="79"/>
      <c r="V41" s="79"/>
      <c r="W41" s="79"/>
      <c r="X41" s="79"/>
      <c r="Y41" s="79"/>
      <c r="Z41" s="79"/>
      <c r="AA41" s="79"/>
      <c r="AB41" s="79"/>
      <c r="AC41" s="79"/>
      <c r="AD41" s="79"/>
      <c r="AE41" s="79"/>
      <c r="AF41" s="79"/>
      <c r="AG41" s="79"/>
      <c r="AH41" s="79"/>
      <c r="AI41" s="79"/>
      <c r="AJ41" s="79"/>
      <c r="AK41" s="79"/>
      <c r="AL41" s="79"/>
      <c r="AM41" s="79"/>
      <c r="AN41" s="79"/>
      <c r="AO41" s="79"/>
      <c r="AP41" s="79"/>
      <c r="AQ41" s="79"/>
      <c r="AR41" s="79"/>
      <c r="AS41" s="79"/>
      <c r="AT41" s="79"/>
      <c r="AU41" s="79"/>
      <c r="AV41" s="79"/>
      <c r="AW41" s="79"/>
      <c r="AX41" s="79"/>
      <c r="AY41" s="79"/>
      <c r="AZ41" s="79"/>
      <c r="BA41" s="79"/>
      <c r="BB41" s="79"/>
      <c r="BC41" s="79"/>
    </row>
    <row r="42" spans="1:55" ht="36" customHeight="1">
      <c r="A42" s="79" t="s">
        <v>159</v>
      </c>
      <c r="B42" s="79"/>
      <c r="C42" s="79"/>
      <c r="D42" s="79"/>
      <c r="E42" s="79"/>
      <c r="F42" s="79"/>
      <c r="G42" s="79"/>
      <c r="H42" s="79"/>
      <c r="I42" s="79"/>
      <c r="J42" s="79"/>
      <c r="K42" s="79"/>
      <c r="L42" s="79"/>
      <c r="M42" s="79"/>
      <c r="N42" s="79"/>
      <c r="O42" s="79"/>
      <c r="P42" s="79"/>
      <c r="Q42" s="79"/>
      <c r="R42" s="79"/>
      <c r="S42" s="79"/>
      <c r="T42" s="79"/>
      <c r="U42" s="79"/>
      <c r="V42" s="79"/>
      <c r="W42" s="79"/>
      <c r="X42" s="79"/>
      <c r="Y42" s="79"/>
      <c r="Z42" s="79"/>
      <c r="AA42" s="79"/>
      <c r="AB42" s="79"/>
      <c r="AC42" s="79"/>
      <c r="AD42" s="79"/>
      <c r="AE42" s="79"/>
      <c r="AF42" s="79"/>
      <c r="AG42" s="79"/>
      <c r="AH42" s="79"/>
      <c r="AI42" s="79"/>
      <c r="AJ42" s="79"/>
      <c r="AK42" s="79"/>
      <c r="AL42" s="79"/>
      <c r="AM42" s="79"/>
      <c r="AN42" s="79"/>
      <c r="AO42" s="79"/>
      <c r="AP42" s="79"/>
      <c r="AQ42" s="79"/>
      <c r="AR42" s="79"/>
      <c r="AS42" s="79"/>
      <c r="AT42" s="79"/>
      <c r="AU42" s="79"/>
      <c r="AV42" s="79"/>
      <c r="AW42" s="79"/>
      <c r="AX42" s="79"/>
      <c r="AY42" s="79"/>
      <c r="AZ42" s="79"/>
      <c r="BA42" s="79"/>
      <c r="BB42" s="79"/>
      <c r="BC42" s="79"/>
    </row>
    <row r="43" spans="1:55" ht="33" customHeight="1">
      <c r="A43" s="79" t="s">
        <v>160</v>
      </c>
      <c r="B43" s="79"/>
      <c r="C43" s="79"/>
      <c r="D43" s="79"/>
      <c r="E43" s="79"/>
      <c r="F43" s="79"/>
      <c r="G43" s="79"/>
      <c r="H43" s="79"/>
      <c r="I43" s="79"/>
      <c r="J43" s="79"/>
      <c r="K43" s="79"/>
      <c r="L43" s="79"/>
      <c r="M43" s="79"/>
      <c r="N43" s="79"/>
      <c r="O43" s="79"/>
      <c r="P43" s="79"/>
      <c r="Q43" s="79"/>
      <c r="R43" s="79"/>
      <c r="S43" s="79"/>
      <c r="T43" s="79"/>
      <c r="U43" s="79"/>
      <c r="V43" s="79"/>
      <c r="W43" s="79"/>
      <c r="X43" s="79"/>
      <c r="Y43" s="79"/>
      <c r="Z43" s="79"/>
      <c r="AA43" s="79"/>
      <c r="AB43" s="79"/>
      <c r="AC43" s="79"/>
      <c r="AD43" s="79"/>
      <c r="AE43" s="79"/>
      <c r="AF43" s="79"/>
      <c r="AG43" s="79"/>
      <c r="AH43" s="79"/>
      <c r="AI43" s="79"/>
      <c r="AJ43" s="79"/>
      <c r="AK43" s="79"/>
      <c r="AL43" s="79"/>
      <c r="AM43" s="79"/>
      <c r="AN43" s="79"/>
      <c r="AO43" s="79"/>
      <c r="AP43" s="79"/>
      <c r="AQ43" s="79"/>
      <c r="AR43" s="79"/>
      <c r="AS43" s="79"/>
      <c r="AT43" s="79"/>
      <c r="AU43" s="79"/>
      <c r="AV43" s="79"/>
      <c r="AW43" s="79"/>
      <c r="AX43" s="79"/>
      <c r="AY43" s="79"/>
      <c r="AZ43" s="79"/>
      <c r="BA43" s="79"/>
      <c r="BB43" s="79"/>
      <c r="BC43" s="79"/>
    </row>
    <row r="44" spans="1:55" ht="11.85" customHeight="1">
      <c r="A44" s="79" t="s">
        <v>39</v>
      </c>
      <c r="B44" s="79"/>
      <c r="C44" s="79"/>
      <c r="D44" s="79"/>
      <c r="E44" s="79"/>
      <c r="F44" s="79"/>
      <c r="G44" s="79"/>
      <c r="H44" s="79"/>
      <c r="I44" s="79"/>
      <c r="J44" s="79"/>
      <c r="K44" s="79"/>
      <c r="L44" s="79"/>
      <c r="M44" s="79"/>
      <c r="N44" s="79"/>
      <c r="O44" s="79"/>
      <c r="P44" s="79"/>
      <c r="Q44" s="79"/>
      <c r="R44" s="79"/>
      <c r="S44" s="79"/>
      <c r="T44" s="79"/>
      <c r="U44" s="79"/>
      <c r="V44" s="79"/>
      <c r="W44" s="79"/>
      <c r="X44" s="79"/>
      <c r="Y44" s="79"/>
      <c r="Z44" s="79"/>
      <c r="AA44" s="79"/>
      <c r="AB44" s="79"/>
      <c r="AC44" s="79"/>
      <c r="AD44" s="79"/>
      <c r="AE44" s="79"/>
      <c r="AF44" s="79"/>
      <c r="AG44" s="79"/>
      <c r="AH44" s="79"/>
      <c r="AI44" s="79"/>
      <c r="AJ44" s="79"/>
      <c r="AK44" s="79"/>
      <c r="AL44" s="79"/>
      <c r="AM44" s="79"/>
      <c r="AN44" s="79"/>
      <c r="AO44" s="79"/>
      <c r="AP44" s="79"/>
      <c r="AQ44" s="79"/>
      <c r="AR44" s="79"/>
      <c r="AS44" s="79"/>
      <c r="AT44" s="79"/>
      <c r="AU44" s="79"/>
      <c r="AV44" s="79"/>
      <c r="AW44" s="79"/>
      <c r="AX44" s="79"/>
      <c r="AY44" s="79"/>
      <c r="AZ44" s="79"/>
      <c r="BA44" s="79"/>
      <c r="BB44" s="79"/>
      <c r="BC44" s="79"/>
    </row>
    <row r="45" spans="1:55" ht="11.85" customHeight="1">
      <c r="A45" s="81" t="s">
        <v>38</v>
      </c>
      <c r="B45" s="81"/>
      <c r="C45" s="81"/>
      <c r="D45" s="81"/>
      <c r="E45" s="81"/>
      <c r="F45" s="81"/>
      <c r="G45" s="81"/>
      <c r="H45" s="81"/>
      <c r="I45" s="81"/>
      <c r="J45" s="81"/>
      <c r="K45" s="81"/>
      <c r="L45" s="81"/>
      <c r="M45" s="81"/>
      <c r="N45" s="81"/>
      <c r="O45" s="81"/>
      <c r="P45" s="81"/>
      <c r="Q45" s="81"/>
      <c r="R45" s="81"/>
      <c r="S45" s="81"/>
      <c r="T45" s="81"/>
      <c r="U45" s="81"/>
      <c r="V45" s="81"/>
      <c r="W45" s="81"/>
      <c r="X45" s="81"/>
      <c r="Y45" s="81"/>
      <c r="Z45" s="81"/>
      <c r="AA45" s="81"/>
      <c r="AB45" s="81"/>
      <c r="AC45" s="81"/>
      <c r="AD45" s="81"/>
      <c r="AE45" s="81"/>
      <c r="AF45" s="81"/>
      <c r="AG45" s="81"/>
      <c r="AH45" s="81"/>
      <c r="AI45" s="81"/>
      <c r="AJ45" s="81"/>
      <c r="AK45" s="81"/>
      <c r="AL45" s="81"/>
      <c r="AM45" s="81"/>
      <c r="AN45" s="81"/>
      <c r="AO45" s="81"/>
      <c r="AP45" s="81"/>
      <c r="AQ45" s="81"/>
      <c r="AR45" s="81"/>
      <c r="AS45" s="81"/>
      <c r="AT45" s="81"/>
      <c r="AU45" s="81"/>
      <c r="AV45" s="81"/>
      <c r="AW45" s="81"/>
      <c r="AX45" s="81"/>
      <c r="AY45" s="81"/>
      <c r="AZ45" s="81"/>
      <c r="BA45" s="81"/>
      <c r="BB45" s="81"/>
      <c r="BC45" s="81"/>
    </row>
    <row r="46" spans="1:55" ht="11.85" customHeight="1">
      <c r="A46" s="81" t="s">
        <v>37</v>
      </c>
      <c r="B46" s="81"/>
      <c r="C46" s="81"/>
      <c r="D46" s="81"/>
      <c r="E46" s="81"/>
      <c r="F46" s="81"/>
      <c r="G46" s="81"/>
      <c r="H46" s="81"/>
      <c r="I46" s="81"/>
      <c r="J46" s="81"/>
      <c r="K46" s="81"/>
      <c r="L46" s="81"/>
      <c r="M46" s="81"/>
      <c r="N46" s="81"/>
      <c r="O46" s="81"/>
      <c r="P46" s="81"/>
      <c r="Q46" s="81"/>
      <c r="R46" s="81"/>
      <c r="S46" s="81"/>
      <c r="T46" s="81"/>
      <c r="U46" s="81"/>
      <c r="V46" s="81"/>
      <c r="W46" s="81"/>
      <c r="X46" s="81"/>
      <c r="Y46" s="81"/>
      <c r="Z46" s="81"/>
      <c r="AA46" s="81"/>
      <c r="AB46" s="81"/>
      <c r="AC46" s="81"/>
      <c r="AD46" s="81"/>
      <c r="AE46" s="81"/>
      <c r="AF46" s="81"/>
      <c r="AG46" s="81"/>
      <c r="AH46" s="81"/>
      <c r="AI46" s="81"/>
      <c r="AJ46" s="81"/>
      <c r="AK46" s="81"/>
      <c r="AL46" s="81"/>
      <c r="AM46" s="81"/>
      <c r="AN46" s="81"/>
      <c r="AO46" s="81"/>
      <c r="AP46" s="81"/>
      <c r="AQ46" s="81"/>
      <c r="AR46" s="81"/>
      <c r="AS46" s="81"/>
      <c r="AT46" s="81"/>
      <c r="AU46" s="81"/>
      <c r="AV46" s="81"/>
      <c r="AW46" s="81"/>
      <c r="AX46" s="81"/>
      <c r="AY46" s="81"/>
      <c r="AZ46" s="81"/>
      <c r="BA46" s="81"/>
      <c r="BB46" s="81"/>
      <c r="BC46" s="81"/>
    </row>
    <row r="47" spans="1:55" ht="11.85" customHeight="1">
      <c r="A47" s="73" t="s">
        <v>36</v>
      </c>
      <c r="B47" s="73"/>
      <c r="C47" s="73"/>
      <c r="D47" s="73"/>
      <c r="E47" s="73"/>
      <c r="F47" s="73"/>
      <c r="G47" s="73"/>
      <c r="H47" s="73"/>
      <c r="I47" s="73"/>
      <c r="J47" s="73"/>
      <c r="K47" s="73"/>
      <c r="L47" s="73"/>
      <c r="M47" s="73"/>
      <c r="N47" s="73"/>
      <c r="O47" s="73"/>
      <c r="P47" s="73"/>
      <c r="Q47" s="73"/>
      <c r="R47" s="73"/>
      <c r="S47" s="73"/>
      <c r="T47" s="73"/>
      <c r="U47" s="73"/>
      <c r="V47" s="73"/>
      <c r="W47" s="73"/>
      <c r="X47" s="73"/>
      <c r="Y47" s="73"/>
      <c r="Z47" s="73"/>
      <c r="AA47" s="73"/>
      <c r="AB47" s="73"/>
      <c r="AC47" s="73"/>
      <c r="AD47" s="73"/>
      <c r="AE47" s="73"/>
      <c r="AF47" s="73"/>
      <c r="AG47" s="73"/>
      <c r="AH47" s="73"/>
      <c r="AI47" s="73"/>
      <c r="AJ47" s="73"/>
      <c r="AK47" s="73"/>
      <c r="AL47" s="73"/>
      <c r="AM47" s="73"/>
      <c r="AN47" s="73"/>
      <c r="AO47" s="73"/>
      <c r="AP47" s="73"/>
      <c r="AQ47" s="73"/>
      <c r="AR47" s="73"/>
      <c r="AS47" s="73"/>
      <c r="AT47" s="73"/>
      <c r="AU47" s="73"/>
      <c r="AV47" s="73"/>
      <c r="AW47" s="73"/>
      <c r="AX47" s="73"/>
      <c r="AY47" s="73"/>
      <c r="AZ47" s="73"/>
      <c r="BA47" s="73"/>
      <c r="BB47" s="73"/>
      <c r="BC47" s="73"/>
    </row>
    <row r="48" spans="1:55" ht="24" customHeight="1">
      <c r="A48" s="79" t="s">
        <v>158</v>
      </c>
      <c r="B48" s="79"/>
      <c r="C48" s="79"/>
      <c r="D48" s="79"/>
      <c r="E48" s="79"/>
      <c r="F48" s="79"/>
      <c r="G48" s="79"/>
      <c r="H48" s="79"/>
      <c r="I48" s="79"/>
      <c r="J48" s="79"/>
      <c r="K48" s="79"/>
      <c r="L48" s="79"/>
      <c r="M48" s="79"/>
      <c r="N48" s="79"/>
      <c r="O48" s="79"/>
      <c r="P48" s="79"/>
      <c r="Q48" s="79"/>
      <c r="R48" s="79"/>
      <c r="S48" s="79"/>
      <c r="T48" s="79"/>
      <c r="U48" s="79"/>
      <c r="V48" s="79"/>
      <c r="W48" s="79"/>
      <c r="X48" s="79"/>
      <c r="Y48" s="79"/>
      <c r="Z48" s="79"/>
      <c r="AA48" s="79"/>
      <c r="AB48" s="79"/>
      <c r="AC48" s="79"/>
      <c r="AD48" s="79"/>
      <c r="AE48" s="79"/>
      <c r="AF48" s="79"/>
      <c r="AG48" s="79"/>
      <c r="AH48" s="79"/>
      <c r="AI48" s="79"/>
      <c r="AJ48" s="79"/>
      <c r="AK48" s="79"/>
      <c r="AL48" s="79"/>
      <c r="AM48" s="79"/>
      <c r="AN48" s="79"/>
      <c r="AO48" s="79"/>
      <c r="AP48" s="79"/>
      <c r="AQ48" s="79"/>
      <c r="AR48" s="79"/>
      <c r="AS48" s="79"/>
      <c r="AT48" s="79"/>
      <c r="AU48" s="79"/>
      <c r="AV48" s="79"/>
      <c r="AW48" s="79"/>
      <c r="AX48" s="79"/>
      <c r="AY48" s="79"/>
      <c r="AZ48" s="79"/>
      <c r="BA48" s="79"/>
      <c r="BB48" s="79"/>
      <c r="BC48" s="79"/>
    </row>
    <row r="49" spans="1:55" ht="22.5" customHeight="1">
      <c r="A49" s="79" t="s">
        <v>40</v>
      </c>
      <c r="B49" s="79"/>
      <c r="C49" s="79"/>
      <c r="D49" s="79"/>
      <c r="E49" s="79"/>
      <c r="F49" s="79"/>
      <c r="G49" s="79"/>
      <c r="H49" s="79"/>
      <c r="I49" s="79"/>
      <c r="J49" s="79"/>
      <c r="K49" s="79"/>
      <c r="L49" s="79"/>
      <c r="M49" s="79"/>
      <c r="N49" s="79"/>
      <c r="O49" s="79"/>
      <c r="P49" s="79"/>
      <c r="Q49" s="79"/>
      <c r="R49" s="79"/>
      <c r="S49" s="79"/>
      <c r="T49" s="79"/>
      <c r="U49" s="79"/>
      <c r="V49" s="79"/>
      <c r="W49" s="79"/>
      <c r="X49" s="79"/>
      <c r="Y49" s="79"/>
      <c r="Z49" s="79"/>
      <c r="AA49" s="79"/>
      <c r="AB49" s="79"/>
      <c r="AC49" s="79"/>
      <c r="AD49" s="79"/>
      <c r="AE49" s="79"/>
      <c r="AF49" s="79"/>
      <c r="AG49" s="79"/>
      <c r="AH49" s="79"/>
      <c r="AI49" s="79"/>
      <c r="AJ49" s="79"/>
      <c r="AK49" s="79"/>
      <c r="AL49" s="79"/>
      <c r="AM49" s="79"/>
      <c r="AN49" s="79"/>
      <c r="AO49" s="79"/>
      <c r="AP49" s="79"/>
      <c r="AQ49" s="79"/>
      <c r="AR49" s="79"/>
      <c r="AS49" s="79"/>
      <c r="AT49" s="79"/>
      <c r="AU49" s="79"/>
      <c r="AV49" s="79"/>
      <c r="AW49" s="79"/>
      <c r="AX49" s="79"/>
      <c r="AY49" s="79"/>
      <c r="AZ49" s="79"/>
      <c r="BA49" s="79"/>
      <c r="BB49" s="79"/>
      <c r="BC49" s="79"/>
    </row>
    <row r="50" spans="1:55" ht="54.75" customHeight="1">
      <c r="A50" s="79" t="s">
        <v>214</v>
      </c>
      <c r="B50" s="79"/>
      <c r="C50" s="79"/>
      <c r="D50" s="79"/>
      <c r="E50" s="79"/>
      <c r="F50" s="79"/>
      <c r="G50" s="79"/>
      <c r="H50" s="79"/>
      <c r="I50" s="79"/>
      <c r="J50" s="79"/>
      <c r="K50" s="79"/>
      <c r="L50" s="79"/>
      <c r="M50" s="79"/>
      <c r="N50" s="79"/>
      <c r="O50" s="79"/>
      <c r="P50" s="79"/>
      <c r="Q50" s="79"/>
      <c r="R50" s="79"/>
      <c r="S50" s="79"/>
      <c r="T50" s="79"/>
      <c r="U50" s="79"/>
      <c r="V50" s="79"/>
      <c r="W50" s="79"/>
      <c r="X50" s="79"/>
      <c r="Y50" s="79"/>
      <c r="Z50" s="79"/>
      <c r="AA50" s="79"/>
      <c r="AB50" s="79"/>
      <c r="AC50" s="79"/>
      <c r="AD50" s="79"/>
      <c r="AE50" s="79"/>
      <c r="AF50" s="79"/>
      <c r="AG50" s="79"/>
      <c r="AH50" s="79"/>
      <c r="AI50" s="79"/>
      <c r="AJ50" s="79"/>
      <c r="AK50" s="79"/>
      <c r="AL50" s="79"/>
      <c r="AM50" s="79"/>
      <c r="AN50" s="79"/>
      <c r="AO50" s="79"/>
      <c r="AP50" s="79"/>
      <c r="AQ50" s="79"/>
      <c r="AR50" s="79"/>
      <c r="AS50" s="79"/>
      <c r="AT50" s="79"/>
      <c r="AU50" s="79"/>
      <c r="AV50" s="79"/>
      <c r="AW50" s="79"/>
      <c r="AX50" s="79"/>
      <c r="AY50" s="79"/>
      <c r="AZ50" s="79"/>
      <c r="BA50" s="79"/>
      <c r="BB50" s="79"/>
      <c r="BC50" s="79"/>
    </row>
    <row r="51" spans="1:55" ht="15.75" customHeight="1">
      <c r="A51" s="78" t="s">
        <v>5</v>
      </c>
      <c r="B51" s="78"/>
      <c r="C51" s="78"/>
      <c r="D51" s="78"/>
      <c r="E51" s="78"/>
      <c r="F51" s="78"/>
      <c r="G51" s="78"/>
      <c r="H51" s="78"/>
      <c r="I51" s="78"/>
      <c r="J51" s="78"/>
      <c r="K51" s="78"/>
      <c r="L51" s="78"/>
      <c r="M51" s="78"/>
      <c r="N51" s="78"/>
      <c r="O51" s="78"/>
      <c r="P51" s="78"/>
      <c r="Q51" s="78"/>
      <c r="R51" s="78"/>
      <c r="S51" s="78"/>
      <c r="T51" s="78"/>
      <c r="U51" s="78"/>
      <c r="V51" s="78"/>
      <c r="W51" s="78"/>
      <c r="X51" s="78"/>
      <c r="Y51" s="78"/>
      <c r="Z51" s="78"/>
      <c r="AA51" s="78"/>
      <c r="AB51" s="78"/>
      <c r="AC51" s="78"/>
      <c r="AD51" s="78"/>
      <c r="AE51" s="78"/>
      <c r="AF51" s="78"/>
      <c r="AG51" s="78"/>
      <c r="AH51" s="78"/>
      <c r="AI51" s="78"/>
      <c r="AJ51" s="78"/>
      <c r="AK51" s="78"/>
      <c r="AL51" s="78"/>
      <c r="AM51" s="78"/>
      <c r="AN51" s="78"/>
      <c r="AO51" s="78"/>
      <c r="AP51" s="78"/>
      <c r="AQ51" s="78"/>
      <c r="AR51" s="78"/>
      <c r="AS51" s="78"/>
      <c r="AT51" s="78"/>
      <c r="AU51" s="78"/>
      <c r="AV51" s="78"/>
      <c r="AW51" s="78"/>
      <c r="AX51" s="78"/>
      <c r="AY51" s="78"/>
      <c r="AZ51" s="78"/>
      <c r="BA51" s="78"/>
      <c r="BB51" s="78"/>
      <c r="BC51" s="78"/>
    </row>
    <row r="52" spans="1:55" ht="11.85" customHeight="1">
      <c r="A52" s="79" t="s">
        <v>44</v>
      </c>
      <c r="B52" s="79"/>
      <c r="C52" s="79"/>
      <c r="D52" s="79"/>
      <c r="E52" s="79"/>
      <c r="F52" s="79"/>
      <c r="G52" s="79"/>
      <c r="H52" s="79"/>
      <c r="I52" s="79"/>
      <c r="J52" s="79"/>
      <c r="K52" s="79"/>
      <c r="L52" s="79"/>
      <c r="M52" s="79"/>
      <c r="N52" s="79"/>
      <c r="O52" s="79"/>
      <c r="P52" s="79"/>
      <c r="Q52" s="79"/>
      <c r="R52" s="79"/>
      <c r="S52" s="79"/>
      <c r="T52" s="79"/>
      <c r="U52" s="79"/>
      <c r="V52" s="79"/>
      <c r="W52" s="79"/>
      <c r="X52" s="79"/>
      <c r="Y52" s="79"/>
      <c r="Z52" s="79"/>
      <c r="AA52" s="79"/>
      <c r="AB52" s="79"/>
      <c r="AC52" s="79"/>
      <c r="AD52" s="79"/>
      <c r="AE52" s="79"/>
      <c r="AF52" s="79"/>
      <c r="AG52" s="79"/>
      <c r="AH52" s="79"/>
      <c r="AI52" s="79"/>
      <c r="AJ52" s="79"/>
      <c r="AK52" s="79"/>
      <c r="AL52" s="79"/>
      <c r="AM52" s="79"/>
      <c r="AN52" s="79"/>
      <c r="AO52" s="79"/>
      <c r="AP52" s="79"/>
      <c r="AQ52" s="79"/>
      <c r="AR52" s="79"/>
      <c r="AS52" s="79"/>
      <c r="AT52" s="79"/>
      <c r="AU52" s="79"/>
      <c r="AV52" s="79"/>
      <c r="AW52" s="79"/>
      <c r="AX52" s="79"/>
      <c r="AY52" s="79"/>
      <c r="AZ52" s="79"/>
      <c r="BA52" s="79"/>
      <c r="BB52" s="79"/>
      <c r="BC52" s="79"/>
    </row>
    <row r="53" spans="1:55" ht="11.85" customHeight="1">
      <c r="A53" s="79" t="s">
        <v>42</v>
      </c>
      <c r="B53" s="79"/>
      <c r="C53" s="79"/>
      <c r="D53" s="79"/>
      <c r="E53" s="79"/>
      <c r="F53" s="79"/>
      <c r="G53" s="79"/>
      <c r="H53" s="79"/>
      <c r="I53" s="79"/>
      <c r="J53" s="79"/>
      <c r="K53" s="79"/>
      <c r="L53" s="79"/>
      <c r="M53" s="79"/>
      <c r="N53" s="79"/>
      <c r="O53" s="79"/>
      <c r="P53" s="79"/>
      <c r="Q53" s="79"/>
      <c r="R53" s="79"/>
      <c r="S53" s="79"/>
      <c r="T53" s="79"/>
      <c r="U53" s="79"/>
      <c r="V53" s="79"/>
      <c r="W53" s="79"/>
      <c r="X53" s="79"/>
      <c r="Y53" s="79"/>
      <c r="Z53" s="79"/>
      <c r="AA53" s="79"/>
      <c r="AB53" s="79"/>
      <c r="AC53" s="79"/>
      <c r="AD53" s="79"/>
      <c r="AE53" s="79"/>
      <c r="AF53" s="79"/>
      <c r="AG53" s="79"/>
      <c r="AH53" s="79"/>
      <c r="AI53" s="79"/>
      <c r="AJ53" s="79"/>
      <c r="AK53" s="79"/>
      <c r="AL53" s="79"/>
      <c r="AM53" s="79"/>
      <c r="AN53" s="79"/>
      <c r="AO53" s="79"/>
      <c r="AP53" s="79"/>
      <c r="AQ53" s="79"/>
      <c r="AR53" s="79"/>
      <c r="AS53" s="79"/>
      <c r="AT53" s="79"/>
      <c r="AU53" s="79"/>
      <c r="AV53" s="79"/>
      <c r="AW53" s="79"/>
      <c r="AX53" s="79"/>
      <c r="AY53" s="79"/>
      <c r="AZ53" s="79"/>
      <c r="BA53" s="79"/>
      <c r="BB53" s="79"/>
      <c r="BC53" s="79"/>
    </row>
    <row r="54" spans="1:55" ht="11.85" customHeight="1">
      <c r="A54" s="79" t="s">
        <v>43</v>
      </c>
      <c r="B54" s="79"/>
      <c r="C54" s="79"/>
      <c r="D54" s="79"/>
      <c r="E54" s="79"/>
      <c r="F54" s="79"/>
      <c r="G54" s="79"/>
      <c r="H54" s="79"/>
      <c r="I54" s="79"/>
      <c r="J54" s="79"/>
      <c r="K54" s="79"/>
      <c r="L54" s="79"/>
      <c r="M54" s="79"/>
      <c r="N54" s="79"/>
      <c r="O54" s="79"/>
      <c r="P54" s="79"/>
      <c r="Q54" s="79"/>
      <c r="R54" s="79"/>
      <c r="S54" s="79"/>
      <c r="T54" s="79"/>
      <c r="U54" s="79"/>
      <c r="V54" s="79"/>
      <c r="W54" s="79"/>
      <c r="X54" s="79"/>
      <c r="Y54" s="79"/>
      <c r="Z54" s="79"/>
      <c r="AA54" s="79"/>
      <c r="AB54" s="79"/>
      <c r="AC54" s="79"/>
      <c r="AD54" s="79"/>
      <c r="AE54" s="79"/>
      <c r="AF54" s="79"/>
      <c r="AG54" s="79"/>
      <c r="AH54" s="79"/>
      <c r="AI54" s="79"/>
      <c r="AJ54" s="79"/>
      <c r="AK54" s="79"/>
      <c r="AL54" s="79"/>
      <c r="AM54" s="79"/>
      <c r="AN54" s="79"/>
      <c r="AO54" s="79"/>
      <c r="AP54" s="79"/>
      <c r="AQ54" s="79"/>
      <c r="AR54" s="79"/>
      <c r="AS54" s="79"/>
      <c r="AT54" s="79"/>
      <c r="AU54" s="79"/>
      <c r="AV54" s="79"/>
      <c r="AW54" s="79"/>
      <c r="AX54" s="79"/>
      <c r="AY54" s="79"/>
      <c r="AZ54" s="79"/>
      <c r="BA54" s="79"/>
      <c r="BB54" s="79"/>
      <c r="BC54" s="79"/>
    </row>
    <row r="55" spans="1:55" ht="12" customHeight="1">
      <c r="A55" s="79" t="s">
        <v>6</v>
      </c>
      <c r="B55" s="79"/>
      <c r="C55" s="79"/>
      <c r="D55" s="79"/>
      <c r="E55" s="79"/>
      <c r="F55" s="79"/>
      <c r="G55" s="79"/>
      <c r="H55" s="79"/>
      <c r="I55" s="79"/>
      <c r="J55" s="79"/>
      <c r="K55" s="79"/>
      <c r="L55" s="79"/>
      <c r="M55" s="79"/>
      <c r="N55" s="79"/>
      <c r="O55" s="79"/>
      <c r="P55" s="79"/>
      <c r="Q55" s="79"/>
      <c r="R55" s="79"/>
      <c r="S55" s="79"/>
      <c r="T55" s="79"/>
      <c r="U55" s="79"/>
      <c r="V55" s="79"/>
      <c r="W55" s="79"/>
      <c r="X55" s="79"/>
      <c r="Y55" s="79"/>
      <c r="Z55" s="79"/>
      <c r="AA55" s="79"/>
      <c r="AB55" s="79"/>
      <c r="AC55" s="79"/>
      <c r="AD55" s="79"/>
      <c r="AE55" s="79"/>
      <c r="AF55" s="79"/>
      <c r="AG55" s="79"/>
      <c r="AH55" s="79"/>
      <c r="AI55" s="79"/>
      <c r="AJ55" s="79"/>
      <c r="AK55" s="79"/>
      <c r="AL55" s="79"/>
      <c r="AM55" s="79"/>
      <c r="AN55" s="79"/>
      <c r="AO55" s="79"/>
      <c r="AP55" s="79"/>
      <c r="AQ55" s="79"/>
      <c r="AR55" s="79"/>
      <c r="AS55" s="79"/>
      <c r="AT55" s="79"/>
      <c r="AU55" s="79"/>
      <c r="AV55" s="79"/>
      <c r="AW55" s="79"/>
      <c r="AX55" s="79"/>
      <c r="AY55" s="79"/>
      <c r="AZ55" s="79"/>
      <c r="BA55" s="79"/>
      <c r="BB55" s="79"/>
      <c r="BC55" s="79"/>
    </row>
    <row r="56" spans="1:55" ht="11.25" customHeight="1">
      <c r="A56" s="79" t="s">
        <v>7</v>
      </c>
      <c r="B56" s="79"/>
      <c r="C56" s="79"/>
      <c r="D56" s="79"/>
      <c r="E56" s="79"/>
      <c r="F56" s="79"/>
      <c r="G56" s="79"/>
      <c r="H56" s="79"/>
      <c r="I56" s="79"/>
      <c r="J56" s="79"/>
      <c r="K56" s="79"/>
      <c r="L56" s="79"/>
      <c r="M56" s="79"/>
      <c r="N56" s="79"/>
      <c r="O56" s="79"/>
      <c r="P56" s="79"/>
      <c r="Q56" s="79"/>
      <c r="R56" s="79"/>
      <c r="S56" s="79"/>
      <c r="T56" s="79"/>
      <c r="U56" s="79"/>
      <c r="V56" s="79"/>
      <c r="W56" s="79"/>
      <c r="X56" s="79"/>
      <c r="Y56" s="79"/>
      <c r="Z56" s="79"/>
      <c r="AA56" s="79"/>
      <c r="AB56" s="79"/>
      <c r="AC56" s="79"/>
      <c r="AD56" s="79"/>
      <c r="AE56" s="79"/>
      <c r="AF56" s="79"/>
      <c r="AG56" s="79"/>
      <c r="AH56" s="79"/>
      <c r="AI56" s="79"/>
      <c r="AJ56" s="79"/>
      <c r="AK56" s="79"/>
      <c r="AL56" s="79"/>
      <c r="AM56" s="79"/>
      <c r="AN56" s="79"/>
      <c r="AO56" s="79"/>
      <c r="AP56" s="79"/>
      <c r="AQ56" s="79"/>
      <c r="AR56" s="79"/>
      <c r="AS56" s="79"/>
      <c r="AT56" s="79"/>
      <c r="AU56" s="79"/>
      <c r="AV56" s="79"/>
      <c r="AW56" s="79"/>
      <c r="AX56" s="79"/>
      <c r="AY56" s="79"/>
      <c r="AZ56" s="79"/>
      <c r="BA56" s="79"/>
      <c r="BB56" s="79"/>
      <c r="BC56" s="79"/>
    </row>
    <row r="57" spans="1:55" ht="21.75" customHeight="1">
      <c r="A57" s="79" t="s">
        <v>8</v>
      </c>
      <c r="B57" s="79"/>
      <c r="C57" s="79"/>
      <c r="D57" s="79"/>
      <c r="E57" s="79"/>
      <c r="F57" s="79"/>
      <c r="G57" s="79"/>
      <c r="H57" s="79"/>
      <c r="I57" s="79"/>
      <c r="J57" s="79"/>
      <c r="K57" s="79"/>
      <c r="L57" s="79"/>
      <c r="M57" s="79"/>
      <c r="N57" s="79"/>
      <c r="O57" s="79"/>
      <c r="P57" s="79"/>
      <c r="Q57" s="79"/>
      <c r="R57" s="79"/>
      <c r="S57" s="79"/>
      <c r="T57" s="79"/>
      <c r="U57" s="79"/>
      <c r="V57" s="79"/>
      <c r="W57" s="79"/>
      <c r="X57" s="79"/>
      <c r="Y57" s="79"/>
      <c r="Z57" s="79"/>
      <c r="AA57" s="79"/>
      <c r="AB57" s="79"/>
      <c r="AC57" s="79"/>
      <c r="AD57" s="79"/>
      <c r="AE57" s="79"/>
      <c r="AF57" s="79"/>
      <c r="AG57" s="79"/>
      <c r="AH57" s="79"/>
      <c r="AI57" s="79"/>
      <c r="AJ57" s="79"/>
      <c r="AK57" s="79"/>
      <c r="AL57" s="79"/>
      <c r="AM57" s="79"/>
      <c r="AN57" s="79"/>
      <c r="AO57" s="79"/>
      <c r="AP57" s="79"/>
      <c r="AQ57" s="79"/>
      <c r="AR57" s="79"/>
      <c r="AS57" s="79"/>
      <c r="AT57" s="79"/>
      <c r="AU57" s="79"/>
      <c r="AV57" s="79"/>
      <c r="AW57" s="79"/>
      <c r="AX57" s="79"/>
      <c r="AY57" s="79"/>
      <c r="AZ57" s="79"/>
      <c r="BA57" s="79"/>
      <c r="BB57" s="79"/>
      <c r="BC57" s="79"/>
    </row>
    <row r="58" spans="1:55" ht="11.25" customHeight="1">
      <c r="A58" s="78" t="s">
        <v>45</v>
      </c>
      <c r="B58" s="78"/>
      <c r="C58" s="78"/>
      <c r="D58" s="78"/>
      <c r="E58" s="78"/>
      <c r="F58" s="78"/>
      <c r="G58" s="78"/>
      <c r="H58" s="78"/>
      <c r="I58" s="78"/>
      <c r="J58" s="78"/>
      <c r="K58" s="78"/>
      <c r="L58" s="78"/>
      <c r="M58" s="78"/>
      <c r="N58" s="78"/>
      <c r="O58" s="78"/>
      <c r="P58" s="78"/>
      <c r="Q58" s="78"/>
      <c r="R58" s="78"/>
      <c r="S58" s="78"/>
      <c r="T58" s="78"/>
      <c r="U58" s="78"/>
      <c r="V58" s="78"/>
      <c r="W58" s="78"/>
      <c r="X58" s="78"/>
      <c r="Y58" s="78"/>
      <c r="Z58" s="78"/>
      <c r="AA58" s="78"/>
      <c r="AB58" s="78"/>
      <c r="AC58" s="78"/>
      <c r="AD58" s="78"/>
      <c r="AE58" s="78"/>
      <c r="AF58" s="78"/>
      <c r="AG58" s="78"/>
      <c r="AH58" s="78"/>
      <c r="AI58" s="78"/>
      <c r="AJ58" s="78"/>
      <c r="AK58" s="78"/>
      <c r="AL58" s="78"/>
      <c r="AM58" s="78"/>
      <c r="AN58" s="78"/>
      <c r="AO58" s="78"/>
      <c r="AP58" s="78"/>
      <c r="AQ58" s="78"/>
      <c r="AR58" s="78"/>
      <c r="AS58" s="78"/>
      <c r="AT58" s="78"/>
      <c r="AU58" s="78"/>
      <c r="AV58" s="78"/>
      <c r="AW58" s="78"/>
      <c r="AX58" s="78"/>
      <c r="AY58" s="78"/>
      <c r="AZ58" s="78"/>
      <c r="BA58" s="78"/>
      <c r="BB58" s="78"/>
      <c r="BC58" s="78"/>
    </row>
    <row r="59" spans="1:55" ht="11.85" customHeight="1">
      <c r="A59" s="79" t="s">
        <v>44</v>
      </c>
      <c r="B59" s="79"/>
      <c r="C59" s="79"/>
      <c r="D59" s="79"/>
      <c r="E59" s="79"/>
      <c r="F59" s="79"/>
      <c r="G59" s="79"/>
      <c r="H59" s="79"/>
      <c r="I59" s="79"/>
      <c r="J59" s="79"/>
      <c r="K59" s="79"/>
      <c r="L59" s="79"/>
      <c r="M59" s="79"/>
      <c r="N59" s="79"/>
      <c r="O59" s="79"/>
      <c r="P59" s="79"/>
      <c r="Q59" s="79"/>
      <c r="R59" s="79"/>
      <c r="S59" s="79"/>
      <c r="T59" s="79"/>
      <c r="U59" s="79"/>
      <c r="V59" s="79"/>
      <c r="W59" s="79"/>
      <c r="X59" s="79"/>
      <c r="Y59" s="79"/>
      <c r="Z59" s="79"/>
      <c r="AA59" s="79"/>
      <c r="AB59" s="79"/>
      <c r="AC59" s="79"/>
      <c r="AD59" s="79"/>
      <c r="AE59" s="79"/>
      <c r="AF59" s="79"/>
      <c r="AG59" s="79"/>
      <c r="AH59" s="79"/>
      <c r="AI59" s="79"/>
      <c r="AJ59" s="79"/>
      <c r="AK59" s="79"/>
      <c r="AL59" s="79"/>
      <c r="AM59" s="79"/>
      <c r="AN59" s="79"/>
      <c r="AO59" s="79"/>
      <c r="AP59" s="79"/>
      <c r="AQ59" s="79"/>
      <c r="AR59" s="79"/>
      <c r="AS59" s="79"/>
      <c r="AT59" s="79"/>
      <c r="AU59" s="79"/>
      <c r="AV59" s="79"/>
      <c r="AW59" s="79"/>
      <c r="AX59" s="79"/>
      <c r="AY59" s="79"/>
      <c r="AZ59" s="79"/>
      <c r="BA59" s="79"/>
      <c r="BB59" s="79"/>
      <c r="BC59" s="79"/>
    </row>
    <row r="60" spans="1:55" ht="11.85" customHeight="1">
      <c r="A60" s="79" t="s">
        <v>42</v>
      </c>
      <c r="B60" s="79"/>
      <c r="C60" s="79"/>
      <c r="D60" s="79"/>
      <c r="E60" s="79"/>
      <c r="F60" s="79"/>
      <c r="G60" s="79"/>
      <c r="H60" s="79"/>
      <c r="I60" s="79"/>
      <c r="J60" s="79"/>
      <c r="K60" s="79"/>
      <c r="L60" s="79"/>
      <c r="M60" s="79"/>
      <c r="N60" s="79"/>
      <c r="O60" s="79"/>
      <c r="P60" s="79"/>
      <c r="Q60" s="79"/>
      <c r="R60" s="79"/>
      <c r="S60" s="79"/>
      <c r="T60" s="79"/>
      <c r="U60" s="79"/>
      <c r="V60" s="79"/>
      <c r="W60" s="79"/>
      <c r="X60" s="79"/>
      <c r="Y60" s="79"/>
      <c r="Z60" s="79"/>
      <c r="AA60" s="79"/>
      <c r="AB60" s="79"/>
      <c r="AC60" s="79"/>
      <c r="AD60" s="79"/>
      <c r="AE60" s="79"/>
      <c r="AF60" s="79"/>
      <c r="AG60" s="79"/>
      <c r="AH60" s="79"/>
      <c r="AI60" s="79"/>
      <c r="AJ60" s="79"/>
      <c r="AK60" s="79"/>
      <c r="AL60" s="79"/>
      <c r="AM60" s="79"/>
      <c r="AN60" s="79"/>
      <c r="AO60" s="79"/>
      <c r="AP60" s="79"/>
      <c r="AQ60" s="79"/>
      <c r="AR60" s="79"/>
      <c r="AS60" s="79"/>
      <c r="AT60" s="79"/>
      <c r="AU60" s="79"/>
      <c r="AV60" s="79"/>
      <c r="AW60" s="79"/>
      <c r="AX60" s="79"/>
      <c r="AY60" s="79"/>
      <c r="AZ60" s="79"/>
      <c r="BA60" s="79"/>
      <c r="BB60" s="79"/>
      <c r="BC60" s="79"/>
    </row>
    <row r="61" spans="1:55" ht="11.85" customHeight="1">
      <c r="A61" s="79" t="s">
        <v>43</v>
      </c>
      <c r="B61" s="79"/>
      <c r="C61" s="79"/>
      <c r="D61" s="79"/>
      <c r="E61" s="79"/>
      <c r="F61" s="79"/>
      <c r="G61" s="79"/>
      <c r="H61" s="79"/>
      <c r="I61" s="79"/>
      <c r="J61" s="79"/>
      <c r="K61" s="79"/>
      <c r="L61" s="79"/>
      <c r="M61" s="79"/>
      <c r="N61" s="79"/>
      <c r="O61" s="79"/>
      <c r="P61" s="79"/>
      <c r="Q61" s="79"/>
      <c r="R61" s="79"/>
      <c r="S61" s="79"/>
      <c r="T61" s="79"/>
      <c r="U61" s="79"/>
      <c r="V61" s="79"/>
      <c r="W61" s="79"/>
      <c r="X61" s="79"/>
      <c r="Y61" s="79"/>
      <c r="Z61" s="79"/>
      <c r="AA61" s="79"/>
      <c r="AB61" s="79"/>
      <c r="AC61" s="79"/>
      <c r="AD61" s="79"/>
      <c r="AE61" s="79"/>
      <c r="AF61" s="79"/>
      <c r="AG61" s="79"/>
      <c r="AH61" s="79"/>
      <c r="AI61" s="79"/>
      <c r="AJ61" s="79"/>
      <c r="AK61" s="79"/>
      <c r="AL61" s="79"/>
      <c r="AM61" s="79"/>
      <c r="AN61" s="79"/>
      <c r="AO61" s="79"/>
      <c r="AP61" s="79"/>
      <c r="AQ61" s="79"/>
      <c r="AR61" s="79"/>
      <c r="AS61" s="79"/>
      <c r="AT61" s="79"/>
      <c r="AU61" s="79"/>
      <c r="AV61" s="79"/>
      <c r="AW61" s="79"/>
      <c r="AX61" s="79"/>
      <c r="AY61" s="79"/>
      <c r="AZ61" s="79"/>
      <c r="BA61" s="79"/>
      <c r="BB61" s="79"/>
      <c r="BC61" s="79"/>
    </row>
    <row r="62" spans="1:55" ht="11.85" customHeight="1">
      <c r="A62" s="81" t="s">
        <v>6</v>
      </c>
      <c r="B62" s="81"/>
      <c r="C62" s="81"/>
      <c r="D62" s="81"/>
      <c r="E62" s="81"/>
      <c r="F62" s="81"/>
      <c r="G62" s="81"/>
      <c r="H62" s="81"/>
      <c r="I62" s="81"/>
      <c r="J62" s="81"/>
      <c r="K62" s="81"/>
      <c r="L62" s="81"/>
      <c r="M62" s="81"/>
      <c r="N62" s="81"/>
      <c r="O62" s="81"/>
      <c r="P62" s="81"/>
      <c r="Q62" s="81"/>
      <c r="R62" s="81"/>
      <c r="S62" s="81"/>
      <c r="T62" s="81"/>
      <c r="U62" s="81"/>
      <c r="V62" s="81"/>
      <c r="W62" s="81"/>
      <c r="X62" s="81"/>
      <c r="Y62" s="81"/>
      <c r="Z62" s="81"/>
      <c r="AA62" s="81"/>
      <c r="AB62" s="81"/>
      <c r="AC62" s="81"/>
      <c r="AD62" s="81"/>
      <c r="AE62" s="81"/>
      <c r="AF62" s="81"/>
      <c r="AG62" s="81"/>
      <c r="AH62" s="81"/>
      <c r="AI62" s="81"/>
      <c r="AJ62" s="81"/>
      <c r="AK62" s="81"/>
      <c r="AL62" s="81"/>
      <c r="AM62" s="81"/>
      <c r="AN62" s="81"/>
      <c r="AO62" s="81"/>
      <c r="AP62" s="81"/>
      <c r="AQ62" s="81"/>
      <c r="AR62" s="81"/>
      <c r="AS62" s="81"/>
      <c r="AT62" s="81"/>
      <c r="AU62" s="81"/>
      <c r="AV62" s="81"/>
      <c r="AW62" s="81"/>
      <c r="AX62" s="81"/>
      <c r="AY62" s="81"/>
      <c r="AZ62" s="81"/>
      <c r="BA62" s="81"/>
      <c r="BB62" s="81"/>
      <c r="BC62" s="81"/>
    </row>
    <row r="63" spans="1:55" ht="11.85" customHeight="1">
      <c r="A63" s="79" t="s">
        <v>9</v>
      </c>
      <c r="B63" s="79"/>
      <c r="C63" s="79"/>
      <c r="D63" s="79"/>
      <c r="E63" s="79"/>
      <c r="F63" s="79"/>
      <c r="G63" s="79"/>
      <c r="H63" s="79"/>
      <c r="I63" s="79"/>
      <c r="J63" s="79"/>
      <c r="K63" s="79"/>
      <c r="L63" s="79"/>
      <c r="M63" s="79"/>
      <c r="N63" s="79"/>
      <c r="O63" s="79"/>
      <c r="P63" s="79"/>
      <c r="Q63" s="79"/>
      <c r="R63" s="79"/>
      <c r="S63" s="79"/>
      <c r="T63" s="79"/>
      <c r="U63" s="79"/>
      <c r="V63" s="79"/>
      <c r="W63" s="79"/>
      <c r="X63" s="79"/>
      <c r="Y63" s="79"/>
      <c r="Z63" s="79"/>
      <c r="AA63" s="79"/>
      <c r="AB63" s="79"/>
      <c r="AC63" s="79"/>
      <c r="AD63" s="79"/>
      <c r="AE63" s="79"/>
      <c r="AF63" s="79"/>
      <c r="AG63" s="79"/>
      <c r="AH63" s="79"/>
      <c r="AI63" s="79"/>
      <c r="AJ63" s="79"/>
      <c r="AK63" s="79"/>
      <c r="AL63" s="79"/>
      <c r="AM63" s="79"/>
      <c r="AN63" s="79"/>
      <c r="AO63" s="79"/>
      <c r="AP63" s="79"/>
      <c r="AQ63" s="79"/>
      <c r="AR63" s="79"/>
      <c r="AS63" s="79"/>
      <c r="AT63" s="79"/>
      <c r="AU63" s="79"/>
      <c r="AV63" s="79"/>
      <c r="AW63" s="79"/>
      <c r="AX63" s="79"/>
      <c r="AY63" s="79"/>
      <c r="AZ63" s="79"/>
      <c r="BA63" s="79"/>
      <c r="BB63" s="79"/>
      <c r="BC63" s="79"/>
    </row>
    <row r="64" spans="1:55" ht="23.1" customHeight="1">
      <c r="A64" s="79" t="s">
        <v>10</v>
      </c>
      <c r="B64" s="79"/>
      <c r="C64" s="79"/>
      <c r="D64" s="79"/>
      <c r="E64" s="79"/>
      <c r="F64" s="79"/>
      <c r="G64" s="79"/>
      <c r="H64" s="79"/>
      <c r="I64" s="79"/>
      <c r="J64" s="79"/>
      <c r="K64" s="79"/>
      <c r="L64" s="79"/>
      <c r="M64" s="79"/>
      <c r="N64" s="79"/>
      <c r="O64" s="79"/>
      <c r="P64" s="79"/>
      <c r="Q64" s="79"/>
      <c r="R64" s="79"/>
      <c r="S64" s="79"/>
      <c r="T64" s="79"/>
      <c r="U64" s="79"/>
      <c r="V64" s="79"/>
      <c r="W64" s="79"/>
      <c r="X64" s="79"/>
      <c r="Y64" s="79"/>
      <c r="Z64" s="79"/>
      <c r="AA64" s="79"/>
      <c r="AB64" s="79"/>
      <c r="AC64" s="79"/>
      <c r="AD64" s="79"/>
      <c r="AE64" s="79"/>
      <c r="AF64" s="79"/>
      <c r="AG64" s="79"/>
      <c r="AH64" s="79"/>
      <c r="AI64" s="79"/>
      <c r="AJ64" s="79"/>
      <c r="AK64" s="79"/>
      <c r="AL64" s="79"/>
      <c r="AM64" s="79"/>
      <c r="AN64" s="79"/>
      <c r="AO64" s="79"/>
      <c r="AP64" s="79"/>
      <c r="AQ64" s="79"/>
      <c r="AR64" s="79"/>
      <c r="AS64" s="79"/>
      <c r="AT64" s="79"/>
      <c r="AU64" s="79"/>
      <c r="AV64" s="79"/>
      <c r="AW64" s="79"/>
      <c r="AX64" s="79"/>
      <c r="AY64" s="79"/>
      <c r="AZ64" s="79"/>
      <c r="BA64" s="79"/>
      <c r="BB64" s="79"/>
      <c r="BC64" s="79"/>
    </row>
    <row r="65" spans="1:55" ht="35.25" customHeight="1">
      <c r="A65" s="79" t="s">
        <v>206</v>
      </c>
      <c r="B65" s="79"/>
      <c r="C65" s="79"/>
      <c r="D65" s="79"/>
      <c r="E65" s="79"/>
      <c r="F65" s="79"/>
      <c r="G65" s="79"/>
      <c r="H65" s="79"/>
      <c r="I65" s="79"/>
      <c r="J65" s="79"/>
      <c r="K65" s="79"/>
      <c r="L65" s="79"/>
      <c r="M65" s="79"/>
      <c r="N65" s="79"/>
      <c r="O65" s="79"/>
      <c r="P65" s="79"/>
      <c r="Q65" s="79"/>
      <c r="R65" s="79"/>
      <c r="S65" s="79"/>
      <c r="T65" s="79"/>
      <c r="U65" s="79"/>
      <c r="V65" s="79"/>
      <c r="W65" s="79"/>
      <c r="X65" s="79"/>
      <c r="Y65" s="79"/>
      <c r="Z65" s="79"/>
      <c r="AA65" s="79"/>
      <c r="AB65" s="79"/>
      <c r="AC65" s="79"/>
      <c r="AD65" s="79"/>
      <c r="AE65" s="79"/>
      <c r="AF65" s="79"/>
      <c r="AG65" s="79"/>
      <c r="AH65" s="79"/>
      <c r="AI65" s="79"/>
      <c r="AJ65" s="79"/>
      <c r="AK65" s="79"/>
      <c r="AL65" s="79"/>
      <c r="AM65" s="79"/>
      <c r="AN65" s="79"/>
      <c r="AO65" s="79"/>
      <c r="AP65" s="79"/>
      <c r="AQ65" s="79"/>
      <c r="AR65" s="79"/>
      <c r="AS65" s="79"/>
      <c r="AT65" s="79"/>
      <c r="AU65" s="79"/>
      <c r="AV65" s="79"/>
      <c r="AW65" s="79"/>
      <c r="AX65" s="79"/>
      <c r="AY65" s="79"/>
      <c r="AZ65" s="79"/>
      <c r="BA65" s="79"/>
      <c r="BB65" s="79"/>
      <c r="BC65" s="79"/>
    </row>
    <row r="66" spans="1:55" ht="23.1" customHeight="1">
      <c r="A66" s="79" t="s">
        <v>11</v>
      </c>
      <c r="B66" s="79"/>
      <c r="C66" s="79"/>
      <c r="D66" s="79"/>
      <c r="E66" s="79"/>
      <c r="F66" s="79"/>
      <c r="G66" s="79"/>
      <c r="H66" s="79"/>
      <c r="I66" s="79"/>
      <c r="J66" s="79"/>
      <c r="K66" s="79"/>
      <c r="L66" s="79"/>
      <c r="M66" s="79"/>
      <c r="N66" s="79"/>
      <c r="O66" s="79"/>
      <c r="P66" s="79"/>
      <c r="Q66" s="79"/>
      <c r="R66" s="79"/>
      <c r="S66" s="79"/>
      <c r="T66" s="79"/>
      <c r="U66" s="79"/>
      <c r="V66" s="79"/>
      <c r="W66" s="79"/>
      <c r="X66" s="79"/>
      <c r="Y66" s="79"/>
      <c r="Z66" s="79"/>
      <c r="AA66" s="79"/>
      <c r="AB66" s="79"/>
      <c r="AC66" s="79"/>
      <c r="AD66" s="79"/>
      <c r="AE66" s="79"/>
      <c r="AF66" s="79"/>
      <c r="AG66" s="79"/>
      <c r="AH66" s="79"/>
      <c r="AI66" s="79"/>
      <c r="AJ66" s="79"/>
      <c r="AK66" s="79"/>
      <c r="AL66" s="79"/>
      <c r="AM66" s="79"/>
      <c r="AN66" s="79"/>
      <c r="AO66" s="79"/>
      <c r="AP66" s="79"/>
      <c r="AQ66" s="79"/>
      <c r="AR66" s="79"/>
      <c r="AS66" s="79"/>
      <c r="AT66" s="79"/>
      <c r="AU66" s="79"/>
      <c r="AV66" s="79"/>
      <c r="AW66" s="79"/>
      <c r="AX66" s="79"/>
      <c r="AY66" s="79"/>
      <c r="AZ66" s="79"/>
      <c r="BA66" s="79"/>
      <c r="BB66" s="79"/>
      <c r="BC66" s="79"/>
    </row>
    <row r="67" spans="1:55" ht="23.1" customHeight="1">
      <c r="A67" s="79" t="s">
        <v>12</v>
      </c>
      <c r="B67" s="79"/>
      <c r="C67" s="79"/>
      <c r="D67" s="79"/>
      <c r="E67" s="79"/>
      <c r="F67" s="79"/>
      <c r="G67" s="79"/>
      <c r="H67" s="79"/>
      <c r="I67" s="79"/>
      <c r="J67" s="79"/>
      <c r="K67" s="79"/>
      <c r="L67" s="79"/>
      <c r="M67" s="79"/>
      <c r="N67" s="79"/>
      <c r="O67" s="79"/>
      <c r="P67" s="79"/>
      <c r="Q67" s="79"/>
      <c r="R67" s="79"/>
      <c r="S67" s="79"/>
      <c r="T67" s="79"/>
      <c r="U67" s="79"/>
      <c r="V67" s="79"/>
      <c r="W67" s="79"/>
      <c r="X67" s="79"/>
      <c r="Y67" s="79"/>
      <c r="Z67" s="79"/>
      <c r="AA67" s="79"/>
      <c r="AB67" s="79"/>
      <c r="AC67" s="79"/>
      <c r="AD67" s="79"/>
      <c r="AE67" s="79"/>
      <c r="AF67" s="79"/>
      <c r="AG67" s="79"/>
      <c r="AH67" s="79"/>
      <c r="AI67" s="79"/>
      <c r="AJ67" s="79"/>
      <c r="AK67" s="79"/>
      <c r="AL67" s="79"/>
      <c r="AM67" s="79"/>
      <c r="AN67" s="79"/>
      <c r="AO67" s="79"/>
      <c r="AP67" s="79"/>
      <c r="AQ67" s="79"/>
      <c r="AR67" s="79"/>
      <c r="AS67" s="79"/>
      <c r="AT67" s="79"/>
      <c r="AU67" s="79"/>
      <c r="AV67" s="79"/>
      <c r="AW67" s="79"/>
      <c r="AX67" s="79"/>
      <c r="AY67" s="79"/>
      <c r="AZ67" s="79"/>
      <c r="BA67" s="79"/>
      <c r="BB67" s="79"/>
      <c r="BC67" s="79"/>
    </row>
    <row r="68" spans="1:55" ht="23.1" customHeight="1">
      <c r="A68" s="79" t="s">
        <v>13</v>
      </c>
      <c r="B68" s="79"/>
      <c r="C68" s="79"/>
      <c r="D68" s="79"/>
      <c r="E68" s="79"/>
      <c r="F68" s="79"/>
      <c r="G68" s="79"/>
      <c r="H68" s="79"/>
      <c r="I68" s="79"/>
      <c r="J68" s="79"/>
      <c r="K68" s="79"/>
      <c r="L68" s="79"/>
      <c r="M68" s="79"/>
      <c r="N68" s="79"/>
      <c r="O68" s="79"/>
      <c r="P68" s="79"/>
      <c r="Q68" s="79"/>
      <c r="R68" s="79"/>
      <c r="S68" s="79"/>
      <c r="T68" s="79"/>
      <c r="U68" s="79"/>
      <c r="V68" s="79"/>
      <c r="W68" s="79"/>
      <c r="X68" s="79"/>
      <c r="Y68" s="79"/>
      <c r="Z68" s="79"/>
      <c r="AA68" s="79"/>
      <c r="AB68" s="79"/>
      <c r="AC68" s="79"/>
      <c r="AD68" s="79"/>
      <c r="AE68" s="79"/>
      <c r="AF68" s="79"/>
      <c r="AG68" s="79"/>
      <c r="AH68" s="79"/>
      <c r="AI68" s="79"/>
      <c r="AJ68" s="79"/>
      <c r="AK68" s="79"/>
      <c r="AL68" s="79"/>
      <c r="AM68" s="79"/>
      <c r="AN68" s="79"/>
      <c r="AO68" s="79"/>
      <c r="AP68" s="79"/>
      <c r="AQ68" s="79"/>
      <c r="AR68" s="79"/>
      <c r="AS68" s="79"/>
      <c r="AT68" s="79"/>
      <c r="AU68" s="79"/>
      <c r="AV68" s="79"/>
      <c r="AW68" s="79"/>
      <c r="AX68" s="79"/>
      <c r="AY68" s="79"/>
      <c r="AZ68" s="79"/>
      <c r="BA68" s="79"/>
      <c r="BB68" s="79"/>
      <c r="BC68" s="79"/>
    </row>
    <row r="69" spans="1:55" ht="77.25" customHeight="1">
      <c r="A69" s="78" t="s">
        <v>46</v>
      </c>
      <c r="B69" s="78"/>
      <c r="C69" s="78"/>
      <c r="D69" s="78"/>
      <c r="E69" s="78"/>
      <c r="F69" s="78"/>
      <c r="G69" s="78"/>
      <c r="H69" s="78"/>
      <c r="I69" s="78"/>
      <c r="J69" s="78"/>
      <c r="K69" s="78"/>
      <c r="L69" s="78"/>
      <c r="M69" s="78"/>
      <c r="N69" s="78"/>
      <c r="O69" s="78"/>
      <c r="P69" s="78"/>
      <c r="Q69" s="78"/>
      <c r="R69" s="78"/>
      <c r="S69" s="78"/>
      <c r="T69" s="78"/>
      <c r="U69" s="78"/>
      <c r="V69" s="78"/>
      <c r="W69" s="78"/>
      <c r="X69" s="78"/>
      <c r="Y69" s="78"/>
      <c r="Z69" s="78"/>
      <c r="AA69" s="78"/>
      <c r="AB69" s="78"/>
      <c r="AC69" s="78"/>
      <c r="AD69" s="78"/>
      <c r="AE69" s="78"/>
      <c r="AF69" s="78"/>
      <c r="AG69" s="78"/>
      <c r="AH69" s="78"/>
      <c r="AI69" s="78"/>
      <c r="AJ69" s="78"/>
      <c r="AK69" s="78"/>
      <c r="AL69" s="78"/>
      <c r="AM69" s="78"/>
      <c r="AN69" s="78"/>
      <c r="AO69" s="78"/>
      <c r="AP69" s="78"/>
      <c r="AQ69" s="78"/>
      <c r="AR69" s="78"/>
      <c r="AS69" s="78"/>
      <c r="AT69" s="78"/>
      <c r="AU69" s="78"/>
      <c r="AV69" s="78"/>
      <c r="AW69" s="78"/>
      <c r="AX69" s="78"/>
      <c r="AY69" s="78"/>
      <c r="AZ69" s="78"/>
      <c r="BA69" s="78"/>
      <c r="BB69" s="78"/>
      <c r="BC69" s="78"/>
    </row>
    <row r="70" spans="1:55" ht="11.85" customHeight="1">
      <c r="A70" s="95" t="s">
        <v>14</v>
      </c>
      <c r="B70" s="95"/>
      <c r="C70" s="95"/>
      <c r="D70" s="95"/>
      <c r="E70" s="95"/>
      <c r="F70" s="95"/>
      <c r="G70" s="95"/>
      <c r="H70" s="95"/>
      <c r="I70" s="95"/>
      <c r="J70" s="95"/>
      <c r="K70" s="95"/>
      <c r="L70" s="95"/>
      <c r="M70" s="95"/>
      <c r="N70" s="95"/>
      <c r="O70" s="95"/>
      <c r="P70" s="95"/>
      <c r="Q70" s="95"/>
      <c r="R70" s="95"/>
      <c r="S70" s="95"/>
      <c r="T70" s="95"/>
      <c r="U70" s="95"/>
      <c r="V70" s="95"/>
      <c r="W70" s="95"/>
      <c r="X70" s="95"/>
      <c r="Y70" s="95"/>
      <c r="Z70" s="95"/>
      <c r="AA70" s="95"/>
      <c r="AB70" s="95"/>
      <c r="AC70" s="95"/>
      <c r="AD70" s="95"/>
      <c r="AE70" s="95"/>
      <c r="AF70" s="95"/>
      <c r="AG70" s="95"/>
      <c r="AH70" s="95"/>
      <c r="AI70" s="95"/>
      <c r="AJ70" s="95"/>
      <c r="AK70" s="95"/>
      <c r="AL70" s="95"/>
      <c r="AM70" s="95"/>
      <c r="AN70" s="95"/>
      <c r="AO70" s="95"/>
      <c r="AP70" s="95"/>
      <c r="AQ70" s="95"/>
      <c r="AR70" s="95"/>
      <c r="AS70" s="95"/>
      <c r="AT70" s="95"/>
      <c r="AU70" s="95"/>
      <c r="AV70" s="95"/>
      <c r="AW70" s="95"/>
      <c r="AX70" s="95"/>
      <c r="AY70" s="95"/>
      <c r="AZ70" s="95"/>
      <c r="BA70" s="95"/>
      <c r="BB70" s="95"/>
      <c r="BC70" s="95"/>
    </row>
    <row r="71" spans="1:55" ht="23.1" customHeight="1">
      <c r="A71" s="78" t="s">
        <v>47</v>
      </c>
      <c r="B71" s="78"/>
      <c r="C71" s="78"/>
      <c r="D71" s="78"/>
      <c r="E71" s="78"/>
      <c r="F71" s="78"/>
      <c r="G71" s="78"/>
      <c r="H71" s="78"/>
      <c r="I71" s="78"/>
      <c r="J71" s="78"/>
      <c r="K71" s="78"/>
      <c r="L71" s="78"/>
      <c r="M71" s="78"/>
      <c r="N71" s="78"/>
      <c r="O71" s="78"/>
      <c r="P71" s="78"/>
      <c r="Q71" s="78"/>
      <c r="R71" s="78"/>
      <c r="S71" s="78"/>
      <c r="T71" s="78"/>
      <c r="U71" s="78"/>
      <c r="V71" s="78"/>
      <c r="W71" s="78"/>
      <c r="X71" s="78"/>
      <c r="Y71" s="78"/>
      <c r="Z71" s="78"/>
      <c r="AA71" s="78"/>
      <c r="AB71" s="78"/>
      <c r="AC71" s="78"/>
      <c r="AD71" s="78"/>
      <c r="AE71" s="78"/>
      <c r="AF71" s="78"/>
      <c r="AG71" s="78"/>
      <c r="AH71" s="78"/>
      <c r="AI71" s="78"/>
      <c r="AJ71" s="78"/>
      <c r="AK71" s="78"/>
      <c r="AL71" s="78"/>
      <c r="AM71" s="78"/>
      <c r="AN71" s="78"/>
      <c r="AO71" s="78"/>
      <c r="AP71" s="78"/>
      <c r="AQ71" s="78"/>
      <c r="AR71" s="78"/>
      <c r="AS71" s="78"/>
      <c r="AT71" s="78"/>
      <c r="AU71" s="78"/>
      <c r="AV71" s="78"/>
      <c r="AW71" s="78"/>
      <c r="AX71" s="78"/>
      <c r="AY71" s="78"/>
      <c r="AZ71" s="78"/>
      <c r="BA71" s="78"/>
      <c r="BB71" s="78"/>
      <c r="BC71" s="78"/>
    </row>
    <row r="72" spans="1:55" ht="33.75" customHeight="1">
      <c r="A72" s="78" t="s">
        <v>48</v>
      </c>
      <c r="B72" s="78"/>
      <c r="C72" s="78"/>
      <c r="D72" s="78"/>
      <c r="E72" s="78"/>
      <c r="F72" s="78"/>
      <c r="G72" s="78"/>
      <c r="H72" s="78"/>
      <c r="I72" s="78"/>
      <c r="J72" s="78"/>
      <c r="K72" s="78"/>
      <c r="L72" s="78"/>
      <c r="M72" s="78"/>
      <c r="N72" s="78"/>
      <c r="O72" s="78"/>
      <c r="P72" s="78"/>
      <c r="Q72" s="78"/>
      <c r="R72" s="78"/>
      <c r="S72" s="78"/>
      <c r="T72" s="78"/>
      <c r="U72" s="78"/>
      <c r="V72" s="78"/>
      <c r="W72" s="78"/>
      <c r="X72" s="78"/>
      <c r="Y72" s="78"/>
      <c r="Z72" s="78"/>
      <c r="AA72" s="78"/>
      <c r="AB72" s="78"/>
      <c r="AC72" s="78"/>
      <c r="AD72" s="78"/>
      <c r="AE72" s="78"/>
      <c r="AF72" s="78"/>
      <c r="AG72" s="78"/>
      <c r="AH72" s="78"/>
      <c r="AI72" s="78"/>
      <c r="AJ72" s="78"/>
      <c r="AK72" s="78"/>
      <c r="AL72" s="78"/>
      <c r="AM72" s="78"/>
      <c r="AN72" s="78"/>
      <c r="AO72" s="78"/>
      <c r="AP72" s="78"/>
      <c r="AQ72" s="78"/>
      <c r="AR72" s="78"/>
      <c r="AS72" s="78"/>
      <c r="AT72" s="78"/>
      <c r="AU72" s="78"/>
      <c r="AV72" s="78"/>
      <c r="AW72" s="78"/>
      <c r="AX72" s="78"/>
      <c r="AY72" s="78"/>
      <c r="AZ72" s="78"/>
      <c r="BA72" s="78"/>
      <c r="BB72" s="78"/>
      <c r="BC72" s="78"/>
    </row>
    <row r="73" spans="1:55" ht="33.75" customHeight="1">
      <c r="A73" s="78" t="s">
        <v>49</v>
      </c>
      <c r="B73" s="78"/>
      <c r="C73" s="78"/>
      <c r="D73" s="78"/>
      <c r="E73" s="78"/>
      <c r="F73" s="78"/>
      <c r="G73" s="78"/>
      <c r="H73" s="78"/>
      <c r="I73" s="78"/>
      <c r="J73" s="78"/>
      <c r="K73" s="78"/>
      <c r="L73" s="78"/>
      <c r="M73" s="78"/>
      <c r="N73" s="78"/>
      <c r="O73" s="78"/>
      <c r="P73" s="78"/>
      <c r="Q73" s="78"/>
      <c r="R73" s="78"/>
      <c r="S73" s="78"/>
      <c r="T73" s="78"/>
      <c r="U73" s="78"/>
      <c r="V73" s="78"/>
      <c r="W73" s="78"/>
      <c r="X73" s="78"/>
      <c r="Y73" s="78"/>
      <c r="Z73" s="78"/>
      <c r="AA73" s="78"/>
      <c r="AB73" s="78"/>
      <c r="AC73" s="78"/>
      <c r="AD73" s="78"/>
      <c r="AE73" s="78"/>
      <c r="AF73" s="78"/>
      <c r="AG73" s="78"/>
      <c r="AH73" s="78"/>
      <c r="AI73" s="78"/>
      <c r="AJ73" s="78"/>
      <c r="AK73" s="78"/>
      <c r="AL73" s="78"/>
      <c r="AM73" s="78"/>
      <c r="AN73" s="78"/>
      <c r="AO73" s="78"/>
      <c r="AP73" s="78"/>
      <c r="AQ73" s="78"/>
      <c r="AR73" s="78"/>
      <c r="AS73" s="78"/>
      <c r="AT73" s="78"/>
      <c r="AU73" s="78"/>
      <c r="AV73" s="78"/>
      <c r="AW73" s="78"/>
      <c r="AX73" s="78"/>
      <c r="AY73" s="78"/>
      <c r="AZ73" s="78"/>
      <c r="BA73" s="78"/>
      <c r="BB73" s="78"/>
      <c r="BC73" s="78"/>
    </row>
    <row r="74" spans="1:55" ht="35.25" customHeight="1">
      <c r="A74" s="78" t="s">
        <v>50</v>
      </c>
      <c r="B74" s="78"/>
      <c r="C74" s="78"/>
      <c r="D74" s="78"/>
      <c r="E74" s="78"/>
      <c r="F74" s="78"/>
      <c r="G74" s="78"/>
      <c r="H74" s="78"/>
      <c r="I74" s="78"/>
      <c r="J74" s="78"/>
      <c r="K74" s="78"/>
      <c r="L74" s="78"/>
      <c r="M74" s="78"/>
      <c r="N74" s="78"/>
      <c r="O74" s="78"/>
      <c r="P74" s="78"/>
      <c r="Q74" s="78"/>
      <c r="R74" s="78"/>
      <c r="S74" s="78"/>
      <c r="T74" s="78"/>
      <c r="U74" s="78"/>
      <c r="V74" s="78"/>
      <c r="W74" s="78"/>
      <c r="X74" s="78"/>
      <c r="Y74" s="78"/>
      <c r="Z74" s="78"/>
      <c r="AA74" s="78"/>
      <c r="AB74" s="78"/>
      <c r="AC74" s="78"/>
      <c r="AD74" s="78"/>
      <c r="AE74" s="78"/>
      <c r="AF74" s="78"/>
      <c r="AG74" s="78"/>
      <c r="AH74" s="78"/>
      <c r="AI74" s="78"/>
      <c r="AJ74" s="78"/>
      <c r="AK74" s="78"/>
      <c r="AL74" s="78"/>
      <c r="AM74" s="78"/>
      <c r="AN74" s="78"/>
      <c r="AO74" s="78"/>
      <c r="AP74" s="78"/>
      <c r="AQ74" s="78"/>
      <c r="AR74" s="78"/>
      <c r="AS74" s="78"/>
      <c r="AT74" s="78"/>
      <c r="AU74" s="78"/>
      <c r="AV74" s="78"/>
      <c r="AW74" s="78"/>
      <c r="AX74" s="78"/>
      <c r="AY74" s="78"/>
      <c r="AZ74" s="78"/>
      <c r="BA74" s="78"/>
      <c r="BB74" s="78"/>
      <c r="BC74" s="78"/>
    </row>
    <row r="75" spans="1:55" ht="32.25" customHeight="1">
      <c r="A75" s="78" t="s">
        <v>51</v>
      </c>
      <c r="B75" s="78"/>
      <c r="C75" s="78"/>
      <c r="D75" s="78"/>
      <c r="E75" s="78"/>
      <c r="F75" s="78"/>
      <c r="G75" s="78"/>
      <c r="H75" s="78"/>
      <c r="I75" s="78"/>
      <c r="J75" s="78"/>
      <c r="K75" s="78"/>
      <c r="L75" s="78"/>
      <c r="M75" s="78"/>
      <c r="N75" s="78"/>
      <c r="O75" s="78"/>
      <c r="P75" s="78"/>
      <c r="Q75" s="78"/>
      <c r="R75" s="78"/>
      <c r="S75" s="78"/>
      <c r="T75" s="78"/>
      <c r="U75" s="78"/>
      <c r="V75" s="78"/>
      <c r="W75" s="78"/>
      <c r="X75" s="78"/>
      <c r="Y75" s="78"/>
      <c r="Z75" s="78"/>
      <c r="AA75" s="78"/>
      <c r="AB75" s="78"/>
      <c r="AC75" s="78"/>
      <c r="AD75" s="78"/>
      <c r="AE75" s="78"/>
      <c r="AF75" s="78"/>
      <c r="AG75" s="78"/>
      <c r="AH75" s="78"/>
      <c r="AI75" s="78"/>
      <c r="AJ75" s="78"/>
      <c r="AK75" s="78"/>
      <c r="AL75" s="78"/>
      <c r="AM75" s="78"/>
      <c r="AN75" s="78"/>
      <c r="AO75" s="78"/>
      <c r="AP75" s="78"/>
      <c r="AQ75" s="78"/>
      <c r="AR75" s="78"/>
      <c r="AS75" s="78"/>
      <c r="AT75" s="78"/>
      <c r="AU75" s="78"/>
      <c r="AV75" s="78"/>
      <c r="AW75" s="78"/>
      <c r="AX75" s="78"/>
      <c r="AY75" s="78"/>
      <c r="AZ75" s="78"/>
      <c r="BA75" s="78"/>
      <c r="BB75" s="78"/>
      <c r="BC75" s="78"/>
    </row>
    <row r="76" spans="1:55" ht="11.85" customHeight="1">
      <c r="A76" s="78" t="s">
        <v>52</v>
      </c>
      <c r="B76" s="78"/>
      <c r="C76" s="78"/>
      <c r="D76" s="78"/>
      <c r="E76" s="78"/>
      <c r="F76" s="78"/>
      <c r="G76" s="78"/>
      <c r="H76" s="78"/>
      <c r="I76" s="78"/>
      <c r="J76" s="78"/>
      <c r="K76" s="78"/>
      <c r="L76" s="78"/>
      <c r="M76" s="78"/>
      <c r="N76" s="78"/>
      <c r="O76" s="78"/>
      <c r="P76" s="78"/>
      <c r="Q76" s="78"/>
      <c r="R76" s="78"/>
      <c r="S76" s="78"/>
      <c r="T76" s="78"/>
      <c r="U76" s="78"/>
      <c r="V76" s="78"/>
      <c r="W76" s="78"/>
      <c r="X76" s="78"/>
      <c r="Y76" s="78"/>
      <c r="Z76" s="78"/>
      <c r="AA76" s="78"/>
      <c r="AB76" s="78"/>
      <c r="AC76" s="78"/>
      <c r="AD76" s="78"/>
      <c r="AE76" s="78"/>
      <c r="AF76" s="78"/>
      <c r="AG76" s="78"/>
      <c r="AH76" s="78"/>
      <c r="AI76" s="78"/>
      <c r="AJ76" s="78"/>
      <c r="AK76" s="78"/>
      <c r="AL76" s="78"/>
      <c r="AM76" s="78"/>
      <c r="AN76" s="78"/>
      <c r="AO76" s="78"/>
      <c r="AP76" s="78"/>
      <c r="AQ76" s="78"/>
      <c r="AR76" s="78"/>
      <c r="AS76" s="78"/>
      <c r="AT76" s="78"/>
      <c r="AU76" s="78"/>
      <c r="AV76" s="78"/>
      <c r="AW76" s="78"/>
      <c r="AX76" s="78"/>
      <c r="AY76" s="78"/>
      <c r="AZ76" s="78"/>
      <c r="BA76" s="78"/>
      <c r="BB76" s="78"/>
      <c r="BC76" s="78"/>
    </row>
    <row r="77" spans="1:55" ht="11.85" customHeight="1">
      <c r="A77" s="79" t="s">
        <v>53</v>
      </c>
      <c r="B77" s="79"/>
      <c r="C77" s="79"/>
      <c r="D77" s="79"/>
      <c r="E77" s="79"/>
      <c r="F77" s="79"/>
      <c r="G77" s="79"/>
      <c r="H77" s="79"/>
      <c r="I77" s="79"/>
      <c r="J77" s="79"/>
      <c r="K77" s="79"/>
      <c r="L77" s="79"/>
      <c r="M77" s="79"/>
      <c r="N77" s="79"/>
      <c r="O77" s="79"/>
      <c r="P77" s="79"/>
      <c r="Q77" s="79"/>
      <c r="R77" s="79"/>
      <c r="S77" s="79"/>
      <c r="T77" s="79"/>
      <c r="U77" s="79"/>
      <c r="V77" s="79"/>
      <c r="W77" s="79"/>
      <c r="X77" s="79"/>
      <c r="Y77" s="79"/>
      <c r="Z77" s="79"/>
      <c r="AA77" s="79"/>
      <c r="AB77" s="79"/>
      <c r="AC77" s="79"/>
      <c r="AD77" s="79"/>
      <c r="AE77" s="79"/>
      <c r="AF77" s="79"/>
      <c r="AG77" s="79"/>
      <c r="AH77" s="79"/>
      <c r="AI77" s="79"/>
      <c r="AJ77" s="79"/>
      <c r="AK77" s="79"/>
      <c r="AL77" s="79"/>
      <c r="AM77" s="79"/>
      <c r="AN77" s="79"/>
      <c r="AO77" s="79"/>
      <c r="AP77" s="79"/>
      <c r="AQ77" s="79"/>
      <c r="AR77" s="79"/>
      <c r="AS77" s="79"/>
      <c r="AT77" s="79"/>
      <c r="AU77" s="79"/>
      <c r="AV77" s="79"/>
      <c r="AW77" s="79"/>
      <c r="AX77" s="79"/>
      <c r="AY77" s="79"/>
      <c r="AZ77" s="79"/>
      <c r="BA77" s="79"/>
      <c r="BB77" s="79"/>
      <c r="BC77" s="79"/>
    </row>
    <row r="78" spans="1:55" ht="43.5" customHeight="1">
      <c r="A78" s="79" t="s">
        <v>161</v>
      </c>
      <c r="B78" s="79"/>
      <c r="C78" s="79"/>
      <c r="D78" s="79"/>
      <c r="E78" s="79"/>
      <c r="F78" s="79"/>
      <c r="G78" s="79"/>
      <c r="H78" s="79"/>
      <c r="I78" s="79"/>
      <c r="J78" s="79"/>
      <c r="K78" s="79"/>
      <c r="L78" s="79"/>
      <c r="M78" s="79"/>
      <c r="N78" s="79"/>
      <c r="O78" s="79"/>
      <c r="P78" s="79"/>
      <c r="Q78" s="79"/>
      <c r="R78" s="79"/>
      <c r="S78" s="79"/>
      <c r="T78" s="79"/>
      <c r="U78" s="79"/>
      <c r="V78" s="79"/>
      <c r="W78" s="79"/>
      <c r="X78" s="79"/>
      <c r="Y78" s="79"/>
      <c r="Z78" s="79"/>
      <c r="AA78" s="79"/>
      <c r="AB78" s="79"/>
      <c r="AC78" s="79"/>
      <c r="AD78" s="79"/>
      <c r="AE78" s="79"/>
      <c r="AF78" s="79"/>
      <c r="AG78" s="79"/>
      <c r="AH78" s="79"/>
      <c r="AI78" s="79"/>
      <c r="AJ78" s="79"/>
      <c r="AK78" s="79"/>
      <c r="AL78" s="79"/>
      <c r="AM78" s="79"/>
      <c r="AN78" s="79"/>
      <c r="AO78" s="79"/>
      <c r="AP78" s="79"/>
      <c r="AQ78" s="79"/>
      <c r="AR78" s="79"/>
      <c r="AS78" s="79"/>
      <c r="AT78" s="79"/>
      <c r="AU78" s="79"/>
      <c r="AV78" s="79"/>
      <c r="AW78" s="79"/>
      <c r="AX78" s="79"/>
      <c r="AY78" s="79"/>
      <c r="AZ78" s="79"/>
      <c r="BA78" s="79"/>
      <c r="BB78" s="79"/>
      <c r="BC78" s="79"/>
    </row>
    <row r="79" spans="1:55" ht="11.85" customHeight="1">
      <c r="A79" s="78" t="s">
        <v>119</v>
      </c>
      <c r="B79" s="78"/>
      <c r="C79" s="78"/>
      <c r="D79" s="78"/>
      <c r="E79" s="78"/>
      <c r="F79" s="78"/>
      <c r="G79" s="78"/>
      <c r="H79" s="78"/>
      <c r="I79" s="78"/>
      <c r="J79" s="78"/>
      <c r="K79" s="78"/>
      <c r="L79" s="78"/>
      <c r="M79" s="78"/>
      <c r="N79" s="78"/>
      <c r="O79" s="78"/>
      <c r="P79" s="78"/>
      <c r="Q79" s="78"/>
      <c r="R79" s="78"/>
      <c r="S79" s="78"/>
      <c r="T79" s="78"/>
      <c r="U79" s="78"/>
      <c r="V79" s="78"/>
      <c r="W79" s="78"/>
      <c r="X79" s="78"/>
      <c r="Y79" s="78"/>
      <c r="Z79" s="78"/>
      <c r="AA79" s="78"/>
      <c r="AB79" s="78"/>
      <c r="AC79" s="78"/>
      <c r="AD79" s="78"/>
      <c r="AE79" s="78"/>
      <c r="AF79" s="78"/>
      <c r="AG79" s="78"/>
      <c r="AH79" s="78"/>
      <c r="AI79" s="78"/>
      <c r="AJ79" s="78"/>
      <c r="AK79" s="78"/>
      <c r="AL79" s="78"/>
      <c r="AM79" s="78"/>
      <c r="AN79" s="78"/>
      <c r="AO79" s="78"/>
      <c r="AP79" s="78"/>
      <c r="AQ79" s="78"/>
      <c r="AR79" s="78"/>
      <c r="AS79" s="78"/>
      <c r="AT79" s="78"/>
      <c r="AU79" s="78"/>
      <c r="AV79" s="78"/>
      <c r="AW79" s="78"/>
      <c r="AX79" s="78"/>
      <c r="AY79" s="78"/>
      <c r="AZ79" s="78"/>
      <c r="BA79" s="78"/>
      <c r="BB79" s="78"/>
      <c r="BC79" s="78"/>
    </row>
    <row r="80" spans="1:55" ht="44.25" customHeight="1">
      <c r="A80" s="79" t="s">
        <v>54</v>
      </c>
      <c r="B80" s="79"/>
      <c r="C80" s="79"/>
      <c r="D80" s="79"/>
      <c r="E80" s="79"/>
      <c r="F80" s="79"/>
      <c r="G80" s="79"/>
      <c r="H80" s="79"/>
      <c r="I80" s="79"/>
      <c r="J80" s="79"/>
      <c r="K80" s="79"/>
      <c r="L80" s="79"/>
      <c r="M80" s="79"/>
      <c r="N80" s="79"/>
      <c r="O80" s="79"/>
      <c r="P80" s="79"/>
      <c r="Q80" s="79"/>
      <c r="R80" s="79"/>
      <c r="S80" s="79"/>
      <c r="T80" s="79"/>
      <c r="U80" s="79"/>
      <c r="V80" s="79"/>
      <c r="W80" s="79"/>
      <c r="X80" s="79"/>
      <c r="Y80" s="79"/>
      <c r="Z80" s="79"/>
      <c r="AA80" s="79"/>
      <c r="AB80" s="79"/>
      <c r="AC80" s="79"/>
      <c r="AD80" s="79"/>
      <c r="AE80" s="79"/>
      <c r="AF80" s="79"/>
      <c r="AG80" s="79"/>
      <c r="AH80" s="79"/>
      <c r="AI80" s="79"/>
      <c r="AJ80" s="79"/>
      <c r="AK80" s="79"/>
      <c r="AL80" s="79"/>
      <c r="AM80" s="79"/>
      <c r="AN80" s="79"/>
      <c r="AO80" s="79"/>
      <c r="AP80" s="79"/>
      <c r="AQ80" s="79"/>
      <c r="AR80" s="79"/>
      <c r="AS80" s="79"/>
      <c r="AT80" s="79"/>
      <c r="AU80" s="79"/>
      <c r="AV80" s="79"/>
      <c r="AW80" s="79"/>
      <c r="AX80" s="79"/>
      <c r="AY80" s="79"/>
      <c r="AZ80" s="79"/>
      <c r="BA80" s="79"/>
      <c r="BB80" s="79"/>
      <c r="BC80" s="79"/>
    </row>
    <row r="81" spans="1:55" ht="23.1" customHeight="1">
      <c r="A81" s="79" t="s">
        <v>55</v>
      </c>
      <c r="B81" s="79"/>
      <c r="C81" s="79"/>
      <c r="D81" s="79"/>
      <c r="E81" s="79"/>
      <c r="F81" s="79"/>
      <c r="G81" s="79"/>
      <c r="H81" s="79"/>
      <c r="I81" s="79"/>
      <c r="J81" s="79"/>
      <c r="K81" s="79"/>
      <c r="L81" s="79"/>
      <c r="M81" s="79"/>
      <c r="N81" s="79"/>
      <c r="O81" s="79"/>
      <c r="P81" s="79"/>
      <c r="Q81" s="79"/>
      <c r="R81" s="79"/>
      <c r="S81" s="79"/>
      <c r="T81" s="79"/>
      <c r="U81" s="79"/>
      <c r="V81" s="79"/>
      <c r="W81" s="79"/>
      <c r="X81" s="79"/>
      <c r="Y81" s="79"/>
      <c r="Z81" s="79"/>
      <c r="AA81" s="79"/>
      <c r="AB81" s="79"/>
      <c r="AC81" s="79"/>
      <c r="AD81" s="79"/>
      <c r="AE81" s="79"/>
      <c r="AF81" s="79"/>
      <c r="AG81" s="79"/>
      <c r="AH81" s="79"/>
      <c r="AI81" s="79"/>
      <c r="AJ81" s="79"/>
      <c r="AK81" s="79"/>
      <c r="AL81" s="79"/>
      <c r="AM81" s="79"/>
      <c r="AN81" s="79"/>
      <c r="AO81" s="79"/>
      <c r="AP81" s="79"/>
      <c r="AQ81" s="79"/>
      <c r="AR81" s="79"/>
      <c r="AS81" s="79"/>
      <c r="AT81" s="79"/>
      <c r="AU81" s="79"/>
      <c r="AV81" s="79"/>
      <c r="AW81" s="79"/>
      <c r="AX81" s="79"/>
      <c r="AY81" s="79"/>
      <c r="AZ81" s="79"/>
      <c r="BA81" s="79"/>
      <c r="BB81" s="79"/>
      <c r="BC81" s="79"/>
    </row>
    <row r="82" spans="1:55" ht="23.1" customHeight="1">
      <c r="A82" s="79" t="s">
        <v>56</v>
      </c>
      <c r="B82" s="79"/>
      <c r="C82" s="79"/>
      <c r="D82" s="79"/>
      <c r="E82" s="79"/>
      <c r="F82" s="79"/>
      <c r="G82" s="79"/>
      <c r="H82" s="79"/>
      <c r="I82" s="79"/>
      <c r="J82" s="79"/>
      <c r="K82" s="79"/>
      <c r="L82" s="79"/>
      <c r="M82" s="79"/>
      <c r="N82" s="79"/>
      <c r="O82" s="79"/>
      <c r="P82" s="79"/>
      <c r="Q82" s="79"/>
      <c r="R82" s="79"/>
      <c r="S82" s="79"/>
      <c r="T82" s="79"/>
      <c r="U82" s="79"/>
      <c r="V82" s="79"/>
      <c r="W82" s="79"/>
      <c r="X82" s="79"/>
      <c r="Y82" s="79"/>
      <c r="Z82" s="79"/>
      <c r="AA82" s="79"/>
      <c r="AB82" s="79"/>
      <c r="AC82" s="79"/>
      <c r="AD82" s="79"/>
      <c r="AE82" s="79"/>
      <c r="AF82" s="79"/>
      <c r="AG82" s="79"/>
      <c r="AH82" s="79"/>
      <c r="AI82" s="79"/>
      <c r="AJ82" s="79"/>
      <c r="AK82" s="79"/>
      <c r="AL82" s="79"/>
      <c r="AM82" s="79"/>
      <c r="AN82" s="79"/>
      <c r="AO82" s="79"/>
      <c r="AP82" s="79"/>
      <c r="AQ82" s="79"/>
      <c r="AR82" s="79"/>
      <c r="AS82" s="79"/>
      <c r="AT82" s="79"/>
      <c r="AU82" s="79"/>
      <c r="AV82" s="79"/>
      <c r="AW82" s="79"/>
      <c r="AX82" s="79"/>
      <c r="AY82" s="79"/>
      <c r="AZ82" s="79"/>
      <c r="BA82" s="79"/>
      <c r="BB82" s="79"/>
      <c r="BC82" s="79"/>
    </row>
    <row r="83" spans="1:55" ht="11.85" customHeight="1">
      <c r="A83" s="80" t="s">
        <v>15</v>
      </c>
      <c r="B83" s="80"/>
      <c r="C83" s="80"/>
      <c r="D83" s="80"/>
      <c r="E83" s="80"/>
      <c r="F83" s="80"/>
      <c r="G83" s="80"/>
      <c r="H83" s="80"/>
      <c r="I83" s="80"/>
      <c r="J83" s="80"/>
      <c r="K83" s="80"/>
      <c r="L83" s="80"/>
      <c r="M83" s="80"/>
      <c r="N83" s="80"/>
      <c r="O83" s="80"/>
      <c r="P83" s="80"/>
      <c r="Q83" s="80"/>
      <c r="R83" s="80"/>
      <c r="S83" s="80"/>
      <c r="T83" s="80"/>
      <c r="U83" s="80"/>
      <c r="V83" s="80"/>
      <c r="W83" s="80"/>
      <c r="X83" s="80"/>
      <c r="Y83" s="80"/>
      <c r="Z83" s="80"/>
      <c r="AA83" s="80"/>
      <c r="AB83" s="80"/>
      <c r="AC83" s="80"/>
      <c r="AD83" s="80"/>
      <c r="AE83" s="80"/>
      <c r="AF83" s="80"/>
      <c r="AG83" s="80"/>
      <c r="AH83" s="80"/>
      <c r="AI83" s="80"/>
      <c r="AJ83" s="80"/>
      <c r="AK83" s="80"/>
      <c r="AL83" s="80"/>
      <c r="AM83" s="80"/>
      <c r="AN83" s="80"/>
      <c r="AO83" s="80"/>
      <c r="AP83" s="80"/>
      <c r="AQ83" s="80"/>
      <c r="AR83" s="80"/>
      <c r="AS83" s="80"/>
      <c r="AT83" s="80"/>
      <c r="AU83" s="80"/>
      <c r="AV83" s="80"/>
      <c r="AW83" s="80"/>
      <c r="AX83" s="80"/>
      <c r="AY83" s="80"/>
      <c r="AZ83" s="80"/>
      <c r="BA83" s="80"/>
      <c r="BB83" s="80"/>
      <c r="BC83" s="80"/>
    </row>
    <row r="84" spans="1:55" ht="33.75" customHeight="1">
      <c r="A84" s="78" t="s">
        <v>207</v>
      </c>
      <c r="B84" s="78"/>
      <c r="C84" s="78"/>
      <c r="D84" s="78"/>
      <c r="E84" s="78"/>
      <c r="F84" s="78"/>
      <c r="G84" s="78"/>
      <c r="H84" s="78"/>
      <c r="I84" s="78"/>
      <c r="J84" s="78"/>
      <c r="K84" s="78"/>
      <c r="L84" s="78"/>
      <c r="M84" s="78"/>
      <c r="N84" s="78"/>
      <c r="O84" s="78"/>
      <c r="P84" s="78"/>
      <c r="Q84" s="78"/>
      <c r="R84" s="78"/>
      <c r="S84" s="78"/>
      <c r="T84" s="78"/>
      <c r="U84" s="78"/>
      <c r="V84" s="78"/>
      <c r="W84" s="78"/>
      <c r="X84" s="78"/>
      <c r="Y84" s="78"/>
      <c r="Z84" s="78"/>
      <c r="AA84" s="78"/>
      <c r="AB84" s="78"/>
      <c r="AC84" s="78"/>
      <c r="AD84" s="78"/>
      <c r="AE84" s="78"/>
      <c r="AF84" s="78"/>
      <c r="AG84" s="78"/>
      <c r="AH84" s="78"/>
      <c r="AI84" s="78"/>
      <c r="AJ84" s="78"/>
      <c r="AK84" s="78"/>
      <c r="AL84" s="78"/>
      <c r="AM84" s="78"/>
      <c r="AN84" s="78"/>
      <c r="AO84" s="78"/>
      <c r="AP84" s="78"/>
      <c r="AQ84" s="78"/>
      <c r="AR84" s="78"/>
      <c r="AS84" s="78"/>
      <c r="AT84" s="78"/>
      <c r="AU84" s="78"/>
      <c r="AV84" s="78"/>
      <c r="AW84" s="78"/>
      <c r="AX84" s="78"/>
      <c r="AY84" s="78"/>
      <c r="AZ84" s="78"/>
      <c r="BA84" s="78"/>
      <c r="BB84" s="78"/>
      <c r="BC84" s="78"/>
    </row>
    <row r="85" spans="1:55" ht="24" customHeight="1">
      <c r="A85" s="78" t="s">
        <v>208</v>
      </c>
      <c r="B85" s="78"/>
      <c r="C85" s="78"/>
      <c r="D85" s="78"/>
      <c r="E85" s="78"/>
      <c r="F85" s="78"/>
      <c r="G85" s="78"/>
      <c r="H85" s="78"/>
      <c r="I85" s="78"/>
      <c r="J85" s="78"/>
      <c r="K85" s="78"/>
      <c r="L85" s="78"/>
      <c r="M85" s="78"/>
      <c r="N85" s="78"/>
      <c r="O85" s="78"/>
      <c r="P85" s="78"/>
      <c r="Q85" s="78"/>
      <c r="R85" s="78"/>
      <c r="S85" s="78"/>
      <c r="T85" s="78"/>
      <c r="U85" s="78"/>
      <c r="V85" s="78"/>
      <c r="W85" s="78"/>
      <c r="X85" s="78"/>
      <c r="Y85" s="78"/>
      <c r="Z85" s="78"/>
      <c r="AA85" s="78"/>
      <c r="AB85" s="78"/>
      <c r="AC85" s="78"/>
      <c r="AD85" s="78"/>
      <c r="AE85" s="78"/>
      <c r="AF85" s="78"/>
      <c r="AG85" s="78"/>
      <c r="AH85" s="78"/>
      <c r="AI85" s="78"/>
      <c r="AJ85" s="78"/>
      <c r="AK85" s="78"/>
      <c r="AL85" s="78"/>
      <c r="AM85" s="78"/>
      <c r="AN85" s="78"/>
      <c r="AO85" s="78"/>
      <c r="AP85" s="78"/>
      <c r="AQ85" s="78"/>
      <c r="AR85" s="78"/>
      <c r="AS85" s="78"/>
      <c r="AT85" s="78"/>
      <c r="AU85" s="78"/>
      <c r="AV85" s="78"/>
      <c r="AW85" s="78"/>
      <c r="AX85" s="78"/>
      <c r="AY85" s="78"/>
      <c r="AZ85" s="78"/>
      <c r="BA85" s="78"/>
      <c r="BB85" s="78"/>
      <c r="BC85" s="78"/>
    </row>
    <row r="86" spans="1:55" ht="36" customHeight="1">
      <c r="A86" s="78" t="s">
        <v>209</v>
      </c>
      <c r="B86" s="78"/>
      <c r="C86" s="78"/>
      <c r="D86" s="78"/>
      <c r="E86" s="78"/>
      <c r="F86" s="78"/>
      <c r="G86" s="78"/>
      <c r="H86" s="78"/>
      <c r="I86" s="78"/>
      <c r="J86" s="78"/>
      <c r="K86" s="78"/>
      <c r="L86" s="78"/>
      <c r="M86" s="78"/>
      <c r="N86" s="78"/>
      <c r="O86" s="78"/>
      <c r="P86" s="78"/>
      <c r="Q86" s="78"/>
      <c r="R86" s="78"/>
      <c r="S86" s="78"/>
      <c r="T86" s="78"/>
      <c r="U86" s="78"/>
      <c r="V86" s="78"/>
      <c r="W86" s="78"/>
      <c r="X86" s="78"/>
      <c r="Y86" s="78"/>
      <c r="Z86" s="78"/>
      <c r="AA86" s="78"/>
      <c r="AB86" s="78"/>
      <c r="AC86" s="78"/>
      <c r="AD86" s="78"/>
      <c r="AE86" s="78"/>
      <c r="AF86" s="78"/>
      <c r="AG86" s="78"/>
      <c r="AH86" s="78"/>
      <c r="AI86" s="78"/>
      <c r="AJ86" s="78"/>
      <c r="AK86" s="78"/>
      <c r="AL86" s="78"/>
      <c r="AM86" s="78"/>
      <c r="AN86" s="78"/>
      <c r="AO86" s="78"/>
      <c r="AP86" s="78"/>
      <c r="AQ86" s="78"/>
      <c r="AR86" s="78"/>
      <c r="AS86" s="78"/>
      <c r="AT86" s="78"/>
      <c r="AU86" s="78"/>
      <c r="AV86" s="78"/>
      <c r="AW86" s="78"/>
      <c r="AX86" s="78"/>
      <c r="AY86" s="78"/>
      <c r="AZ86" s="78"/>
      <c r="BA86" s="78"/>
      <c r="BB86" s="78"/>
      <c r="BC86" s="78"/>
    </row>
    <row r="87" spans="1:55" ht="24" customHeight="1">
      <c r="A87" s="78" t="s">
        <v>57</v>
      </c>
      <c r="B87" s="78"/>
      <c r="C87" s="78"/>
      <c r="D87" s="78"/>
      <c r="E87" s="78"/>
      <c r="F87" s="78"/>
      <c r="G87" s="78"/>
      <c r="H87" s="78"/>
      <c r="I87" s="78"/>
      <c r="J87" s="78"/>
      <c r="K87" s="78"/>
      <c r="L87" s="78"/>
      <c r="M87" s="78"/>
      <c r="N87" s="78"/>
      <c r="O87" s="78"/>
      <c r="P87" s="78"/>
      <c r="Q87" s="78"/>
      <c r="R87" s="78"/>
      <c r="S87" s="78"/>
      <c r="T87" s="78"/>
      <c r="U87" s="78"/>
      <c r="V87" s="78"/>
      <c r="W87" s="78"/>
      <c r="X87" s="78"/>
      <c r="Y87" s="78"/>
      <c r="Z87" s="78"/>
      <c r="AA87" s="78"/>
      <c r="AB87" s="78"/>
      <c r="AC87" s="78"/>
      <c r="AD87" s="78"/>
      <c r="AE87" s="78"/>
      <c r="AF87" s="78"/>
      <c r="AG87" s="78"/>
      <c r="AH87" s="78"/>
      <c r="AI87" s="78"/>
      <c r="AJ87" s="78"/>
      <c r="AK87" s="78"/>
      <c r="AL87" s="78"/>
      <c r="AM87" s="78"/>
      <c r="AN87" s="78"/>
      <c r="AO87" s="78"/>
      <c r="AP87" s="78"/>
      <c r="AQ87" s="78"/>
      <c r="AR87" s="78"/>
      <c r="AS87" s="78"/>
      <c r="AT87" s="78"/>
      <c r="AU87" s="78"/>
      <c r="AV87" s="78"/>
      <c r="AW87" s="78"/>
      <c r="AX87" s="78"/>
      <c r="AY87" s="78"/>
      <c r="AZ87" s="78"/>
      <c r="BA87" s="78"/>
      <c r="BB87" s="78"/>
      <c r="BC87" s="78"/>
    </row>
    <row r="88" spans="1:55" ht="22.5" customHeight="1">
      <c r="A88" s="78" t="s">
        <v>58</v>
      </c>
      <c r="B88" s="78"/>
      <c r="C88" s="78"/>
      <c r="D88" s="78"/>
      <c r="E88" s="78"/>
      <c r="F88" s="78"/>
      <c r="G88" s="78"/>
      <c r="H88" s="78"/>
      <c r="I88" s="78"/>
      <c r="J88" s="78"/>
      <c r="K88" s="78"/>
      <c r="L88" s="78"/>
      <c r="M88" s="78"/>
      <c r="N88" s="78"/>
      <c r="O88" s="78"/>
      <c r="P88" s="78"/>
      <c r="Q88" s="78"/>
      <c r="R88" s="78"/>
      <c r="S88" s="78"/>
      <c r="T88" s="78"/>
      <c r="U88" s="78"/>
      <c r="V88" s="78"/>
      <c r="W88" s="78"/>
      <c r="X88" s="78"/>
      <c r="Y88" s="78"/>
      <c r="Z88" s="78"/>
      <c r="AA88" s="78"/>
      <c r="AB88" s="78"/>
      <c r="AC88" s="78"/>
      <c r="AD88" s="78"/>
      <c r="AE88" s="78"/>
      <c r="AF88" s="78"/>
      <c r="AG88" s="78"/>
      <c r="AH88" s="78"/>
      <c r="AI88" s="78"/>
      <c r="AJ88" s="78"/>
      <c r="AK88" s="78"/>
      <c r="AL88" s="78"/>
      <c r="AM88" s="78"/>
      <c r="AN88" s="78"/>
      <c r="AO88" s="78"/>
      <c r="AP88" s="78"/>
      <c r="AQ88" s="78"/>
      <c r="AR88" s="78"/>
      <c r="AS88" s="78"/>
      <c r="AT88" s="78"/>
      <c r="AU88" s="78"/>
      <c r="AV88" s="78"/>
      <c r="AW88" s="78"/>
      <c r="AX88" s="78"/>
      <c r="AY88" s="78"/>
      <c r="AZ88" s="78"/>
      <c r="BA88" s="78"/>
      <c r="BB88" s="78"/>
      <c r="BC88" s="78"/>
    </row>
    <row r="89" spans="1:55" ht="45.75" customHeight="1">
      <c r="A89" s="78" t="s">
        <v>59</v>
      </c>
      <c r="B89" s="78"/>
      <c r="C89" s="78"/>
      <c r="D89" s="78"/>
      <c r="E89" s="78"/>
      <c r="F89" s="78"/>
      <c r="G89" s="78"/>
      <c r="H89" s="78"/>
      <c r="I89" s="78"/>
      <c r="J89" s="78"/>
      <c r="K89" s="78"/>
      <c r="L89" s="78"/>
      <c r="M89" s="78"/>
      <c r="N89" s="78"/>
      <c r="O89" s="78"/>
      <c r="P89" s="78"/>
      <c r="Q89" s="78"/>
      <c r="R89" s="78"/>
      <c r="S89" s="78"/>
      <c r="T89" s="78"/>
      <c r="U89" s="78"/>
      <c r="V89" s="78"/>
      <c r="W89" s="78"/>
      <c r="X89" s="78"/>
      <c r="Y89" s="78"/>
      <c r="Z89" s="78"/>
      <c r="AA89" s="78"/>
      <c r="AB89" s="78"/>
      <c r="AC89" s="78"/>
      <c r="AD89" s="78"/>
      <c r="AE89" s="78"/>
      <c r="AF89" s="78"/>
      <c r="AG89" s="78"/>
      <c r="AH89" s="78"/>
      <c r="AI89" s="78"/>
      <c r="AJ89" s="78"/>
      <c r="AK89" s="78"/>
      <c r="AL89" s="78"/>
      <c r="AM89" s="78"/>
      <c r="AN89" s="78"/>
      <c r="AO89" s="78"/>
      <c r="AP89" s="78"/>
      <c r="AQ89" s="78"/>
      <c r="AR89" s="78"/>
      <c r="AS89" s="78"/>
      <c r="AT89" s="78"/>
      <c r="AU89" s="78"/>
      <c r="AV89" s="78"/>
      <c r="AW89" s="78"/>
      <c r="AX89" s="78"/>
      <c r="AY89" s="78"/>
      <c r="AZ89" s="78"/>
      <c r="BA89" s="78"/>
      <c r="BB89" s="78"/>
      <c r="BC89" s="78"/>
    </row>
    <row r="90" spans="1:55" ht="55.5" customHeight="1">
      <c r="A90" s="78" t="s">
        <v>162</v>
      </c>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L90" s="78"/>
      <c r="AM90" s="78"/>
      <c r="AN90" s="78"/>
      <c r="AO90" s="78"/>
      <c r="AP90" s="78"/>
      <c r="AQ90" s="78"/>
      <c r="AR90" s="78"/>
      <c r="AS90" s="78"/>
      <c r="AT90" s="78"/>
      <c r="AU90" s="78"/>
      <c r="AV90" s="78"/>
      <c r="AW90" s="78"/>
      <c r="AX90" s="78"/>
      <c r="AY90" s="78"/>
      <c r="AZ90" s="78"/>
      <c r="BA90" s="78"/>
      <c r="BB90" s="78"/>
      <c r="BC90" s="78"/>
    </row>
    <row r="91" spans="1:55" ht="22.35" customHeight="1">
      <c r="A91" s="79" t="s">
        <v>163</v>
      </c>
      <c r="B91" s="79"/>
      <c r="C91" s="79"/>
      <c r="D91" s="79"/>
      <c r="E91" s="79"/>
      <c r="F91" s="79"/>
      <c r="G91" s="79"/>
      <c r="H91" s="79"/>
      <c r="I91" s="79"/>
      <c r="J91" s="79"/>
      <c r="K91" s="79"/>
      <c r="L91" s="79"/>
      <c r="M91" s="79"/>
      <c r="N91" s="79"/>
      <c r="O91" s="79"/>
      <c r="P91" s="79"/>
      <c r="Q91" s="79"/>
      <c r="R91" s="79"/>
      <c r="S91" s="79"/>
      <c r="T91" s="79"/>
      <c r="U91" s="79"/>
      <c r="V91" s="79"/>
      <c r="W91" s="79"/>
      <c r="X91" s="79"/>
      <c r="Y91" s="79"/>
      <c r="Z91" s="79"/>
      <c r="AA91" s="79"/>
      <c r="AB91" s="79"/>
      <c r="AC91" s="79"/>
      <c r="AD91" s="79"/>
      <c r="AE91" s="79"/>
      <c r="AF91" s="79"/>
      <c r="AG91" s="79"/>
      <c r="AH91" s="79"/>
      <c r="AI91" s="79"/>
      <c r="AJ91" s="79"/>
      <c r="AK91" s="79"/>
      <c r="AL91" s="79"/>
      <c r="AM91" s="79"/>
      <c r="AN91" s="79"/>
      <c r="AO91" s="79"/>
      <c r="AP91" s="79"/>
      <c r="AQ91" s="79"/>
      <c r="AR91" s="79"/>
      <c r="AS91" s="79"/>
      <c r="AT91" s="79"/>
      <c r="AU91" s="79"/>
      <c r="AV91" s="79"/>
      <c r="AW91" s="79"/>
      <c r="AX91" s="79"/>
      <c r="AY91" s="79"/>
      <c r="AZ91" s="79"/>
      <c r="BA91" s="79"/>
      <c r="BB91" s="79"/>
      <c r="BC91" s="79"/>
    </row>
    <row r="92" spans="1:55" ht="22.35" customHeight="1">
      <c r="A92" s="78" t="s">
        <v>60</v>
      </c>
      <c r="B92" s="78"/>
      <c r="C92" s="78"/>
      <c r="D92" s="78"/>
      <c r="E92" s="78"/>
      <c r="F92" s="78"/>
      <c r="G92" s="78"/>
      <c r="H92" s="78"/>
      <c r="I92" s="78"/>
      <c r="J92" s="78"/>
      <c r="K92" s="78"/>
      <c r="L92" s="78"/>
      <c r="M92" s="78"/>
      <c r="N92" s="78"/>
      <c r="O92" s="78"/>
      <c r="P92" s="78"/>
      <c r="Q92" s="78"/>
      <c r="R92" s="78"/>
      <c r="S92" s="78"/>
      <c r="T92" s="78"/>
      <c r="U92" s="78"/>
      <c r="V92" s="78"/>
      <c r="W92" s="78"/>
      <c r="X92" s="78"/>
      <c r="Y92" s="78"/>
      <c r="Z92" s="78"/>
      <c r="AA92" s="78"/>
      <c r="AB92" s="78"/>
      <c r="AC92" s="78"/>
      <c r="AD92" s="78"/>
      <c r="AE92" s="78"/>
      <c r="AF92" s="78"/>
      <c r="AG92" s="78"/>
      <c r="AH92" s="78"/>
      <c r="AI92" s="78"/>
      <c r="AJ92" s="78"/>
      <c r="AK92" s="78"/>
      <c r="AL92" s="78"/>
      <c r="AM92" s="78"/>
      <c r="AN92" s="78"/>
      <c r="AO92" s="78"/>
      <c r="AP92" s="78"/>
      <c r="AQ92" s="78"/>
      <c r="AR92" s="78"/>
      <c r="AS92" s="78"/>
      <c r="AT92" s="78"/>
      <c r="AU92" s="78"/>
      <c r="AV92" s="78"/>
      <c r="AW92" s="78"/>
      <c r="AX92" s="78"/>
      <c r="AY92" s="78"/>
      <c r="AZ92" s="78"/>
      <c r="BA92" s="78"/>
      <c r="BB92" s="78"/>
      <c r="BC92" s="78"/>
    </row>
    <row r="93" spans="1:55" ht="22.35" customHeight="1">
      <c r="A93" s="79" t="s">
        <v>164</v>
      </c>
      <c r="B93" s="79"/>
      <c r="C93" s="79"/>
      <c r="D93" s="79"/>
      <c r="E93" s="79"/>
      <c r="F93" s="79"/>
      <c r="G93" s="79"/>
      <c r="H93" s="79"/>
      <c r="I93" s="79"/>
      <c r="J93" s="79"/>
      <c r="K93" s="79"/>
      <c r="L93" s="79"/>
      <c r="M93" s="79"/>
      <c r="N93" s="79"/>
      <c r="O93" s="79"/>
      <c r="P93" s="79"/>
      <c r="Q93" s="79"/>
      <c r="R93" s="79"/>
      <c r="S93" s="79"/>
      <c r="T93" s="79"/>
      <c r="U93" s="79"/>
      <c r="V93" s="79"/>
      <c r="W93" s="79"/>
      <c r="X93" s="79"/>
      <c r="Y93" s="79"/>
      <c r="Z93" s="79"/>
      <c r="AA93" s="79"/>
      <c r="AB93" s="79"/>
      <c r="AC93" s="79"/>
      <c r="AD93" s="79"/>
      <c r="AE93" s="79"/>
      <c r="AF93" s="79"/>
      <c r="AG93" s="79"/>
      <c r="AH93" s="79"/>
      <c r="AI93" s="79"/>
      <c r="AJ93" s="79"/>
      <c r="AK93" s="79"/>
      <c r="AL93" s="79"/>
      <c r="AM93" s="79"/>
      <c r="AN93" s="79"/>
      <c r="AO93" s="79"/>
      <c r="AP93" s="79"/>
      <c r="AQ93" s="79"/>
      <c r="AR93" s="79"/>
      <c r="AS93" s="79"/>
      <c r="AT93" s="79"/>
      <c r="AU93" s="79"/>
      <c r="AV93" s="79"/>
      <c r="AW93" s="79"/>
      <c r="AX93" s="79"/>
      <c r="AY93" s="79"/>
      <c r="AZ93" s="79"/>
      <c r="BA93" s="79"/>
      <c r="BB93" s="79"/>
      <c r="BC93" s="79"/>
    </row>
    <row r="94" spans="1:55" ht="23.1" customHeight="1">
      <c r="A94" s="78" t="s">
        <v>61</v>
      </c>
      <c r="B94" s="78"/>
      <c r="C94" s="78"/>
      <c r="D94" s="78"/>
      <c r="E94" s="78"/>
      <c r="F94" s="78"/>
      <c r="G94" s="78"/>
      <c r="H94" s="78"/>
      <c r="I94" s="78"/>
      <c r="J94" s="78"/>
      <c r="K94" s="78"/>
      <c r="L94" s="78"/>
      <c r="M94" s="78"/>
      <c r="N94" s="78"/>
      <c r="O94" s="78"/>
      <c r="P94" s="78"/>
      <c r="Q94" s="78"/>
      <c r="R94" s="78"/>
      <c r="S94" s="78"/>
      <c r="T94" s="78"/>
      <c r="U94" s="78"/>
      <c r="V94" s="78"/>
      <c r="W94" s="78"/>
      <c r="X94" s="78"/>
      <c r="Y94" s="78"/>
      <c r="Z94" s="78"/>
      <c r="AA94" s="78"/>
      <c r="AB94" s="78"/>
      <c r="AC94" s="78"/>
      <c r="AD94" s="78"/>
      <c r="AE94" s="78"/>
      <c r="AF94" s="78"/>
      <c r="AG94" s="78"/>
      <c r="AH94" s="78"/>
      <c r="AI94" s="78"/>
      <c r="AJ94" s="78"/>
      <c r="AK94" s="78"/>
      <c r="AL94" s="78"/>
      <c r="AM94" s="78"/>
      <c r="AN94" s="78"/>
      <c r="AO94" s="78"/>
      <c r="AP94" s="78"/>
      <c r="AQ94" s="78"/>
      <c r="AR94" s="78"/>
      <c r="AS94" s="78"/>
      <c r="AT94" s="78"/>
      <c r="AU94" s="78"/>
      <c r="AV94" s="78"/>
      <c r="AW94" s="78"/>
      <c r="AX94" s="78"/>
      <c r="AY94" s="78"/>
      <c r="AZ94" s="78"/>
      <c r="BA94" s="78"/>
      <c r="BB94" s="78"/>
      <c r="BC94" s="78"/>
    </row>
    <row r="95" spans="1:55" ht="23.1" customHeight="1">
      <c r="A95" s="78" t="s">
        <v>215</v>
      </c>
      <c r="B95" s="78"/>
      <c r="C95" s="78"/>
      <c r="D95" s="78"/>
      <c r="E95" s="78"/>
      <c r="F95" s="78"/>
      <c r="G95" s="78"/>
      <c r="H95" s="78"/>
      <c r="I95" s="78"/>
      <c r="J95" s="78"/>
      <c r="K95" s="78"/>
      <c r="L95" s="78"/>
      <c r="M95" s="78"/>
      <c r="N95" s="78"/>
      <c r="O95" s="78"/>
      <c r="P95" s="78"/>
      <c r="Q95" s="78"/>
      <c r="R95" s="78"/>
      <c r="S95" s="78"/>
      <c r="T95" s="78"/>
      <c r="U95" s="78"/>
      <c r="V95" s="78"/>
      <c r="W95" s="78"/>
      <c r="X95" s="78"/>
      <c r="Y95" s="78"/>
      <c r="Z95" s="78"/>
      <c r="AA95" s="78"/>
      <c r="AB95" s="78"/>
      <c r="AC95" s="78"/>
      <c r="AD95" s="78"/>
      <c r="AE95" s="78"/>
      <c r="AF95" s="78"/>
      <c r="AG95" s="78"/>
      <c r="AH95" s="78"/>
      <c r="AI95" s="78"/>
      <c r="AJ95" s="78"/>
      <c r="AK95" s="78"/>
      <c r="AL95" s="78"/>
      <c r="AM95" s="78"/>
      <c r="AN95" s="78"/>
      <c r="AO95" s="78"/>
      <c r="AP95" s="78"/>
      <c r="AQ95" s="78"/>
      <c r="AR95" s="78"/>
      <c r="AS95" s="78"/>
      <c r="AT95" s="78"/>
      <c r="AU95" s="78"/>
      <c r="AV95" s="78"/>
      <c r="AW95" s="78"/>
      <c r="AX95" s="78"/>
      <c r="AY95" s="78"/>
      <c r="AZ95" s="78"/>
      <c r="BA95" s="78"/>
      <c r="BB95" s="78"/>
      <c r="BC95" s="78"/>
    </row>
    <row r="96" spans="1:55" ht="11.85" customHeight="1">
      <c r="A96" s="95" t="s">
        <v>16</v>
      </c>
      <c r="B96" s="95"/>
      <c r="C96" s="95"/>
      <c r="D96" s="95"/>
      <c r="E96" s="95"/>
      <c r="F96" s="95"/>
      <c r="G96" s="95"/>
      <c r="H96" s="95"/>
      <c r="I96" s="95"/>
      <c r="J96" s="95"/>
      <c r="K96" s="95"/>
      <c r="L96" s="95"/>
      <c r="M96" s="95"/>
      <c r="N96" s="95"/>
      <c r="O96" s="95"/>
      <c r="P96" s="95"/>
      <c r="Q96" s="95"/>
      <c r="R96" s="95"/>
      <c r="S96" s="95"/>
      <c r="T96" s="95"/>
      <c r="U96" s="95"/>
      <c r="V96" s="95"/>
      <c r="W96" s="95"/>
      <c r="X96" s="95"/>
      <c r="Y96" s="95"/>
      <c r="Z96" s="95"/>
      <c r="AA96" s="95"/>
      <c r="AB96" s="95"/>
      <c r="AC96" s="95"/>
      <c r="AD96" s="95"/>
      <c r="AE96" s="95"/>
      <c r="AF96" s="95"/>
      <c r="AG96" s="95"/>
      <c r="AH96" s="95"/>
      <c r="AI96" s="95"/>
      <c r="AJ96" s="95"/>
      <c r="AK96" s="95"/>
      <c r="AL96" s="95"/>
      <c r="AM96" s="95"/>
      <c r="AN96" s="95"/>
      <c r="AO96" s="95"/>
      <c r="AP96" s="95"/>
      <c r="AQ96" s="95"/>
      <c r="AR96" s="95"/>
      <c r="AS96" s="95"/>
      <c r="AT96" s="95"/>
      <c r="AU96" s="95"/>
      <c r="AV96" s="95"/>
      <c r="AW96" s="95"/>
      <c r="AX96" s="95"/>
      <c r="AY96" s="95"/>
      <c r="AZ96" s="95"/>
      <c r="BA96" s="95"/>
      <c r="BB96" s="95"/>
      <c r="BC96" s="95"/>
    </row>
    <row r="97" spans="1:55" ht="23.1" customHeight="1">
      <c r="A97" s="78" t="s">
        <v>62</v>
      </c>
      <c r="B97" s="78"/>
      <c r="C97" s="78"/>
      <c r="D97" s="78"/>
      <c r="E97" s="78"/>
      <c r="F97" s="78"/>
      <c r="G97" s="78"/>
      <c r="H97" s="78"/>
      <c r="I97" s="78"/>
      <c r="J97" s="78"/>
      <c r="K97" s="78"/>
      <c r="L97" s="78"/>
      <c r="M97" s="78"/>
      <c r="N97" s="78"/>
      <c r="O97" s="78"/>
      <c r="P97" s="78"/>
      <c r="Q97" s="78"/>
      <c r="R97" s="78"/>
      <c r="S97" s="78"/>
      <c r="T97" s="78"/>
      <c r="U97" s="78"/>
      <c r="V97" s="78"/>
      <c r="W97" s="78"/>
      <c r="X97" s="78"/>
      <c r="Y97" s="78"/>
      <c r="Z97" s="78"/>
      <c r="AA97" s="78"/>
      <c r="AB97" s="78"/>
      <c r="AC97" s="78"/>
      <c r="AD97" s="78"/>
      <c r="AE97" s="78"/>
      <c r="AF97" s="78"/>
      <c r="AG97" s="78"/>
      <c r="AH97" s="78"/>
      <c r="AI97" s="78"/>
      <c r="AJ97" s="78"/>
      <c r="AK97" s="78"/>
      <c r="AL97" s="78"/>
      <c r="AM97" s="78"/>
      <c r="AN97" s="78"/>
      <c r="AO97" s="78"/>
      <c r="AP97" s="78"/>
      <c r="AQ97" s="78"/>
      <c r="AR97" s="78"/>
      <c r="AS97" s="78"/>
      <c r="AT97" s="78"/>
      <c r="AU97" s="78"/>
      <c r="AV97" s="78"/>
      <c r="AW97" s="78"/>
      <c r="AX97" s="78"/>
      <c r="AY97" s="78"/>
      <c r="AZ97" s="78"/>
      <c r="BA97" s="78"/>
      <c r="BB97" s="78"/>
      <c r="BC97" s="78"/>
    </row>
    <row r="98" spans="1:55" ht="11.85" customHeight="1">
      <c r="A98" s="78" t="s">
        <v>63</v>
      </c>
      <c r="B98" s="78"/>
      <c r="C98" s="78"/>
      <c r="D98" s="78"/>
      <c r="E98" s="78"/>
      <c r="F98" s="78"/>
      <c r="G98" s="78"/>
      <c r="H98" s="78"/>
      <c r="I98" s="78"/>
      <c r="J98" s="78"/>
      <c r="K98" s="78"/>
      <c r="L98" s="78"/>
      <c r="M98" s="78"/>
      <c r="N98" s="78"/>
      <c r="O98" s="78"/>
      <c r="P98" s="78"/>
      <c r="Q98" s="78"/>
      <c r="R98" s="78"/>
      <c r="S98" s="78"/>
      <c r="T98" s="78"/>
      <c r="U98" s="78"/>
      <c r="V98" s="78"/>
      <c r="W98" s="78"/>
      <c r="X98" s="78"/>
      <c r="Y98" s="78"/>
      <c r="Z98" s="78"/>
      <c r="AA98" s="78"/>
      <c r="AB98" s="78"/>
      <c r="AC98" s="78"/>
      <c r="AD98" s="78"/>
      <c r="AE98" s="78"/>
      <c r="AF98" s="78"/>
      <c r="AG98" s="78"/>
      <c r="AH98" s="78"/>
      <c r="AI98" s="78"/>
      <c r="AJ98" s="78"/>
      <c r="AK98" s="78"/>
      <c r="AL98" s="78"/>
      <c r="AM98" s="78"/>
      <c r="AN98" s="78"/>
      <c r="AO98" s="78"/>
      <c r="AP98" s="78"/>
      <c r="AQ98" s="78"/>
      <c r="AR98" s="78"/>
      <c r="AS98" s="78"/>
      <c r="AT98" s="78"/>
      <c r="AU98" s="78"/>
      <c r="AV98" s="78"/>
      <c r="AW98" s="78"/>
      <c r="AX98" s="78"/>
      <c r="AY98" s="78"/>
      <c r="AZ98" s="78"/>
      <c r="BA98" s="78"/>
      <c r="BB98" s="78"/>
      <c r="BC98" s="78"/>
    </row>
    <row r="99" spans="1:55" ht="15" customHeight="1">
      <c r="A99" s="8"/>
      <c r="B99" s="8"/>
      <c r="C99" s="8"/>
      <c r="D99" s="8"/>
      <c r="E99" s="97" t="s">
        <v>65</v>
      </c>
      <c r="F99" s="97"/>
      <c r="G99" s="97"/>
      <c r="H99" s="97"/>
      <c r="I99" s="97"/>
      <c r="J99" s="97"/>
      <c r="K99" s="97"/>
      <c r="L99" s="97"/>
      <c r="M99" s="97"/>
      <c r="N99" s="97"/>
      <c r="O99" s="97"/>
      <c r="P99" s="97"/>
      <c r="Q99" s="97"/>
      <c r="R99" s="97"/>
      <c r="S99" s="97"/>
      <c r="T99" s="8"/>
      <c r="U99" s="8"/>
      <c r="V99" s="8"/>
      <c r="W99" s="8"/>
      <c r="X99" s="8"/>
      <c r="Y99" s="8"/>
      <c r="Z99" s="8"/>
      <c r="AA99" s="8"/>
      <c r="AB99" s="8"/>
      <c r="AC99" s="8"/>
      <c r="AD99" s="8"/>
      <c r="AE99" s="8"/>
      <c r="AF99" s="8"/>
      <c r="AG99" s="8"/>
      <c r="AH99" s="8"/>
      <c r="AI99" s="8"/>
      <c r="AJ99" s="8"/>
      <c r="AK99" s="11" t="s">
        <v>71</v>
      </c>
      <c r="AL99" s="8"/>
      <c r="AM99" s="8"/>
      <c r="AN99" s="8"/>
      <c r="AO99" s="8"/>
      <c r="AP99" s="8"/>
      <c r="AQ99" s="8"/>
      <c r="AR99" s="8"/>
      <c r="AS99" s="8"/>
      <c r="AT99" s="8"/>
      <c r="AU99" s="8"/>
      <c r="AV99" s="8"/>
      <c r="AW99" s="8"/>
      <c r="AX99" s="8"/>
      <c r="AY99" s="8"/>
      <c r="AZ99" s="8"/>
      <c r="BA99" s="8"/>
      <c r="BB99" s="8"/>
      <c r="BC99" s="8"/>
    </row>
    <row r="100" spans="1:55" ht="11.85" customHeight="1">
      <c r="A100" s="8"/>
      <c r="B100" s="98" t="s">
        <v>66</v>
      </c>
      <c r="C100" s="98"/>
      <c r="D100" s="98"/>
      <c r="E100" s="98"/>
      <c r="F100" s="98"/>
      <c r="G100" s="98"/>
      <c r="H100" s="98"/>
      <c r="I100" s="98"/>
      <c r="J100" s="98"/>
      <c r="K100" s="98"/>
      <c r="L100" s="98"/>
      <c r="M100" s="98"/>
      <c r="N100" s="98"/>
      <c r="O100" s="98"/>
      <c r="P100" s="98"/>
      <c r="Q100" s="98"/>
      <c r="R100" s="98"/>
      <c r="S100" s="98"/>
      <c r="T100" s="98"/>
      <c r="U100" s="8"/>
      <c r="V100" s="8"/>
      <c r="W100" s="77" t="str">
        <f>LEFT(Данные!C4,100)</f>
        <v/>
      </c>
      <c r="X100" s="77"/>
      <c r="Y100" s="77"/>
      <c r="Z100" s="77"/>
      <c r="AA100" s="77"/>
      <c r="AB100" s="77"/>
      <c r="AC100" s="77"/>
      <c r="AD100" s="77"/>
      <c r="AE100" s="77"/>
      <c r="AF100" s="77"/>
      <c r="AG100" s="77"/>
      <c r="AH100" s="77"/>
      <c r="AI100" s="77"/>
      <c r="AJ100" s="77"/>
      <c r="AK100" s="77"/>
      <c r="AL100" s="77"/>
      <c r="AM100" s="77"/>
      <c r="AN100" s="77"/>
      <c r="AO100" s="77"/>
      <c r="AP100" s="77"/>
      <c r="AQ100" s="77"/>
      <c r="AR100" s="77"/>
      <c r="AS100" s="77"/>
      <c r="AT100" s="77"/>
      <c r="AU100" s="77"/>
      <c r="AV100" s="77"/>
      <c r="AW100" s="77"/>
      <c r="AX100" s="77"/>
      <c r="AY100" s="77"/>
      <c r="AZ100" s="77"/>
      <c r="BA100" s="77"/>
      <c r="BB100" s="77"/>
      <c r="BC100" s="77"/>
    </row>
    <row r="101" spans="1:55" ht="11.85" customHeight="1">
      <c r="A101" s="9"/>
      <c r="B101" s="98" t="s">
        <v>67</v>
      </c>
      <c r="C101" s="98"/>
      <c r="D101" s="98"/>
      <c r="E101" s="98"/>
      <c r="F101" s="98"/>
      <c r="G101" s="98"/>
      <c r="H101" s="98"/>
      <c r="I101" s="98"/>
      <c r="J101" s="98"/>
      <c r="K101" s="98"/>
      <c r="L101" s="98"/>
      <c r="M101" s="98"/>
      <c r="N101" s="98"/>
      <c r="O101" s="98"/>
      <c r="P101" s="98"/>
      <c r="Q101" s="98"/>
      <c r="R101" s="98"/>
      <c r="S101" s="98"/>
      <c r="T101" s="98"/>
      <c r="U101" s="9"/>
      <c r="V101" s="9"/>
      <c r="W101" s="88" t="str">
        <f>LEFT(Данные!C3,15)</f>
        <v>паспорт</v>
      </c>
      <c r="X101" s="88"/>
      <c r="Y101" s="88"/>
      <c r="Z101" s="88"/>
      <c r="AA101" s="88"/>
      <c r="AB101" s="40" t="s">
        <v>19</v>
      </c>
      <c r="AC101" s="40"/>
      <c r="AD101" s="91" t="str">
        <f>LEFT(Данные!C7,10)</f>
        <v/>
      </c>
      <c r="AE101" s="91"/>
      <c r="AF101" s="6" t="s">
        <v>20</v>
      </c>
      <c r="AG101" s="94" t="str">
        <f>LEFT(Данные!C8,15)</f>
        <v/>
      </c>
      <c r="AH101" s="94"/>
      <c r="AI101" s="94"/>
      <c r="AJ101" s="13" t="s">
        <v>21</v>
      </c>
      <c r="AK101" s="13" t="s">
        <v>22</v>
      </c>
      <c r="AL101" s="13"/>
      <c r="AM101" s="13"/>
      <c r="AN101" s="93" t="str">
        <f>LEFT(Данные!C9,10)</f>
        <v/>
      </c>
      <c r="AO101" s="93"/>
      <c r="AP101" s="93"/>
      <c r="AQ101" s="93"/>
      <c r="AR101" s="93"/>
      <c r="AS101" s="16"/>
      <c r="AT101" s="16"/>
      <c r="AU101" s="16"/>
      <c r="AV101" s="16"/>
      <c r="AW101" s="13"/>
      <c r="AX101" s="13"/>
      <c r="AY101" s="13"/>
      <c r="AZ101" s="13"/>
      <c r="BA101" s="13"/>
      <c r="BB101" s="13"/>
      <c r="BC101" s="3"/>
    </row>
    <row r="102" spans="1:55" ht="11.85" customHeight="1">
      <c r="A102" s="10"/>
      <c r="B102" s="90" t="s">
        <v>68</v>
      </c>
      <c r="C102" s="90"/>
      <c r="D102" s="90"/>
      <c r="E102" s="90"/>
      <c r="F102" s="90"/>
      <c r="G102" s="90"/>
      <c r="H102" s="90"/>
      <c r="I102" s="90"/>
      <c r="J102" s="90"/>
      <c r="K102" s="90"/>
      <c r="L102" s="90"/>
      <c r="M102" s="90"/>
      <c r="N102" s="90"/>
      <c r="O102" s="90"/>
      <c r="P102" s="90"/>
      <c r="Q102" s="90"/>
      <c r="R102" s="90"/>
      <c r="S102" s="90"/>
      <c r="T102" s="90"/>
      <c r="U102" s="10"/>
      <c r="V102" s="10"/>
      <c r="W102" s="77" t="str">
        <f>LEFT(Данные!C10,100)</f>
        <v/>
      </c>
      <c r="X102" s="77"/>
      <c r="Y102" s="77"/>
      <c r="Z102" s="77"/>
      <c r="AA102" s="77"/>
      <c r="AB102" s="77"/>
      <c r="AC102" s="77"/>
      <c r="AD102" s="77"/>
      <c r="AE102" s="77"/>
      <c r="AF102" s="77"/>
      <c r="AG102" s="77"/>
      <c r="AH102" s="77"/>
      <c r="AI102" s="77"/>
      <c r="AJ102" s="77"/>
      <c r="AK102" s="77"/>
      <c r="AL102" s="77"/>
      <c r="AM102" s="77"/>
      <c r="AN102" s="77"/>
      <c r="AO102" s="77"/>
      <c r="AP102" s="77"/>
      <c r="AQ102" s="77"/>
      <c r="AR102" s="77"/>
      <c r="AS102" s="77"/>
      <c r="AT102" s="77"/>
      <c r="AU102" s="77"/>
      <c r="AV102" s="77"/>
      <c r="AW102" s="77"/>
      <c r="AX102" s="77"/>
      <c r="AY102" s="77"/>
      <c r="AZ102" s="77"/>
      <c r="BA102" s="77"/>
      <c r="BB102" s="77"/>
      <c r="BC102" s="77"/>
    </row>
    <row r="103" spans="1:55" ht="11.85" customHeight="1">
      <c r="A103" s="10"/>
      <c r="B103" s="90" t="s">
        <v>64</v>
      </c>
      <c r="C103" s="90"/>
      <c r="D103" s="90"/>
      <c r="E103" s="90"/>
      <c r="F103" s="90"/>
      <c r="G103" s="90"/>
      <c r="H103" s="90"/>
      <c r="I103" s="90"/>
      <c r="J103" s="90"/>
      <c r="K103" s="90"/>
      <c r="L103" s="90"/>
      <c r="M103" s="90"/>
      <c r="N103" s="90"/>
      <c r="O103" s="90"/>
      <c r="P103" s="90"/>
      <c r="Q103" s="90"/>
      <c r="R103" s="90"/>
      <c r="S103" s="90"/>
      <c r="T103" s="11"/>
      <c r="U103" s="10"/>
      <c r="V103" s="10"/>
      <c r="W103" s="13" t="s">
        <v>72</v>
      </c>
      <c r="X103" s="13"/>
      <c r="Y103" s="92" t="str">
        <f>LEFT(Данные!C5,100)</f>
        <v/>
      </c>
      <c r="Z103" s="92"/>
      <c r="AA103" s="92"/>
      <c r="AB103" s="92"/>
      <c r="AC103" s="92"/>
      <c r="AD103" s="92"/>
      <c r="AE103" s="92"/>
      <c r="AF103" s="92"/>
      <c r="AG103" s="92"/>
      <c r="AH103" s="92"/>
      <c r="AI103" s="92"/>
      <c r="AJ103" s="92"/>
      <c r="AK103" s="92"/>
      <c r="AL103" s="92"/>
      <c r="AM103" s="92"/>
      <c r="AN103" s="92"/>
      <c r="AO103" s="92"/>
      <c r="AP103" s="92"/>
      <c r="AQ103" s="92"/>
      <c r="AR103" s="92"/>
      <c r="AS103" s="92"/>
      <c r="AT103" s="92"/>
      <c r="AU103" s="92"/>
      <c r="AV103" s="92"/>
      <c r="AW103" s="92"/>
      <c r="AX103" s="92"/>
      <c r="AY103" s="92"/>
      <c r="AZ103" s="92"/>
      <c r="BA103" s="92"/>
      <c r="BB103" s="92"/>
      <c r="BC103" s="92"/>
    </row>
    <row r="104" spans="1:55" ht="13.5" customHeight="1">
      <c r="A104" s="10"/>
      <c r="B104" s="90" t="s">
        <v>69</v>
      </c>
      <c r="C104" s="90"/>
      <c r="D104" s="90"/>
      <c r="E104" s="90"/>
      <c r="F104" s="90"/>
      <c r="G104" s="90"/>
      <c r="H104" s="90"/>
      <c r="I104" s="90"/>
      <c r="J104" s="90"/>
      <c r="K104" s="90"/>
      <c r="L104" s="90"/>
      <c r="M104" s="90"/>
      <c r="N104" s="90"/>
      <c r="O104" s="90"/>
      <c r="P104" s="90"/>
      <c r="Q104" s="90"/>
      <c r="R104" s="90"/>
      <c r="S104" s="90"/>
      <c r="T104" s="90"/>
      <c r="U104" s="10"/>
      <c r="V104" s="10"/>
      <c r="W104" s="13" t="s">
        <v>147</v>
      </c>
      <c r="X104" s="10"/>
      <c r="Y104" s="10"/>
      <c r="Z104" s="8"/>
      <c r="AA104" s="8"/>
      <c r="AB104" s="8"/>
      <c r="AC104" s="8"/>
      <c r="AD104" s="92" t="str">
        <f>LEFT(Данные!C6,15)</f>
        <v/>
      </c>
      <c r="AE104" s="92"/>
      <c r="AF104" s="92"/>
      <c r="AG104" s="92"/>
      <c r="AH104" s="92"/>
      <c r="AI104" s="92"/>
      <c r="AJ104" s="92"/>
      <c r="AK104" s="92"/>
      <c r="AL104" s="8"/>
      <c r="AM104" s="8"/>
      <c r="AN104" s="8"/>
      <c r="AO104" s="8"/>
      <c r="AP104" s="8"/>
      <c r="AQ104" s="8"/>
      <c r="AR104" s="8"/>
      <c r="AS104" s="8"/>
      <c r="AT104" s="8"/>
      <c r="AU104" s="8"/>
      <c r="AV104" s="8"/>
      <c r="AW104" s="8"/>
      <c r="AX104" s="8"/>
      <c r="AY104" s="8"/>
      <c r="AZ104" s="8"/>
      <c r="BA104" s="8"/>
      <c r="BB104" s="8"/>
      <c r="BC104" s="8"/>
    </row>
    <row r="105" spans="1:55" ht="30.75" customHeight="1">
      <c r="A105" s="12"/>
      <c r="B105" s="46"/>
      <c r="C105" s="46"/>
      <c r="D105" s="46"/>
      <c r="E105" s="46"/>
      <c r="F105" s="46"/>
      <c r="G105" s="46"/>
      <c r="H105" s="46"/>
      <c r="I105" s="46"/>
      <c r="J105" s="46"/>
      <c r="K105" s="46"/>
      <c r="L105" s="46"/>
      <c r="M105" s="46"/>
      <c r="N105" s="46"/>
      <c r="O105" s="46"/>
      <c r="P105" s="46"/>
      <c r="Q105" s="12"/>
      <c r="R105" s="12"/>
      <c r="S105" s="12"/>
      <c r="T105" s="12"/>
      <c r="U105" s="12"/>
      <c r="V105" s="12"/>
      <c r="W105" s="13"/>
      <c r="X105" s="83">
        <f ca="1">TODAY()</f>
        <v>43874</v>
      </c>
      <c r="Y105" s="83"/>
      <c r="Z105" s="83"/>
      <c r="AA105" s="83"/>
      <c r="AB105" s="83"/>
      <c r="AC105" s="83"/>
      <c r="AD105" s="83"/>
      <c r="AE105" s="83"/>
      <c r="AF105" s="14"/>
      <c r="AG105" s="14"/>
      <c r="AH105" s="14"/>
      <c r="AI105" s="14"/>
      <c r="AJ105" s="14"/>
      <c r="AK105" s="14"/>
      <c r="AL105" s="14"/>
      <c r="AM105" s="14"/>
      <c r="AN105" s="14"/>
      <c r="AO105" s="31" t="s">
        <v>148</v>
      </c>
      <c r="AP105" s="14"/>
      <c r="AQ105" s="14"/>
      <c r="AR105" s="14"/>
      <c r="AS105" s="14"/>
      <c r="AT105" s="14"/>
      <c r="AU105" s="14"/>
      <c r="AV105" s="14"/>
      <c r="AW105" s="14"/>
      <c r="AX105" s="14"/>
      <c r="AY105" s="19"/>
      <c r="AZ105" s="14"/>
      <c r="BA105" s="14"/>
      <c r="BB105" s="19"/>
      <c r="BC105" s="31" t="s">
        <v>148</v>
      </c>
    </row>
    <row r="106" spans="1:55" ht="12" customHeight="1">
      <c r="W106" s="3"/>
      <c r="X106" s="3"/>
      <c r="Y106" s="3"/>
      <c r="Z106" s="3"/>
      <c r="AA106" s="3"/>
      <c r="AB106" s="3"/>
      <c r="AC106" s="3"/>
      <c r="AD106" s="3"/>
      <c r="AF106" s="3"/>
      <c r="AG106" s="3"/>
      <c r="AH106" s="3"/>
      <c r="AI106" s="18" t="s">
        <v>70</v>
      </c>
      <c r="AJ106" s="3"/>
      <c r="AK106" s="3"/>
      <c r="AL106" s="3"/>
      <c r="AM106" s="3"/>
      <c r="AN106" s="3"/>
      <c r="AO106" s="3"/>
      <c r="AP106" s="3"/>
      <c r="AQ106" s="3"/>
      <c r="AR106" s="3"/>
      <c r="AS106" s="3"/>
      <c r="AT106" s="3"/>
      <c r="AU106" s="3"/>
      <c r="AV106" s="3"/>
      <c r="AW106" s="3"/>
      <c r="AX106" s="3"/>
      <c r="AY106" s="3"/>
      <c r="AZ106" s="3"/>
      <c r="BA106" s="3"/>
      <c r="BB106" s="3"/>
      <c r="BC106" s="3"/>
    </row>
    <row r="107" spans="1:55">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row>
    <row r="108" spans="1:55">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row>
    <row r="109" spans="1:55">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row>
    <row r="110" spans="1:55">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row>
  </sheetData>
  <sheetProtection password="CC6F" sheet="1" objects="1" scenarios="1"/>
  <mergeCells count="117">
    <mergeCell ref="A61:BC61"/>
    <mergeCell ref="A62:BC62"/>
    <mergeCell ref="A63:BC63"/>
    <mergeCell ref="A97:BC97"/>
    <mergeCell ref="A98:BC98"/>
    <mergeCell ref="A90:BC90"/>
    <mergeCell ref="A93:BC93"/>
    <mergeCell ref="A94:BC94"/>
    <mergeCell ref="A72:BC72"/>
    <mergeCell ref="A73:BC73"/>
    <mergeCell ref="A74:BC74"/>
    <mergeCell ref="A65:BC65"/>
    <mergeCell ref="A66:BC66"/>
    <mergeCell ref="A2:BC2"/>
    <mergeCell ref="AV3:BC3"/>
    <mergeCell ref="E99:S99"/>
    <mergeCell ref="B100:T100"/>
    <mergeCell ref="B101:T101"/>
    <mergeCell ref="A85:BC85"/>
    <mergeCell ref="A75:BC75"/>
    <mergeCell ref="A48:BC48"/>
    <mergeCell ref="A49:BC49"/>
    <mergeCell ref="A76:BC76"/>
    <mergeCell ref="A77:BC77"/>
    <mergeCell ref="A79:BC79"/>
    <mergeCell ref="A78:BC78"/>
    <mergeCell ref="A70:BC70"/>
    <mergeCell ref="A67:BC67"/>
    <mergeCell ref="A68:BC68"/>
    <mergeCell ref="A64:BC64"/>
    <mergeCell ref="A80:BC80"/>
    <mergeCell ref="A81:BC81"/>
    <mergeCell ref="A82:BC82"/>
    <mergeCell ref="A83:BC83"/>
    <mergeCell ref="A84:BC84"/>
    <mergeCell ref="A71:BC71"/>
    <mergeCell ref="A69:BC69"/>
    <mergeCell ref="B104:T104"/>
    <mergeCell ref="W102:BC102"/>
    <mergeCell ref="AD101:AE101"/>
    <mergeCell ref="Y103:BC103"/>
    <mergeCell ref="AN101:AR101"/>
    <mergeCell ref="AG101:AI101"/>
    <mergeCell ref="B103:S103"/>
    <mergeCell ref="A86:BC86"/>
    <mergeCell ref="A87:BC87"/>
    <mergeCell ref="A88:BC88"/>
    <mergeCell ref="A89:BC89"/>
    <mergeCell ref="AD104:AK104"/>
    <mergeCell ref="B102:T102"/>
    <mergeCell ref="A95:BC95"/>
    <mergeCell ref="A96:BC96"/>
    <mergeCell ref="A91:BC91"/>
    <mergeCell ref="A92:BC92"/>
    <mergeCell ref="W101:AA101"/>
    <mergeCell ref="A33:BC33"/>
    <mergeCell ref="A34:BC34"/>
    <mergeCell ref="A35:BC35"/>
    <mergeCell ref="A36:BC36"/>
    <mergeCell ref="A29:BC29"/>
    <mergeCell ref="A30:BC30"/>
    <mergeCell ref="A31:BC31"/>
    <mergeCell ref="A22:BC22"/>
    <mergeCell ref="A23:BC23"/>
    <mergeCell ref="A24:BC24"/>
    <mergeCell ref="A25:BC25"/>
    <mergeCell ref="A26:BC26"/>
    <mergeCell ref="A27:BC27"/>
    <mergeCell ref="A28:BC28"/>
    <mergeCell ref="X105:AE105"/>
    <mergeCell ref="A4:BC4"/>
    <mergeCell ref="A8:BC8"/>
    <mergeCell ref="A6:AG6"/>
    <mergeCell ref="A12:BC12"/>
    <mergeCell ref="A5:V5"/>
    <mergeCell ref="A17:BC17"/>
    <mergeCell ref="A18:BC18"/>
    <mergeCell ref="A19:BC19"/>
    <mergeCell ref="A20:BC20"/>
    <mergeCell ref="X5:AA5"/>
    <mergeCell ref="AD5:AF5"/>
    <mergeCell ref="AH5:AK5"/>
    <mergeCell ref="AQ5:AU5"/>
    <mergeCell ref="A7:AC7"/>
    <mergeCell ref="AK7:AO7"/>
    <mergeCell ref="A10:BC10"/>
    <mergeCell ref="A11:BC11"/>
    <mergeCell ref="A15:BC15"/>
    <mergeCell ref="A42:BC42"/>
    <mergeCell ref="A43:BC43"/>
    <mergeCell ref="A60:BC60"/>
    <mergeCell ref="A44:BC44"/>
    <mergeCell ref="A45:BC45"/>
    <mergeCell ref="A16:BC16"/>
    <mergeCell ref="B13:F13"/>
    <mergeCell ref="H13:BC13"/>
    <mergeCell ref="A14:BC14"/>
    <mergeCell ref="W100:BC100"/>
    <mergeCell ref="A38:BC38"/>
    <mergeCell ref="A39:BC39"/>
    <mergeCell ref="A40:BC40"/>
    <mergeCell ref="A41:BC41"/>
    <mergeCell ref="A37:BC37"/>
    <mergeCell ref="A51:BC51"/>
    <mergeCell ref="A55:BC55"/>
    <mergeCell ref="A56:BC56"/>
    <mergeCell ref="A57:BC57"/>
    <mergeCell ref="A58:BC58"/>
    <mergeCell ref="A59:BC59"/>
    <mergeCell ref="A52:BC52"/>
    <mergeCell ref="A53:BC53"/>
    <mergeCell ref="A54:BC54"/>
    <mergeCell ref="A46:BC46"/>
    <mergeCell ref="A47:BC47"/>
    <mergeCell ref="A50:BC50"/>
    <mergeCell ref="A21:BC21"/>
    <mergeCell ref="A32:BC32"/>
  </mergeCells>
  <pageMargins left="0.47630208333333335" right="0.23622047244094491" top="0.19685039370078741" bottom="0.15748031496062992" header="0" footer="0"/>
  <pageSetup paperSize="9" scale="93" fitToWidth="3" fitToHeight="3" orientation="portrait" horizontalDpi="180" verticalDpi="180" r:id="rId1"/>
</worksheet>
</file>

<file path=xl/worksheets/sheet3.xml><?xml version="1.0" encoding="utf-8"?>
<worksheet xmlns="http://schemas.openxmlformats.org/spreadsheetml/2006/main" xmlns:r="http://schemas.openxmlformats.org/officeDocument/2006/relationships">
  <sheetPr codeName="Лист3"/>
  <dimension ref="A1:BC109"/>
  <sheetViews>
    <sheetView view="pageLayout" zoomScale="110" zoomScalePageLayoutView="110" workbookViewId="0"/>
  </sheetViews>
  <sheetFormatPr defaultColWidth="6.5703125" defaultRowHeight="15"/>
  <cols>
    <col min="1" max="40" width="2" customWidth="1"/>
    <col min="41" max="41" width="1" customWidth="1"/>
    <col min="42" max="54" width="2" customWidth="1"/>
    <col min="55" max="55" width="1.85546875" customWidth="1"/>
  </cols>
  <sheetData>
    <row r="1" spans="1:55">
      <c r="A1" s="1" t="s">
        <v>78</v>
      </c>
    </row>
    <row r="2" spans="1:55">
      <c r="A2" s="89" t="s">
        <v>1</v>
      </c>
      <c r="B2" s="89"/>
      <c r="C2" s="89"/>
      <c r="D2" s="89"/>
      <c r="E2" s="89"/>
      <c r="F2" s="89"/>
      <c r="G2" s="89"/>
      <c r="H2" s="89"/>
      <c r="I2" s="89"/>
      <c r="J2" s="89"/>
      <c r="K2" s="89"/>
      <c r="L2" s="89"/>
      <c r="M2" s="89"/>
      <c r="N2" s="89"/>
      <c r="O2" s="89"/>
      <c r="P2" s="89"/>
      <c r="Q2" s="89"/>
      <c r="R2" s="89"/>
      <c r="S2" s="89"/>
      <c r="T2" s="89"/>
      <c r="U2" s="89"/>
      <c r="V2" s="89"/>
      <c r="W2" s="89"/>
      <c r="X2" s="89"/>
      <c r="Y2" s="89"/>
      <c r="Z2" s="89"/>
      <c r="AA2" s="89"/>
      <c r="AB2" s="89"/>
      <c r="AC2" s="89"/>
      <c r="AD2" s="89"/>
      <c r="AE2" s="89"/>
      <c r="AF2" s="89"/>
      <c r="AG2" s="89"/>
      <c r="AH2" s="89"/>
      <c r="AI2" s="89"/>
      <c r="AJ2" s="89"/>
      <c r="AK2" s="89"/>
      <c r="AL2" s="89"/>
      <c r="AM2" s="89"/>
      <c r="AN2" s="89"/>
      <c r="AO2" s="89"/>
      <c r="AP2" s="89"/>
      <c r="AQ2" s="89"/>
      <c r="AR2" s="89"/>
      <c r="AS2" s="89"/>
      <c r="AT2" s="89"/>
      <c r="AU2" s="89"/>
      <c r="AV2" s="89"/>
      <c r="AW2" s="89"/>
      <c r="AX2" s="89"/>
      <c r="AY2" s="89"/>
      <c r="AZ2" s="89"/>
      <c r="BA2" s="89"/>
      <c r="BB2" s="89"/>
      <c r="BC2" s="89"/>
    </row>
    <row r="3" spans="1:55">
      <c r="A3" s="2" t="s">
        <v>79</v>
      </c>
      <c r="B3" s="3"/>
      <c r="C3" s="3"/>
      <c r="D3" s="3"/>
      <c r="E3" s="3"/>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96">
        <f ca="1">TODAY()</f>
        <v>43874</v>
      </c>
      <c r="AX3" s="96"/>
      <c r="AY3" s="96"/>
      <c r="AZ3" s="96"/>
      <c r="BA3" s="96"/>
      <c r="BB3" s="96"/>
      <c r="BC3" s="96"/>
    </row>
    <row r="4" spans="1:55" ht="11.85" customHeight="1">
      <c r="A4" s="85" t="s">
        <v>89</v>
      </c>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row>
    <row r="5" spans="1:55" ht="11.85" customHeight="1">
      <c r="A5" s="3" t="s">
        <v>90</v>
      </c>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74" t="str">
        <f>LEFT(Данные!G3,100)</f>
        <v/>
      </c>
      <c r="AQ5" s="74"/>
      <c r="AR5" s="74"/>
      <c r="AS5" s="74"/>
      <c r="AT5" s="74"/>
      <c r="AU5" s="74"/>
      <c r="AV5" s="74"/>
      <c r="AW5" s="74"/>
      <c r="AX5" s="74"/>
      <c r="AY5" s="74"/>
      <c r="AZ5" s="74"/>
      <c r="BA5" s="74"/>
      <c r="BB5" s="74"/>
      <c r="BC5" s="74"/>
    </row>
    <row r="6" spans="1:55" ht="24" customHeight="1">
      <c r="A6" s="84" t="s">
        <v>91</v>
      </c>
      <c r="B6" s="84"/>
      <c r="C6" s="84"/>
      <c r="D6" s="84"/>
      <c r="E6" s="84"/>
      <c r="F6" s="84"/>
      <c r="G6" s="84"/>
      <c r="H6" s="84"/>
      <c r="I6" s="84"/>
      <c r="J6" s="84"/>
      <c r="K6" s="84"/>
      <c r="L6" s="84"/>
      <c r="M6" s="84"/>
      <c r="N6" s="84"/>
      <c r="O6" s="84"/>
      <c r="P6" s="84"/>
      <c r="Q6" s="84"/>
      <c r="R6" s="84"/>
      <c r="S6" s="84"/>
      <c r="T6" s="84"/>
      <c r="U6" s="84"/>
      <c r="V6" s="84"/>
      <c r="W6" s="84"/>
      <c r="X6" s="84"/>
      <c r="Y6" s="84"/>
      <c r="Z6" s="84"/>
      <c r="AA6" s="84"/>
      <c r="AB6" s="84"/>
      <c r="AC6" s="84"/>
      <c r="AD6" s="84"/>
      <c r="AE6" s="84"/>
      <c r="AF6" s="84"/>
      <c r="AG6" s="84"/>
      <c r="AH6" s="84"/>
      <c r="AI6" s="84"/>
      <c r="AJ6" s="84"/>
      <c r="AK6" s="84"/>
      <c r="AL6" s="84"/>
      <c r="AM6" s="84"/>
      <c r="AN6" s="84"/>
      <c r="AO6" s="84"/>
      <c r="AP6" s="84"/>
      <c r="AQ6" s="84"/>
      <c r="AR6" s="84"/>
      <c r="AS6" s="84"/>
      <c r="AT6" s="84"/>
      <c r="AU6" s="84"/>
      <c r="AV6" s="84"/>
      <c r="AW6" s="84"/>
      <c r="AX6" s="84"/>
      <c r="AY6" s="84"/>
      <c r="AZ6" s="84"/>
      <c r="BA6" s="84"/>
      <c r="BB6" s="84"/>
      <c r="BC6" s="84"/>
    </row>
    <row r="7" spans="1:55">
      <c r="A7" s="89" t="s">
        <v>23</v>
      </c>
      <c r="B7" s="89"/>
      <c r="C7" s="89"/>
      <c r="D7" s="89"/>
      <c r="E7" s="89"/>
      <c r="F7" s="89"/>
      <c r="G7" s="89"/>
      <c r="H7" s="89"/>
      <c r="I7" s="89"/>
      <c r="J7" s="89"/>
      <c r="K7" s="89"/>
      <c r="L7" s="89"/>
      <c r="M7" s="89"/>
      <c r="N7" s="89"/>
      <c r="O7" s="89"/>
      <c r="P7" s="89"/>
      <c r="Q7" s="89"/>
      <c r="R7" s="89"/>
      <c r="S7" s="89"/>
      <c r="T7" s="89"/>
      <c r="U7" s="89"/>
      <c r="V7" s="89"/>
      <c r="W7" s="89"/>
      <c r="X7" s="89"/>
      <c r="Y7" s="89"/>
      <c r="Z7" s="89"/>
      <c r="AA7" s="89"/>
      <c r="AB7" s="89"/>
      <c r="AC7" s="89"/>
      <c r="AD7" s="89"/>
      <c r="AE7" s="89"/>
      <c r="AF7" s="89"/>
      <c r="AG7" s="89"/>
      <c r="AH7" s="89"/>
      <c r="AI7" s="89"/>
      <c r="AJ7" s="89"/>
      <c r="AK7" s="89"/>
      <c r="AL7" s="89"/>
      <c r="AM7" s="89"/>
      <c r="AN7" s="89"/>
      <c r="AO7" s="89"/>
      <c r="AP7" s="89"/>
      <c r="AQ7" s="89"/>
      <c r="AR7" s="89"/>
      <c r="AS7" s="89"/>
      <c r="AT7" s="89"/>
      <c r="AU7" s="89"/>
      <c r="AV7" s="89"/>
      <c r="AW7" s="89"/>
      <c r="AX7" s="89"/>
      <c r="AY7" s="89"/>
      <c r="AZ7" s="89"/>
      <c r="BA7" s="89"/>
      <c r="BB7" s="89"/>
      <c r="BC7" s="89"/>
    </row>
    <row r="8" spans="1:55" ht="11.25" customHeight="1">
      <c r="A8" s="106" t="s">
        <v>92</v>
      </c>
      <c r="B8" s="106"/>
      <c r="C8" s="106"/>
      <c r="D8" s="106"/>
      <c r="E8" s="106"/>
      <c r="F8" s="106"/>
      <c r="G8" s="106"/>
      <c r="H8" s="106"/>
      <c r="I8" s="106"/>
      <c r="J8" s="106"/>
      <c r="K8" s="106"/>
      <c r="L8" s="106"/>
      <c r="M8" s="106"/>
      <c r="N8" s="106"/>
      <c r="O8" s="106"/>
      <c r="P8" s="106"/>
      <c r="Q8" s="106"/>
      <c r="R8" s="106"/>
      <c r="S8" s="106"/>
      <c r="T8" s="106"/>
      <c r="U8" s="106"/>
      <c r="V8" s="106"/>
      <c r="W8" s="106"/>
      <c r="X8" s="106"/>
      <c r="Y8" s="106"/>
      <c r="Z8" s="106"/>
      <c r="AA8" s="106"/>
      <c r="AB8" s="106"/>
      <c r="AC8" s="106"/>
      <c r="AD8" s="106"/>
      <c r="AE8" s="106"/>
      <c r="AF8" s="106"/>
      <c r="AG8" s="106"/>
      <c r="AH8" s="106"/>
      <c r="AI8" s="106"/>
      <c r="AJ8" s="106"/>
      <c r="AK8" s="106"/>
      <c r="AL8" s="106"/>
      <c r="AM8" s="106"/>
      <c r="AN8" s="106"/>
      <c r="AO8" s="106"/>
      <c r="AP8" s="106"/>
      <c r="AQ8" s="106"/>
      <c r="AR8" s="106"/>
      <c r="AS8" s="106"/>
      <c r="AT8" s="106"/>
      <c r="AU8" s="106"/>
      <c r="AV8" s="106"/>
      <c r="AW8" s="106"/>
      <c r="AX8" s="106"/>
      <c r="AY8" s="106"/>
      <c r="AZ8" s="106"/>
      <c r="BA8" s="106"/>
      <c r="BB8" s="106"/>
      <c r="BC8" s="106"/>
    </row>
    <row r="9" spans="1:55">
      <c r="A9" s="3" t="s">
        <v>93</v>
      </c>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74" t="str">
        <f>LEFT(Данные!G4,30)</f>
        <v/>
      </c>
      <c r="AM9" s="74"/>
      <c r="AN9" s="74"/>
      <c r="AO9" s="74"/>
      <c r="AP9" s="74"/>
      <c r="AQ9" s="74"/>
      <c r="AR9" s="74"/>
      <c r="AS9" s="74"/>
      <c r="AT9" s="3" t="s">
        <v>94</v>
      </c>
      <c r="AU9" s="3"/>
      <c r="AV9" s="74" t="str">
        <f>LEFT(Данные!G5,10)</f>
        <v/>
      </c>
      <c r="AW9" s="74"/>
      <c r="AX9" s="74"/>
      <c r="AY9" s="74"/>
      <c r="AZ9" s="74"/>
      <c r="BA9" s="74"/>
      <c r="BB9" s="74"/>
      <c r="BC9" s="13" t="s">
        <v>21</v>
      </c>
    </row>
    <row r="10" spans="1:55">
      <c r="A10" s="3" t="s">
        <v>95</v>
      </c>
      <c r="B10" s="3"/>
      <c r="C10" s="3"/>
      <c r="D10" s="3"/>
      <c r="E10" s="3"/>
      <c r="F10" s="3"/>
      <c r="G10" s="74" t="str">
        <f>LEFT(Данные!G6,10)</f>
        <v/>
      </c>
      <c r="H10" s="74"/>
      <c r="I10" s="74"/>
      <c r="J10" s="74"/>
      <c r="K10" s="74"/>
      <c r="L10" s="74"/>
      <c r="M10" s="3" t="s">
        <v>21</v>
      </c>
      <c r="N10" s="3" t="s">
        <v>96</v>
      </c>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row>
    <row r="11" spans="1:55">
      <c r="A11" s="3" t="s">
        <v>97</v>
      </c>
      <c r="B11" s="3"/>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row>
    <row r="12" spans="1:55">
      <c r="A12" s="89" t="s">
        <v>165</v>
      </c>
      <c r="B12" s="89"/>
      <c r="C12" s="89"/>
      <c r="D12" s="89"/>
      <c r="E12" s="89"/>
      <c r="F12" s="89"/>
      <c r="G12" s="89"/>
      <c r="H12" s="89"/>
      <c r="I12" s="89"/>
      <c r="J12" s="89"/>
      <c r="K12" s="89"/>
      <c r="L12" s="89"/>
      <c r="M12" s="89"/>
      <c r="N12" s="89"/>
      <c r="O12" s="89"/>
      <c r="P12" s="89"/>
      <c r="Q12" s="89"/>
      <c r="R12" s="89"/>
      <c r="S12" s="89"/>
      <c r="T12" s="89"/>
      <c r="U12" s="89"/>
      <c r="V12" s="89"/>
      <c r="W12" s="89"/>
      <c r="X12" s="89"/>
      <c r="Y12" s="89"/>
      <c r="Z12" s="89"/>
      <c r="AA12" s="89"/>
      <c r="AB12" s="89"/>
      <c r="AC12" s="89"/>
      <c r="AD12" s="89"/>
      <c r="AE12" s="89"/>
      <c r="AF12" s="89"/>
      <c r="AG12" s="89"/>
      <c r="AH12" s="89"/>
      <c r="AI12" s="89"/>
      <c r="AJ12" s="89"/>
      <c r="AK12" s="89"/>
      <c r="AL12" s="89"/>
      <c r="AM12" s="89"/>
      <c r="AN12" s="89"/>
      <c r="AO12" s="89"/>
      <c r="AP12" s="89"/>
      <c r="AQ12" s="89"/>
      <c r="AR12" s="89"/>
      <c r="AS12" s="89"/>
      <c r="AT12" s="89"/>
      <c r="AU12" s="89"/>
      <c r="AV12" s="89"/>
      <c r="AW12" s="89"/>
      <c r="AX12" s="89"/>
      <c r="AY12" s="89"/>
      <c r="AZ12" s="89"/>
      <c r="BA12" s="89"/>
      <c r="BB12" s="89"/>
      <c r="BC12" s="89"/>
    </row>
    <row r="13" spans="1:55" ht="35.25" customHeight="1">
      <c r="A13" s="99" t="s">
        <v>166</v>
      </c>
      <c r="B13" s="99"/>
      <c r="C13" s="99"/>
      <c r="D13" s="99"/>
      <c r="E13" s="99"/>
      <c r="F13" s="99"/>
      <c r="G13" s="99"/>
      <c r="H13" s="99"/>
      <c r="I13" s="99"/>
      <c r="J13" s="99"/>
      <c r="K13" s="99"/>
      <c r="L13" s="99"/>
      <c r="M13" s="99"/>
      <c r="N13" s="99"/>
      <c r="O13" s="99"/>
      <c r="P13" s="99"/>
      <c r="Q13" s="99"/>
      <c r="R13" s="99"/>
      <c r="S13" s="99"/>
      <c r="T13" s="99"/>
      <c r="U13" s="99"/>
      <c r="V13" s="99"/>
      <c r="W13" s="99"/>
      <c r="X13" s="99"/>
      <c r="Y13" s="99"/>
      <c r="Z13" s="99"/>
      <c r="AA13" s="99"/>
      <c r="AB13" s="99"/>
      <c r="AC13" s="99"/>
      <c r="AD13" s="99"/>
      <c r="AE13" s="99"/>
      <c r="AF13" s="99"/>
      <c r="AG13" s="99"/>
      <c r="AH13" s="99"/>
      <c r="AI13" s="99"/>
      <c r="AJ13" s="99"/>
      <c r="AK13" s="99"/>
      <c r="AL13" s="99"/>
      <c r="AM13" s="99"/>
      <c r="AN13" s="99"/>
      <c r="AO13" s="99"/>
      <c r="AP13" s="99"/>
      <c r="AQ13" s="99"/>
      <c r="AR13" s="99"/>
      <c r="AS13" s="99"/>
      <c r="AT13" s="99"/>
      <c r="AU13" s="99"/>
      <c r="AV13" s="99"/>
      <c r="AW13" s="99"/>
      <c r="AX13" s="99"/>
      <c r="AY13" s="99"/>
      <c r="AZ13" s="99"/>
      <c r="BA13" s="99"/>
      <c r="BB13" s="99"/>
      <c r="BC13" s="99"/>
    </row>
    <row r="14" spans="1:55" ht="71.25" customHeight="1">
      <c r="A14" s="99" t="s">
        <v>98</v>
      </c>
      <c r="B14" s="99"/>
      <c r="C14" s="99"/>
      <c r="D14" s="99"/>
      <c r="E14" s="99"/>
      <c r="F14" s="99"/>
      <c r="G14" s="99"/>
      <c r="H14" s="99"/>
      <c r="I14" s="99"/>
      <c r="J14" s="99"/>
      <c r="K14" s="99"/>
      <c r="L14" s="99"/>
      <c r="M14" s="99"/>
      <c r="N14" s="99"/>
      <c r="O14" s="99"/>
      <c r="P14" s="99"/>
      <c r="Q14" s="99"/>
      <c r="R14" s="99"/>
      <c r="S14" s="99"/>
      <c r="T14" s="99"/>
      <c r="U14" s="99"/>
      <c r="V14" s="99"/>
      <c r="W14" s="99"/>
      <c r="X14" s="99"/>
      <c r="Y14" s="99"/>
      <c r="Z14" s="99"/>
      <c r="AA14" s="99"/>
      <c r="AB14" s="99"/>
      <c r="AC14" s="99"/>
      <c r="AD14" s="99"/>
      <c r="AE14" s="99"/>
      <c r="AF14" s="99"/>
      <c r="AG14" s="99"/>
      <c r="AH14" s="99"/>
      <c r="AI14" s="99"/>
      <c r="AJ14" s="99"/>
      <c r="AK14" s="99"/>
      <c r="AL14" s="99"/>
      <c r="AM14" s="99"/>
      <c r="AN14" s="99"/>
      <c r="AO14" s="99"/>
      <c r="AP14" s="99"/>
      <c r="AQ14" s="99"/>
      <c r="AR14" s="99"/>
      <c r="AS14" s="99"/>
      <c r="AT14" s="99"/>
      <c r="AU14" s="99"/>
      <c r="AV14" s="99"/>
      <c r="AW14" s="99"/>
      <c r="AX14" s="99"/>
      <c r="AY14" s="99"/>
      <c r="AZ14" s="99"/>
      <c r="BA14" s="99"/>
      <c r="BB14" s="99"/>
      <c r="BC14" s="99"/>
    </row>
    <row r="15" spans="1:55" ht="22.5" customHeight="1">
      <c r="A15" s="99" t="s">
        <v>99</v>
      </c>
      <c r="B15" s="99"/>
      <c r="C15" s="99"/>
      <c r="D15" s="99"/>
      <c r="E15" s="99"/>
      <c r="F15" s="99"/>
      <c r="G15" s="99"/>
      <c r="H15" s="99"/>
      <c r="I15" s="99"/>
      <c r="J15" s="99"/>
      <c r="K15" s="99"/>
      <c r="L15" s="99"/>
      <c r="M15" s="99"/>
      <c r="N15" s="99"/>
      <c r="O15" s="99"/>
      <c r="P15" s="99"/>
      <c r="Q15" s="99"/>
      <c r="R15" s="99"/>
      <c r="S15" s="99"/>
      <c r="T15" s="99"/>
      <c r="U15" s="99"/>
      <c r="V15" s="99"/>
      <c r="W15" s="99"/>
      <c r="X15" s="99"/>
      <c r="Y15" s="99"/>
      <c r="Z15" s="99"/>
      <c r="AA15" s="99"/>
      <c r="AB15" s="99"/>
      <c r="AC15" s="99"/>
      <c r="AD15" s="99"/>
      <c r="AE15" s="99"/>
      <c r="AF15" s="99"/>
      <c r="AG15" s="99"/>
      <c r="AH15" s="99"/>
      <c r="AI15" s="99"/>
      <c r="AJ15" s="99"/>
      <c r="AK15" s="99"/>
      <c r="AL15" s="99"/>
      <c r="AM15" s="99"/>
      <c r="AN15" s="99"/>
      <c r="AO15" s="99"/>
      <c r="AP15" s="99"/>
      <c r="AQ15" s="99"/>
      <c r="AR15" s="99"/>
      <c r="AS15" s="99"/>
      <c r="AT15" s="99"/>
      <c r="AU15" s="99"/>
      <c r="AV15" s="99"/>
      <c r="AW15" s="99"/>
      <c r="AX15" s="99"/>
      <c r="AY15" s="99"/>
      <c r="AZ15" s="99"/>
      <c r="BA15" s="99"/>
      <c r="BB15" s="99"/>
      <c r="BC15" s="99"/>
    </row>
    <row r="16" spans="1:55" ht="70.5" customHeight="1">
      <c r="A16" s="99" t="s">
        <v>167</v>
      </c>
      <c r="B16" s="99"/>
      <c r="C16" s="99"/>
      <c r="D16" s="99"/>
      <c r="E16" s="99"/>
      <c r="F16" s="99"/>
      <c r="G16" s="99"/>
      <c r="H16" s="99"/>
      <c r="I16" s="99"/>
      <c r="J16" s="99"/>
      <c r="K16" s="99"/>
      <c r="L16" s="99"/>
      <c r="M16" s="99"/>
      <c r="N16" s="99"/>
      <c r="O16" s="99"/>
      <c r="P16" s="99"/>
      <c r="Q16" s="99"/>
      <c r="R16" s="99"/>
      <c r="S16" s="99"/>
      <c r="T16" s="99"/>
      <c r="U16" s="99"/>
      <c r="V16" s="99"/>
      <c r="W16" s="99"/>
      <c r="X16" s="99"/>
      <c r="Y16" s="99"/>
      <c r="Z16" s="99"/>
      <c r="AA16" s="99"/>
      <c r="AB16" s="99"/>
      <c r="AC16" s="99"/>
      <c r="AD16" s="99"/>
      <c r="AE16" s="99"/>
      <c r="AF16" s="99"/>
      <c r="AG16" s="99"/>
      <c r="AH16" s="99"/>
      <c r="AI16" s="99"/>
      <c r="AJ16" s="99"/>
      <c r="AK16" s="99"/>
      <c r="AL16" s="99"/>
      <c r="AM16" s="99"/>
      <c r="AN16" s="99"/>
      <c r="AO16" s="99"/>
      <c r="AP16" s="99"/>
      <c r="AQ16" s="99"/>
      <c r="AR16" s="99"/>
      <c r="AS16" s="99"/>
      <c r="AT16" s="99"/>
      <c r="AU16" s="99"/>
      <c r="AV16" s="99"/>
      <c r="AW16" s="99"/>
      <c r="AX16" s="99"/>
      <c r="AY16" s="99"/>
      <c r="AZ16" s="99"/>
      <c r="BA16" s="99"/>
      <c r="BB16" s="99"/>
      <c r="BC16" s="99"/>
    </row>
    <row r="17" spans="1:55" ht="80.25" customHeight="1">
      <c r="A17" s="99" t="s">
        <v>168</v>
      </c>
      <c r="B17" s="99"/>
      <c r="C17" s="99"/>
      <c r="D17" s="99"/>
      <c r="E17" s="99"/>
      <c r="F17" s="99"/>
      <c r="G17" s="99"/>
      <c r="H17" s="99"/>
      <c r="I17" s="99"/>
      <c r="J17" s="99"/>
      <c r="K17" s="99"/>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99"/>
      <c r="AX17" s="99"/>
      <c r="AY17" s="99"/>
      <c r="AZ17" s="99"/>
      <c r="BA17" s="99"/>
      <c r="BB17" s="99"/>
      <c r="BC17" s="99"/>
    </row>
    <row r="18" spans="1:55" ht="87.75" customHeight="1">
      <c r="A18" s="107" t="s">
        <v>193</v>
      </c>
      <c r="B18" s="107"/>
      <c r="C18" s="107"/>
      <c r="D18" s="107"/>
      <c r="E18" s="107"/>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107"/>
      <c r="AT18" s="107"/>
      <c r="AU18" s="107"/>
      <c r="AV18" s="107"/>
      <c r="AW18" s="107"/>
      <c r="AX18" s="107"/>
      <c r="AY18" s="107"/>
      <c r="AZ18" s="107"/>
      <c r="BA18" s="107"/>
      <c r="BB18" s="107"/>
      <c r="BC18" s="107"/>
    </row>
    <row r="19" spans="1:55" ht="36" customHeight="1">
      <c r="A19" s="84" t="s">
        <v>194</v>
      </c>
      <c r="B19" s="84"/>
      <c r="C19" s="84"/>
      <c r="D19" s="84"/>
      <c r="E19" s="84"/>
      <c r="F19" s="84"/>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c r="AF19" s="84"/>
      <c r="AG19" s="84"/>
      <c r="AH19" s="84"/>
      <c r="AI19" s="84"/>
      <c r="AJ19" s="84"/>
      <c r="AK19" s="84"/>
      <c r="AL19" s="84"/>
      <c r="AM19" s="84"/>
      <c r="AN19" s="84"/>
      <c r="AO19" s="84"/>
      <c r="AP19" s="84"/>
      <c r="AQ19" s="84"/>
      <c r="AR19" s="84"/>
      <c r="AS19" s="84"/>
      <c r="AT19" s="84"/>
      <c r="AU19" s="84"/>
      <c r="AV19" s="84"/>
      <c r="AW19" s="84"/>
      <c r="AX19" s="84"/>
      <c r="AY19" s="84"/>
      <c r="AZ19" s="84"/>
      <c r="BA19" s="84"/>
      <c r="BB19" s="84"/>
      <c r="BC19" s="84"/>
    </row>
    <row r="20" spans="1:55" ht="23.1" customHeight="1">
      <c r="A20" s="84" t="s">
        <v>195</v>
      </c>
      <c r="B20" s="84"/>
      <c r="C20" s="84"/>
      <c r="D20" s="84"/>
      <c r="E20" s="84"/>
      <c r="F20" s="84"/>
      <c r="G20" s="84"/>
      <c r="H20" s="84"/>
      <c r="I20" s="84"/>
      <c r="J20" s="84"/>
      <c r="K20" s="84"/>
      <c r="L20" s="84"/>
      <c r="M20" s="84"/>
      <c r="N20" s="84"/>
      <c r="O20" s="84"/>
      <c r="P20" s="84"/>
      <c r="Q20" s="84"/>
      <c r="R20" s="84"/>
      <c r="S20" s="84"/>
      <c r="T20" s="84"/>
      <c r="U20" s="84"/>
      <c r="V20" s="84"/>
      <c r="W20" s="84"/>
      <c r="X20" s="84"/>
      <c r="Y20" s="84"/>
      <c r="Z20" s="84"/>
      <c r="AA20" s="84"/>
      <c r="AB20" s="84"/>
      <c r="AC20" s="84"/>
      <c r="AD20" s="84"/>
      <c r="AE20" s="84"/>
      <c r="AF20" s="84"/>
      <c r="AG20" s="84"/>
      <c r="AH20" s="84"/>
      <c r="AI20" s="84"/>
      <c r="AJ20" s="84"/>
      <c r="AK20" s="84"/>
      <c r="AL20" s="84"/>
      <c r="AM20" s="84"/>
      <c r="AN20" s="84"/>
      <c r="AO20" s="84"/>
      <c r="AP20" s="84"/>
      <c r="AQ20" s="84"/>
      <c r="AR20" s="84"/>
      <c r="AS20" s="84"/>
      <c r="AT20" s="84"/>
      <c r="AU20" s="84"/>
      <c r="AV20" s="84"/>
      <c r="AW20" s="84"/>
      <c r="AX20" s="84"/>
      <c r="AY20" s="84"/>
      <c r="AZ20" s="84"/>
      <c r="BA20" s="84"/>
      <c r="BB20" s="84"/>
      <c r="BC20" s="84"/>
    </row>
    <row r="21" spans="1:55" ht="115.5" customHeight="1">
      <c r="A21" s="99" t="s">
        <v>100</v>
      </c>
      <c r="B21" s="99"/>
      <c r="C21" s="99"/>
      <c r="D21" s="99"/>
      <c r="E21" s="99"/>
      <c r="F21" s="99"/>
      <c r="G21" s="99"/>
      <c r="H21" s="99"/>
      <c r="I21" s="99"/>
      <c r="J21" s="99"/>
      <c r="K21" s="99"/>
      <c r="L21" s="99"/>
      <c r="M21" s="99"/>
      <c r="N21" s="99"/>
      <c r="O21" s="99"/>
      <c r="P21" s="99"/>
      <c r="Q21" s="99"/>
      <c r="R21" s="99"/>
      <c r="S21" s="99"/>
      <c r="T21" s="99"/>
      <c r="U21" s="99"/>
      <c r="V21" s="99"/>
      <c r="W21" s="99"/>
      <c r="X21" s="99"/>
      <c r="Y21" s="99"/>
      <c r="Z21" s="99"/>
      <c r="AA21" s="99"/>
      <c r="AB21" s="99"/>
      <c r="AC21" s="99"/>
      <c r="AD21" s="99"/>
      <c r="AE21" s="99"/>
      <c r="AF21" s="99"/>
      <c r="AG21" s="99"/>
      <c r="AH21" s="99"/>
      <c r="AI21" s="99"/>
      <c r="AJ21" s="99"/>
      <c r="AK21" s="99"/>
      <c r="AL21" s="99"/>
      <c r="AM21" s="99"/>
      <c r="AN21" s="99"/>
      <c r="AO21" s="99"/>
      <c r="AP21" s="99"/>
      <c r="AQ21" s="99"/>
      <c r="AR21" s="99"/>
      <c r="AS21" s="99"/>
      <c r="AT21" s="99"/>
      <c r="AU21" s="99"/>
      <c r="AV21" s="99"/>
      <c r="AW21" s="99"/>
      <c r="AX21" s="99"/>
      <c r="AY21" s="99"/>
      <c r="AZ21" s="99"/>
      <c r="BA21" s="99"/>
      <c r="BB21" s="99"/>
      <c r="BC21" s="99"/>
    </row>
    <row r="22" spans="1:55" ht="23.1" customHeight="1">
      <c r="A22" s="99" t="s">
        <v>101</v>
      </c>
      <c r="B22" s="99"/>
      <c r="C22" s="99"/>
      <c r="D22" s="99"/>
      <c r="E22" s="99"/>
      <c r="F22" s="99"/>
      <c r="G22" s="99"/>
      <c r="H22" s="99"/>
      <c r="I22" s="99"/>
      <c r="J22" s="99"/>
      <c r="K22" s="99"/>
      <c r="L22" s="99"/>
      <c r="M22" s="99"/>
      <c r="N22" s="99"/>
      <c r="O22" s="99"/>
      <c r="P22" s="99"/>
      <c r="Q22" s="99"/>
      <c r="R22" s="99"/>
      <c r="S22" s="99"/>
      <c r="T22" s="99"/>
      <c r="U22" s="99"/>
      <c r="V22" s="99"/>
      <c r="W22" s="99"/>
      <c r="X22" s="99"/>
      <c r="Y22" s="99"/>
      <c r="Z22" s="99"/>
      <c r="AA22" s="99"/>
      <c r="AB22" s="99"/>
      <c r="AC22" s="99"/>
      <c r="AD22" s="99"/>
      <c r="AE22" s="99"/>
      <c r="AF22" s="99"/>
      <c r="AG22" s="99"/>
      <c r="AH22" s="99"/>
      <c r="AI22" s="99"/>
      <c r="AJ22" s="99"/>
      <c r="AK22" s="99"/>
      <c r="AL22" s="99"/>
      <c r="AM22" s="99"/>
      <c r="AN22" s="99"/>
      <c r="AO22" s="99"/>
      <c r="AP22" s="99"/>
      <c r="AQ22" s="99"/>
      <c r="AR22" s="99"/>
      <c r="AS22" s="99"/>
      <c r="AT22" s="99"/>
      <c r="AU22" s="99"/>
      <c r="AV22" s="99"/>
      <c r="AW22" s="99"/>
      <c r="AX22" s="99"/>
      <c r="AY22" s="99"/>
      <c r="AZ22" s="99"/>
      <c r="BA22" s="99"/>
      <c r="BB22" s="99"/>
      <c r="BC22" s="99"/>
    </row>
    <row r="23" spans="1:55" ht="69.75" customHeight="1">
      <c r="A23" s="99" t="s">
        <v>169</v>
      </c>
      <c r="B23" s="99"/>
      <c r="C23" s="99"/>
      <c r="D23" s="99"/>
      <c r="E23" s="99"/>
      <c r="F23" s="99"/>
      <c r="G23" s="99"/>
      <c r="H23" s="99"/>
      <c r="I23" s="99"/>
      <c r="J23" s="99"/>
      <c r="K23" s="99"/>
      <c r="L23" s="99"/>
      <c r="M23" s="99"/>
      <c r="N23" s="99"/>
      <c r="O23" s="99"/>
      <c r="P23" s="99"/>
      <c r="Q23" s="99"/>
      <c r="R23" s="99"/>
      <c r="S23" s="99"/>
      <c r="T23" s="99"/>
      <c r="U23" s="99"/>
      <c r="V23" s="99"/>
      <c r="W23" s="99"/>
      <c r="X23" s="99"/>
      <c r="Y23" s="99"/>
      <c r="Z23" s="99"/>
      <c r="AA23" s="99"/>
      <c r="AB23" s="99"/>
      <c r="AC23" s="99"/>
      <c r="AD23" s="99"/>
      <c r="AE23" s="99"/>
      <c r="AF23" s="99"/>
      <c r="AG23" s="99"/>
      <c r="AH23" s="99"/>
      <c r="AI23" s="99"/>
      <c r="AJ23" s="99"/>
      <c r="AK23" s="99"/>
      <c r="AL23" s="99"/>
      <c r="AM23" s="99"/>
      <c r="AN23" s="99"/>
      <c r="AO23" s="99"/>
      <c r="AP23" s="99"/>
      <c r="AQ23" s="99"/>
      <c r="AR23" s="99"/>
      <c r="AS23" s="99"/>
      <c r="AT23" s="99"/>
      <c r="AU23" s="99"/>
      <c r="AV23" s="99"/>
      <c r="AW23" s="99"/>
      <c r="AX23" s="99"/>
      <c r="AY23" s="99"/>
      <c r="AZ23" s="99"/>
      <c r="BA23" s="99"/>
      <c r="BB23" s="99"/>
      <c r="BC23" s="99"/>
    </row>
    <row r="24" spans="1:55" ht="45.75" customHeight="1">
      <c r="A24" s="99" t="s">
        <v>170</v>
      </c>
      <c r="B24" s="99"/>
      <c r="C24" s="99"/>
      <c r="D24" s="99"/>
      <c r="E24" s="99"/>
      <c r="F24" s="99"/>
      <c r="G24" s="99"/>
      <c r="H24" s="99"/>
      <c r="I24" s="99"/>
      <c r="J24" s="99"/>
      <c r="K24" s="99"/>
      <c r="L24" s="99"/>
      <c r="M24" s="99"/>
      <c r="N24" s="99"/>
      <c r="O24" s="99"/>
      <c r="P24" s="99"/>
      <c r="Q24" s="99"/>
      <c r="R24" s="99"/>
      <c r="S24" s="99"/>
      <c r="T24" s="99"/>
      <c r="U24" s="99"/>
      <c r="V24" s="99"/>
      <c r="W24" s="99"/>
      <c r="X24" s="99"/>
      <c r="Y24" s="99"/>
      <c r="Z24" s="99"/>
      <c r="AA24" s="99"/>
      <c r="AB24" s="99"/>
      <c r="AC24" s="99"/>
      <c r="AD24" s="99"/>
      <c r="AE24" s="99"/>
      <c r="AF24" s="99"/>
      <c r="AG24" s="99"/>
      <c r="AH24" s="99"/>
      <c r="AI24" s="99"/>
      <c r="AJ24" s="99"/>
      <c r="AK24" s="99"/>
      <c r="AL24" s="99"/>
      <c r="AM24" s="99"/>
      <c r="AN24" s="99"/>
      <c r="AO24" s="99"/>
      <c r="AP24" s="99"/>
      <c r="AQ24" s="99"/>
      <c r="AR24" s="99"/>
      <c r="AS24" s="99"/>
      <c r="AT24" s="99"/>
      <c r="AU24" s="99"/>
      <c r="AV24" s="99"/>
      <c r="AW24" s="99"/>
      <c r="AX24" s="99"/>
      <c r="AY24" s="99"/>
      <c r="AZ24" s="99"/>
      <c r="BA24" s="99"/>
      <c r="BB24" s="99"/>
      <c r="BC24" s="99"/>
    </row>
    <row r="25" spans="1:55" ht="58.5" customHeight="1">
      <c r="A25" s="99" t="s">
        <v>171</v>
      </c>
      <c r="B25" s="99"/>
      <c r="C25" s="99"/>
      <c r="D25" s="99"/>
      <c r="E25" s="99"/>
      <c r="F25" s="99"/>
      <c r="G25" s="99"/>
      <c r="H25" s="99"/>
      <c r="I25" s="99"/>
      <c r="J25" s="99"/>
      <c r="K25" s="99"/>
      <c r="L25" s="99"/>
      <c r="M25" s="99"/>
      <c r="N25" s="99"/>
      <c r="O25" s="99"/>
      <c r="P25" s="99"/>
      <c r="Q25" s="99"/>
      <c r="R25" s="99"/>
      <c r="S25" s="99"/>
      <c r="T25" s="99"/>
      <c r="U25" s="99"/>
      <c r="V25" s="99"/>
      <c r="W25" s="99"/>
      <c r="X25" s="99"/>
      <c r="Y25" s="99"/>
      <c r="Z25" s="99"/>
      <c r="AA25" s="99"/>
      <c r="AB25" s="99"/>
      <c r="AC25" s="99"/>
      <c r="AD25" s="99"/>
      <c r="AE25" s="99"/>
      <c r="AF25" s="99"/>
      <c r="AG25" s="99"/>
      <c r="AH25" s="99"/>
      <c r="AI25" s="99"/>
      <c r="AJ25" s="99"/>
      <c r="AK25" s="99"/>
      <c r="AL25" s="99"/>
      <c r="AM25" s="99"/>
      <c r="AN25" s="99"/>
      <c r="AO25" s="99"/>
      <c r="AP25" s="99"/>
      <c r="AQ25" s="99"/>
      <c r="AR25" s="99"/>
      <c r="AS25" s="99"/>
      <c r="AT25" s="99"/>
      <c r="AU25" s="99"/>
      <c r="AV25" s="99"/>
      <c r="AW25" s="99"/>
      <c r="AX25" s="99"/>
      <c r="AY25" s="99"/>
      <c r="AZ25" s="99"/>
      <c r="BA25" s="99"/>
      <c r="BB25" s="99"/>
      <c r="BC25" s="99"/>
    </row>
    <row r="26" spans="1:55" ht="35.25" customHeight="1">
      <c r="A26" s="99" t="s">
        <v>102</v>
      </c>
      <c r="B26" s="99"/>
      <c r="C26" s="99"/>
      <c r="D26" s="99"/>
      <c r="E26" s="99"/>
      <c r="F26" s="99"/>
      <c r="G26" s="99"/>
      <c r="H26" s="99"/>
      <c r="I26" s="99"/>
      <c r="J26" s="99"/>
      <c r="K26" s="99"/>
      <c r="L26" s="99"/>
      <c r="M26" s="99"/>
      <c r="N26" s="99"/>
      <c r="O26" s="99"/>
      <c r="P26" s="99"/>
      <c r="Q26" s="99"/>
      <c r="R26" s="99"/>
      <c r="S26" s="99"/>
      <c r="T26" s="99"/>
      <c r="U26" s="99"/>
      <c r="V26" s="99"/>
      <c r="W26" s="99"/>
      <c r="X26" s="99"/>
      <c r="Y26" s="99"/>
      <c r="Z26" s="99"/>
      <c r="AA26" s="99"/>
      <c r="AB26" s="99"/>
      <c r="AC26" s="99"/>
      <c r="AD26" s="99"/>
      <c r="AE26" s="99"/>
      <c r="AF26" s="99"/>
      <c r="AG26" s="99"/>
      <c r="AH26" s="99"/>
      <c r="AI26" s="99"/>
      <c r="AJ26" s="99"/>
      <c r="AK26" s="99"/>
      <c r="AL26" s="99"/>
      <c r="AM26" s="99"/>
      <c r="AN26" s="99"/>
      <c r="AO26" s="99"/>
      <c r="AP26" s="99"/>
      <c r="AQ26" s="99"/>
      <c r="AR26" s="99"/>
      <c r="AS26" s="99"/>
      <c r="AT26" s="99"/>
      <c r="AU26" s="99"/>
      <c r="AV26" s="99"/>
      <c r="AW26" s="99"/>
      <c r="AX26" s="99"/>
      <c r="AY26" s="99"/>
      <c r="AZ26" s="99"/>
      <c r="BA26" s="99"/>
      <c r="BB26" s="99"/>
      <c r="BC26" s="99"/>
    </row>
    <row r="27" spans="1:55" ht="11.85" customHeight="1">
      <c r="A27" s="89" t="s">
        <v>2</v>
      </c>
      <c r="B27" s="89"/>
      <c r="C27" s="89"/>
      <c r="D27" s="89"/>
      <c r="E27" s="89"/>
      <c r="F27" s="89"/>
      <c r="G27" s="89"/>
      <c r="H27" s="89"/>
      <c r="I27" s="89"/>
      <c r="J27" s="89"/>
      <c r="K27" s="89"/>
      <c r="L27" s="89"/>
      <c r="M27" s="89"/>
      <c r="N27" s="89"/>
      <c r="O27" s="89"/>
      <c r="P27" s="89"/>
      <c r="Q27" s="89"/>
      <c r="R27" s="89"/>
      <c r="S27" s="89"/>
      <c r="T27" s="89"/>
      <c r="U27" s="89"/>
      <c r="V27" s="89"/>
      <c r="W27" s="89"/>
      <c r="X27" s="89"/>
      <c r="Y27" s="89"/>
      <c r="Z27" s="89"/>
      <c r="AA27" s="89"/>
      <c r="AB27" s="89"/>
      <c r="AC27" s="89"/>
      <c r="AD27" s="89"/>
      <c r="AE27" s="89"/>
      <c r="AF27" s="89"/>
      <c r="AG27" s="89"/>
      <c r="AH27" s="89"/>
      <c r="AI27" s="89"/>
      <c r="AJ27" s="89"/>
      <c r="AK27" s="89"/>
      <c r="AL27" s="89"/>
      <c r="AM27" s="89"/>
      <c r="AN27" s="89"/>
      <c r="AO27" s="89"/>
      <c r="AP27" s="89"/>
      <c r="AQ27" s="89"/>
      <c r="AR27" s="89"/>
      <c r="AS27" s="89"/>
      <c r="AT27" s="89"/>
      <c r="AU27" s="89"/>
      <c r="AV27" s="89"/>
      <c r="AW27" s="89"/>
      <c r="AX27" s="89"/>
      <c r="AY27" s="89"/>
      <c r="AZ27" s="89"/>
      <c r="BA27" s="89"/>
      <c r="BB27" s="89"/>
      <c r="BC27" s="89"/>
    </row>
    <row r="28" spans="1:55" ht="11.85" customHeight="1">
      <c r="A28" s="102" t="s">
        <v>3</v>
      </c>
      <c r="B28" s="102"/>
      <c r="C28" s="102"/>
      <c r="D28" s="102"/>
      <c r="E28" s="102"/>
      <c r="F28" s="102"/>
      <c r="G28" s="102"/>
      <c r="H28" s="102"/>
      <c r="I28" s="102"/>
      <c r="J28" s="102"/>
      <c r="K28" s="102"/>
      <c r="L28" s="102"/>
      <c r="M28" s="102"/>
      <c r="N28" s="102"/>
      <c r="O28" s="102"/>
      <c r="P28" s="102"/>
      <c r="Q28" s="102"/>
      <c r="R28" s="102"/>
      <c r="S28" s="102"/>
      <c r="T28" s="102"/>
      <c r="U28" s="102"/>
      <c r="V28" s="102"/>
      <c r="W28" s="102"/>
      <c r="X28" s="102"/>
      <c r="Y28" s="102"/>
      <c r="Z28" s="102"/>
      <c r="AA28" s="102"/>
      <c r="AB28" s="102"/>
      <c r="AC28" s="102"/>
      <c r="AD28" s="102"/>
      <c r="AE28" s="102"/>
      <c r="AF28" s="102"/>
      <c r="AG28" s="102"/>
      <c r="AH28" s="102"/>
      <c r="AI28" s="102"/>
      <c r="AJ28" s="102"/>
      <c r="AK28" s="102"/>
      <c r="AL28" s="102"/>
      <c r="AM28" s="102"/>
      <c r="AN28" s="102"/>
      <c r="AO28" s="102"/>
      <c r="AP28" s="102"/>
      <c r="AQ28" s="102"/>
      <c r="AR28" s="102"/>
      <c r="AS28" s="102"/>
      <c r="AT28" s="102"/>
      <c r="AU28" s="102"/>
      <c r="AV28" s="102"/>
      <c r="AW28" s="102"/>
      <c r="AX28" s="102"/>
      <c r="AY28" s="102"/>
      <c r="AZ28" s="102"/>
      <c r="BA28" s="102"/>
      <c r="BB28" s="102"/>
      <c r="BC28" s="102"/>
    </row>
    <row r="29" spans="1:55" ht="11.85" customHeight="1">
      <c r="A29" s="102" t="s">
        <v>73</v>
      </c>
      <c r="B29" s="102"/>
      <c r="C29" s="102"/>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02"/>
      <c r="AB29" s="102"/>
      <c r="AC29" s="102"/>
      <c r="AD29" s="102"/>
      <c r="AE29" s="102"/>
      <c r="AF29" s="102"/>
      <c r="AG29" s="102"/>
      <c r="AH29" s="102"/>
      <c r="AI29" s="102"/>
      <c r="AJ29" s="102"/>
      <c r="AK29" s="102"/>
      <c r="AL29" s="102"/>
      <c r="AM29" s="102"/>
      <c r="AN29" s="102"/>
      <c r="AO29" s="102"/>
      <c r="AP29" s="102"/>
      <c r="AQ29" s="102"/>
      <c r="AR29" s="102"/>
      <c r="AS29" s="102"/>
      <c r="AT29" s="102"/>
      <c r="AU29" s="102"/>
      <c r="AV29" s="102"/>
      <c r="AW29" s="102"/>
      <c r="AX29" s="102"/>
      <c r="AY29" s="102"/>
      <c r="AZ29" s="102"/>
      <c r="BA29" s="102"/>
      <c r="BB29" s="102"/>
      <c r="BC29" s="102"/>
    </row>
    <row r="30" spans="1:55" ht="11.85" customHeight="1">
      <c r="A30" s="102" t="s">
        <v>103</v>
      </c>
      <c r="B30" s="102"/>
      <c r="C30" s="102"/>
      <c r="D30" s="102"/>
      <c r="E30" s="102"/>
      <c r="F30" s="102"/>
      <c r="G30" s="102"/>
      <c r="H30" s="102"/>
      <c r="I30" s="102"/>
      <c r="J30" s="102"/>
      <c r="K30" s="102"/>
      <c r="L30" s="102"/>
      <c r="M30" s="102"/>
      <c r="N30" s="102"/>
      <c r="O30" s="102"/>
      <c r="P30" s="102"/>
      <c r="Q30" s="102"/>
      <c r="R30" s="102"/>
      <c r="S30" s="102"/>
      <c r="T30" s="102"/>
      <c r="U30" s="102"/>
      <c r="V30" s="102"/>
      <c r="W30" s="102"/>
      <c r="X30" s="102"/>
      <c r="Y30" s="102"/>
      <c r="Z30" s="102"/>
      <c r="AA30" s="102"/>
      <c r="AB30" s="102"/>
      <c r="AC30" s="102"/>
      <c r="AD30" s="102"/>
      <c r="AE30" s="102"/>
      <c r="AF30" s="102"/>
      <c r="AG30" s="102"/>
      <c r="AH30" s="102"/>
      <c r="AI30" s="102"/>
      <c r="AJ30" s="102"/>
      <c r="AK30" s="102"/>
      <c r="AL30" s="102"/>
      <c r="AM30" s="102"/>
      <c r="AN30" s="102"/>
      <c r="AO30" s="102"/>
      <c r="AP30" s="102"/>
      <c r="AQ30" s="102"/>
      <c r="AR30" s="102"/>
      <c r="AS30" s="102"/>
      <c r="AT30" s="102"/>
      <c r="AU30" s="102"/>
      <c r="AV30" s="102"/>
      <c r="AW30" s="102"/>
      <c r="AX30" s="102"/>
      <c r="AY30" s="102"/>
      <c r="AZ30" s="102"/>
      <c r="BA30" s="102"/>
      <c r="BB30" s="102"/>
      <c r="BC30" s="102"/>
    </row>
    <row r="31" spans="1:55" ht="11.85" customHeight="1">
      <c r="A31" s="102" t="s">
        <v>172</v>
      </c>
      <c r="B31" s="102"/>
      <c r="C31" s="102"/>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c r="AB31" s="102"/>
      <c r="AC31" s="102"/>
      <c r="AD31" s="102"/>
      <c r="AE31" s="102"/>
      <c r="AF31" s="102"/>
      <c r="AG31" s="102"/>
      <c r="AH31" s="102"/>
      <c r="AI31" s="102"/>
      <c r="AJ31" s="102"/>
      <c r="AK31" s="102"/>
      <c r="AL31" s="102"/>
      <c r="AM31" s="102"/>
      <c r="AN31" s="102"/>
      <c r="AO31" s="102"/>
      <c r="AP31" s="102"/>
      <c r="AQ31" s="102"/>
      <c r="AR31" s="102"/>
      <c r="AS31" s="102"/>
      <c r="AT31" s="102"/>
      <c r="AU31" s="102"/>
      <c r="AV31" s="102"/>
      <c r="AW31" s="102"/>
      <c r="AX31" s="102"/>
      <c r="AY31" s="102"/>
      <c r="AZ31" s="102"/>
      <c r="BA31" s="102"/>
      <c r="BB31" s="102"/>
      <c r="BC31" s="102"/>
    </row>
    <row r="32" spans="1:55" ht="25.5" customHeight="1">
      <c r="A32" s="84" t="s">
        <v>173</v>
      </c>
      <c r="B32" s="102"/>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c r="AB32" s="102"/>
      <c r="AC32" s="102"/>
      <c r="AD32" s="102"/>
      <c r="AE32" s="102"/>
      <c r="AF32" s="102"/>
      <c r="AG32" s="102"/>
      <c r="AH32" s="102"/>
      <c r="AI32" s="102"/>
      <c r="AJ32" s="102"/>
      <c r="AK32" s="102"/>
      <c r="AL32" s="102"/>
      <c r="AM32" s="102"/>
      <c r="AN32" s="102"/>
      <c r="AO32" s="102"/>
      <c r="AP32" s="102"/>
      <c r="AQ32" s="102"/>
      <c r="AR32" s="102"/>
      <c r="AS32" s="102"/>
      <c r="AT32" s="102"/>
      <c r="AU32" s="102"/>
      <c r="AV32" s="102"/>
      <c r="AW32" s="102"/>
      <c r="AX32" s="102"/>
      <c r="AY32" s="102"/>
      <c r="AZ32" s="102"/>
      <c r="BA32" s="102"/>
      <c r="BB32" s="102"/>
      <c r="BC32" s="102"/>
    </row>
    <row r="33" spans="1:55" ht="11.25" customHeight="1">
      <c r="A33" s="100" t="s">
        <v>174</v>
      </c>
      <c r="B33" s="103"/>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c r="AB33" s="103"/>
      <c r="AC33" s="103"/>
      <c r="AD33" s="103"/>
      <c r="AE33" s="103"/>
      <c r="AF33" s="103"/>
      <c r="AG33" s="103"/>
      <c r="AH33" s="103"/>
      <c r="AI33" s="103"/>
      <c r="AJ33" s="103"/>
      <c r="AK33" s="103"/>
      <c r="AL33" s="103"/>
      <c r="AM33" s="103"/>
      <c r="AN33" s="103"/>
      <c r="AO33" s="103"/>
      <c r="AP33" s="103"/>
      <c r="AQ33" s="103"/>
      <c r="AR33" s="103"/>
      <c r="AS33" s="103"/>
      <c r="AT33" s="103"/>
      <c r="AU33" s="103"/>
      <c r="AV33" s="103"/>
      <c r="AW33" s="103"/>
      <c r="AX33" s="103"/>
      <c r="AY33" s="103"/>
      <c r="AZ33" s="103"/>
      <c r="BA33" s="103"/>
      <c r="BB33" s="103"/>
      <c r="BC33" s="103"/>
    </row>
    <row r="34" spans="1:55" ht="11.25" customHeight="1">
      <c r="A34" s="84" t="s">
        <v>175</v>
      </c>
      <c r="B34" s="84"/>
      <c r="C34" s="84"/>
      <c r="D34" s="84"/>
      <c r="E34" s="84"/>
      <c r="F34" s="84"/>
      <c r="G34" s="84"/>
      <c r="H34" s="84"/>
      <c r="I34" s="84"/>
      <c r="J34" s="84"/>
      <c r="K34" s="84"/>
      <c r="L34" s="84"/>
      <c r="M34" s="84"/>
      <c r="N34" s="84"/>
      <c r="O34" s="84"/>
      <c r="P34" s="84"/>
      <c r="Q34" s="84"/>
      <c r="R34" s="84"/>
      <c r="S34" s="84"/>
      <c r="T34" s="84"/>
      <c r="U34" s="84"/>
      <c r="V34" s="84"/>
      <c r="W34" s="84"/>
      <c r="X34" s="84"/>
      <c r="Y34" s="84"/>
      <c r="Z34" s="84"/>
      <c r="AA34" s="84"/>
      <c r="AB34" s="84"/>
      <c r="AC34" s="84"/>
      <c r="AD34" s="84"/>
      <c r="AE34" s="84"/>
      <c r="AF34" s="84"/>
      <c r="AG34" s="84"/>
      <c r="AH34" s="84"/>
      <c r="AI34" s="84"/>
      <c r="AJ34" s="84"/>
      <c r="AK34" s="84"/>
      <c r="AL34" s="84"/>
      <c r="AM34" s="84"/>
      <c r="AN34" s="84"/>
      <c r="AO34" s="84"/>
      <c r="AP34" s="84"/>
      <c r="AQ34" s="84"/>
      <c r="AR34" s="84"/>
      <c r="AS34" s="84"/>
      <c r="AT34" s="84"/>
      <c r="AU34" s="84"/>
      <c r="AV34" s="84"/>
      <c r="AW34" s="84"/>
      <c r="AX34" s="84"/>
      <c r="AY34" s="84"/>
      <c r="AZ34" s="84"/>
      <c r="BA34" s="84"/>
      <c r="BB34" s="84"/>
      <c r="BC34" s="84"/>
    </row>
    <row r="35" spans="1:55" ht="22.5" customHeight="1">
      <c r="A35" s="84" t="s">
        <v>104</v>
      </c>
      <c r="B35" s="84"/>
      <c r="C35" s="84"/>
      <c r="D35" s="84"/>
      <c r="E35" s="84"/>
      <c r="F35" s="84"/>
      <c r="G35" s="84"/>
      <c r="H35" s="84"/>
      <c r="I35" s="84"/>
      <c r="J35" s="84"/>
      <c r="K35" s="84"/>
      <c r="L35" s="84"/>
      <c r="M35" s="84"/>
      <c r="N35" s="84"/>
      <c r="O35" s="84"/>
      <c r="P35" s="84"/>
      <c r="Q35" s="84"/>
      <c r="R35" s="84"/>
      <c r="S35" s="84"/>
      <c r="T35" s="84"/>
      <c r="U35" s="84"/>
      <c r="V35" s="84"/>
      <c r="W35" s="84"/>
      <c r="X35" s="84"/>
      <c r="Y35" s="84"/>
      <c r="Z35" s="84"/>
      <c r="AA35" s="84"/>
      <c r="AB35" s="84"/>
      <c r="AC35" s="84"/>
      <c r="AD35" s="84"/>
      <c r="AE35" s="84"/>
      <c r="AF35" s="84"/>
      <c r="AG35" s="84"/>
      <c r="AH35" s="84"/>
      <c r="AI35" s="84"/>
      <c r="AJ35" s="84"/>
      <c r="AK35" s="84"/>
      <c r="AL35" s="84"/>
      <c r="AM35" s="84"/>
      <c r="AN35" s="84"/>
      <c r="AO35" s="84"/>
      <c r="AP35" s="84"/>
      <c r="AQ35" s="84"/>
      <c r="AR35" s="84"/>
      <c r="AS35" s="84"/>
      <c r="AT35" s="84"/>
      <c r="AU35" s="84"/>
      <c r="AV35" s="84"/>
      <c r="AW35" s="84"/>
      <c r="AX35" s="84"/>
      <c r="AY35" s="84"/>
      <c r="AZ35" s="84"/>
      <c r="BA35" s="84"/>
      <c r="BB35" s="84"/>
      <c r="BC35" s="84"/>
    </row>
    <row r="36" spans="1:55" ht="22.5" customHeight="1">
      <c r="A36" s="84" t="s">
        <v>105</v>
      </c>
      <c r="B36" s="84"/>
      <c r="C36" s="84"/>
      <c r="D36" s="84"/>
      <c r="E36" s="84"/>
      <c r="F36" s="84"/>
      <c r="G36" s="84"/>
      <c r="H36" s="84"/>
      <c r="I36" s="84"/>
      <c r="J36" s="84"/>
      <c r="K36" s="84"/>
      <c r="L36" s="84"/>
      <c r="M36" s="84"/>
      <c r="N36" s="84"/>
      <c r="O36" s="84"/>
      <c r="P36" s="84"/>
      <c r="Q36" s="84"/>
      <c r="R36" s="84"/>
      <c r="S36" s="84"/>
      <c r="T36" s="84"/>
      <c r="U36" s="84"/>
      <c r="V36" s="84"/>
      <c r="W36" s="84"/>
      <c r="X36" s="84"/>
      <c r="Y36" s="84"/>
      <c r="Z36" s="84"/>
      <c r="AA36" s="84"/>
      <c r="AB36" s="84"/>
      <c r="AC36" s="84"/>
      <c r="AD36" s="84"/>
      <c r="AE36" s="84"/>
      <c r="AF36" s="84"/>
      <c r="AG36" s="84"/>
      <c r="AH36" s="84"/>
      <c r="AI36" s="84"/>
      <c r="AJ36" s="84"/>
      <c r="AK36" s="84"/>
      <c r="AL36" s="84"/>
      <c r="AM36" s="84"/>
      <c r="AN36" s="84"/>
      <c r="AO36" s="84"/>
      <c r="AP36" s="84"/>
      <c r="AQ36" s="84"/>
      <c r="AR36" s="84"/>
      <c r="AS36" s="84"/>
      <c r="AT36" s="84"/>
      <c r="AU36" s="84"/>
      <c r="AV36" s="84"/>
      <c r="AW36" s="84"/>
      <c r="AX36" s="84"/>
      <c r="AY36" s="84"/>
      <c r="AZ36" s="84"/>
      <c r="BA36" s="84"/>
      <c r="BB36" s="84"/>
      <c r="BC36" s="84"/>
    </row>
    <row r="37" spans="1:55" ht="11.25" customHeight="1">
      <c r="A37" s="84" t="s">
        <v>176</v>
      </c>
      <c r="B37" s="84"/>
      <c r="C37" s="84"/>
      <c r="D37" s="84"/>
      <c r="E37" s="84"/>
      <c r="F37" s="84"/>
      <c r="G37" s="84"/>
      <c r="H37" s="84"/>
      <c r="I37" s="84"/>
      <c r="J37" s="84"/>
      <c r="K37" s="84"/>
      <c r="L37" s="84"/>
      <c r="M37" s="84"/>
      <c r="N37" s="84"/>
      <c r="O37" s="84"/>
      <c r="P37" s="84"/>
      <c r="Q37" s="84"/>
      <c r="R37" s="84"/>
      <c r="S37" s="84"/>
      <c r="T37" s="84"/>
      <c r="U37" s="84"/>
      <c r="V37" s="84"/>
      <c r="W37" s="84"/>
      <c r="X37" s="84"/>
      <c r="Y37" s="84"/>
      <c r="Z37" s="84"/>
      <c r="AA37" s="84"/>
      <c r="AB37" s="84"/>
      <c r="AC37" s="84"/>
      <c r="AD37" s="84"/>
      <c r="AE37" s="84"/>
      <c r="AF37" s="84"/>
      <c r="AG37" s="84"/>
      <c r="AH37" s="84"/>
      <c r="AI37" s="84"/>
      <c r="AJ37" s="84"/>
      <c r="AK37" s="84"/>
      <c r="AL37" s="84"/>
      <c r="AM37" s="84"/>
      <c r="AN37" s="84"/>
      <c r="AO37" s="84"/>
      <c r="AP37" s="84"/>
      <c r="AQ37" s="84"/>
      <c r="AR37" s="84"/>
      <c r="AS37" s="84"/>
      <c r="AT37" s="84"/>
      <c r="AU37" s="84"/>
      <c r="AV37" s="84"/>
      <c r="AW37" s="84"/>
      <c r="AX37" s="84"/>
      <c r="AY37" s="84"/>
      <c r="AZ37" s="84"/>
      <c r="BA37" s="84"/>
      <c r="BB37" s="84"/>
      <c r="BC37" s="84"/>
    </row>
    <row r="38" spans="1:55" ht="11.25" customHeight="1">
      <c r="A38" s="89" t="s">
        <v>4</v>
      </c>
      <c r="B38" s="89"/>
      <c r="C38" s="89"/>
      <c r="D38" s="89"/>
      <c r="E38" s="89"/>
      <c r="F38" s="89"/>
      <c r="G38" s="89"/>
      <c r="H38" s="89"/>
      <c r="I38" s="89"/>
      <c r="J38" s="89"/>
      <c r="K38" s="89"/>
      <c r="L38" s="89"/>
      <c r="M38" s="89"/>
      <c r="N38" s="89"/>
      <c r="O38" s="89"/>
      <c r="P38" s="89"/>
      <c r="Q38" s="89"/>
      <c r="R38" s="89"/>
      <c r="S38" s="89"/>
      <c r="T38" s="89"/>
      <c r="U38" s="89"/>
      <c r="V38" s="89"/>
      <c r="W38" s="89"/>
      <c r="X38" s="89"/>
      <c r="Y38" s="89"/>
      <c r="Z38" s="89"/>
      <c r="AA38" s="89"/>
      <c r="AB38" s="89"/>
      <c r="AC38" s="89"/>
      <c r="AD38" s="89"/>
      <c r="AE38" s="89"/>
      <c r="AF38" s="89"/>
      <c r="AG38" s="89"/>
      <c r="AH38" s="89"/>
      <c r="AI38" s="89"/>
      <c r="AJ38" s="89"/>
      <c r="AK38" s="89"/>
      <c r="AL38" s="89"/>
      <c r="AM38" s="89"/>
      <c r="AN38" s="89"/>
      <c r="AO38" s="89"/>
      <c r="AP38" s="89"/>
      <c r="AQ38" s="89"/>
      <c r="AR38" s="89"/>
      <c r="AS38" s="89"/>
      <c r="AT38" s="89"/>
      <c r="AU38" s="89"/>
      <c r="AV38" s="89"/>
      <c r="AW38" s="89"/>
      <c r="AX38" s="89"/>
      <c r="AY38" s="89"/>
      <c r="AZ38" s="89"/>
      <c r="BA38" s="89"/>
      <c r="BB38" s="89"/>
      <c r="BC38" s="89"/>
    </row>
    <row r="39" spans="1:55" ht="11.25" customHeight="1">
      <c r="A39" s="99" t="s">
        <v>33</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row>
    <row r="40" spans="1:55" ht="11.25" customHeight="1">
      <c r="A40" s="84" t="s">
        <v>177</v>
      </c>
      <c r="B40" s="84"/>
      <c r="C40" s="84"/>
      <c r="D40" s="84"/>
      <c r="E40" s="84"/>
      <c r="F40" s="84"/>
      <c r="G40" s="84"/>
      <c r="H40" s="84"/>
      <c r="I40" s="84"/>
      <c r="J40" s="84"/>
      <c r="K40" s="84"/>
      <c r="L40" s="84"/>
      <c r="M40" s="84"/>
      <c r="N40" s="84"/>
      <c r="O40" s="84"/>
      <c r="P40" s="84"/>
      <c r="Q40" s="84"/>
      <c r="R40" s="84"/>
      <c r="S40" s="84"/>
      <c r="T40" s="84"/>
      <c r="U40" s="84"/>
      <c r="V40" s="84"/>
      <c r="W40" s="84"/>
      <c r="X40" s="84"/>
      <c r="Y40" s="84"/>
      <c r="Z40" s="84"/>
      <c r="AA40" s="84"/>
      <c r="AB40" s="84"/>
      <c r="AC40" s="84"/>
      <c r="AD40" s="84"/>
      <c r="AE40" s="84"/>
      <c r="AF40" s="84"/>
      <c r="AG40" s="84"/>
      <c r="AH40" s="84"/>
      <c r="AI40" s="84"/>
      <c r="AJ40" s="84"/>
      <c r="AK40" s="84"/>
      <c r="AL40" s="84"/>
      <c r="AM40" s="84"/>
      <c r="AN40" s="84"/>
      <c r="AO40" s="84"/>
      <c r="AP40" s="84"/>
      <c r="AQ40" s="84"/>
      <c r="AR40" s="84"/>
      <c r="AS40" s="84"/>
      <c r="AT40" s="84"/>
      <c r="AU40" s="84"/>
      <c r="AV40" s="84"/>
      <c r="AW40" s="84"/>
      <c r="AX40" s="84"/>
      <c r="AY40" s="84"/>
      <c r="AZ40" s="84"/>
      <c r="BA40" s="84"/>
      <c r="BB40" s="84"/>
      <c r="BC40" s="84"/>
    </row>
    <row r="41" spans="1:55" ht="22.5" customHeight="1">
      <c r="A41" s="84" t="s">
        <v>106</v>
      </c>
      <c r="B41" s="84"/>
      <c r="C41" s="84"/>
      <c r="D41" s="84"/>
      <c r="E41" s="84"/>
      <c r="F41" s="84"/>
      <c r="G41" s="84"/>
      <c r="H41" s="84"/>
      <c r="I41" s="84"/>
      <c r="J41" s="84"/>
      <c r="K41" s="84"/>
      <c r="L41" s="84"/>
      <c r="M41" s="84"/>
      <c r="N41" s="84"/>
      <c r="O41" s="84"/>
      <c r="P41" s="84"/>
      <c r="Q41" s="84"/>
      <c r="R41" s="84"/>
      <c r="S41" s="84"/>
      <c r="T41" s="84"/>
      <c r="U41" s="84"/>
      <c r="V41" s="84"/>
      <c r="W41" s="84"/>
      <c r="X41" s="84"/>
      <c r="Y41" s="84"/>
      <c r="Z41" s="84"/>
      <c r="AA41" s="84"/>
      <c r="AB41" s="84"/>
      <c r="AC41" s="84"/>
      <c r="AD41" s="84"/>
      <c r="AE41" s="84"/>
      <c r="AF41" s="84"/>
      <c r="AG41" s="84"/>
      <c r="AH41" s="84"/>
      <c r="AI41" s="84"/>
      <c r="AJ41" s="84"/>
      <c r="AK41" s="84"/>
      <c r="AL41" s="84"/>
      <c r="AM41" s="84"/>
      <c r="AN41" s="84"/>
      <c r="AO41" s="84"/>
      <c r="AP41" s="84"/>
      <c r="AQ41" s="84"/>
      <c r="AR41" s="84"/>
      <c r="AS41" s="84"/>
      <c r="AT41" s="84"/>
      <c r="AU41" s="84"/>
      <c r="AV41" s="84"/>
      <c r="AW41" s="84"/>
      <c r="AX41" s="84"/>
      <c r="AY41" s="84"/>
      <c r="AZ41" s="84"/>
      <c r="BA41" s="84"/>
      <c r="BB41" s="84"/>
      <c r="BC41" s="84"/>
    </row>
    <row r="42" spans="1:55" ht="22.5" customHeight="1">
      <c r="A42" s="84" t="s">
        <v>35</v>
      </c>
      <c r="B42" s="84"/>
      <c r="C42" s="84"/>
      <c r="D42" s="84"/>
      <c r="E42" s="84"/>
      <c r="F42" s="84"/>
      <c r="G42" s="84"/>
      <c r="H42" s="84"/>
      <c r="I42" s="84"/>
      <c r="J42" s="84"/>
      <c r="K42" s="84"/>
      <c r="L42" s="84"/>
      <c r="M42" s="84"/>
      <c r="N42" s="84"/>
      <c r="O42" s="84"/>
      <c r="P42" s="84"/>
      <c r="Q42" s="84"/>
      <c r="R42" s="84"/>
      <c r="S42" s="84"/>
      <c r="T42" s="84"/>
      <c r="U42" s="84"/>
      <c r="V42" s="84"/>
      <c r="W42" s="84"/>
      <c r="X42" s="84"/>
      <c r="Y42" s="84"/>
      <c r="Z42" s="84"/>
      <c r="AA42" s="84"/>
      <c r="AB42" s="84"/>
      <c r="AC42" s="84"/>
      <c r="AD42" s="84"/>
      <c r="AE42" s="84"/>
      <c r="AF42" s="84"/>
      <c r="AG42" s="84"/>
      <c r="AH42" s="84"/>
      <c r="AI42" s="84"/>
      <c r="AJ42" s="84"/>
      <c r="AK42" s="84"/>
      <c r="AL42" s="84"/>
      <c r="AM42" s="84"/>
      <c r="AN42" s="84"/>
      <c r="AO42" s="84"/>
      <c r="AP42" s="84"/>
      <c r="AQ42" s="84"/>
      <c r="AR42" s="84"/>
      <c r="AS42" s="84"/>
      <c r="AT42" s="84"/>
      <c r="AU42" s="84"/>
      <c r="AV42" s="84"/>
      <c r="AW42" s="84"/>
      <c r="AX42" s="84"/>
      <c r="AY42" s="84"/>
      <c r="AZ42" s="84"/>
      <c r="BA42" s="84"/>
      <c r="BB42" s="84"/>
      <c r="BC42" s="84"/>
    </row>
    <row r="43" spans="1:55" ht="38.25" customHeight="1">
      <c r="A43" s="84" t="s">
        <v>178</v>
      </c>
      <c r="B43" s="84"/>
      <c r="C43" s="84"/>
      <c r="D43" s="84"/>
      <c r="E43" s="84"/>
      <c r="F43" s="84"/>
      <c r="G43" s="84"/>
      <c r="H43" s="84"/>
      <c r="I43" s="84"/>
      <c r="J43" s="84"/>
      <c r="K43" s="84"/>
      <c r="L43" s="84"/>
      <c r="M43" s="84"/>
      <c r="N43" s="84"/>
      <c r="O43" s="84"/>
      <c r="P43" s="84"/>
      <c r="Q43" s="84"/>
      <c r="R43" s="84"/>
      <c r="S43" s="84"/>
      <c r="T43" s="84"/>
      <c r="U43" s="84"/>
      <c r="V43" s="84"/>
      <c r="W43" s="84"/>
      <c r="X43" s="84"/>
      <c r="Y43" s="84"/>
      <c r="Z43" s="84"/>
      <c r="AA43" s="84"/>
      <c r="AB43" s="84"/>
      <c r="AC43" s="84"/>
      <c r="AD43" s="84"/>
      <c r="AE43" s="84"/>
      <c r="AF43" s="84"/>
      <c r="AG43" s="84"/>
      <c r="AH43" s="84"/>
      <c r="AI43" s="84"/>
      <c r="AJ43" s="84"/>
      <c r="AK43" s="84"/>
      <c r="AL43" s="84"/>
      <c r="AM43" s="84"/>
      <c r="AN43" s="84"/>
      <c r="AO43" s="84"/>
      <c r="AP43" s="84"/>
      <c r="AQ43" s="84"/>
      <c r="AR43" s="84"/>
      <c r="AS43" s="84"/>
      <c r="AT43" s="84"/>
      <c r="AU43" s="84"/>
      <c r="AV43" s="84"/>
      <c r="AW43" s="84"/>
      <c r="AX43" s="84"/>
      <c r="AY43" s="84"/>
      <c r="AZ43" s="84"/>
      <c r="BA43" s="84"/>
      <c r="BB43" s="84"/>
      <c r="BC43" s="84"/>
    </row>
    <row r="44" spans="1:55" ht="22.5" customHeight="1">
      <c r="A44" s="84" t="s">
        <v>179</v>
      </c>
      <c r="B44" s="84"/>
      <c r="C44" s="84"/>
      <c r="D44" s="84"/>
      <c r="E44" s="84"/>
      <c r="F44" s="84"/>
      <c r="G44" s="84"/>
      <c r="H44" s="84"/>
      <c r="I44" s="84"/>
      <c r="J44" s="84"/>
      <c r="K44" s="84"/>
      <c r="L44" s="84"/>
      <c r="M44" s="84"/>
      <c r="N44" s="84"/>
      <c r="O44" s="84"/>
      <c r="P44" s="84"/>
      <c r="Q44" s="84"/>
      <c r="R44" s="84"/>
      <c r="S44" s="84"/>
      <c r="T44" s="84"/>
      <c r="U44" s="84"/>
      <c r="V44" s="84"/>
      <c r="W44" s="84"/>
      <c r="X44" s="84"/>
      <c r="Y44" s="84"/>
      <c r="Z44" s="84"/>
      <c r="AA44" s="84"/>
      <c r="AB44" s="84"/>
      <c r="AC44" s="84"/>
      <c r="AD44" s="84"/>
      <c r="AE44" s="84"/>
      <c r="AF44" s="84"/>
      <c r="AG44" s="84"/>
      <c r="AH44" s="84"/>
      <c r="AI44" s="84"/>
      <c r="AJ44" s="84"/>
      <c r="AK44" s="84"/>
      <c r="AL44" s="84"/>
      <c r="AM44" s="84"/>
      <c r="AN44" s="84"/>
      <c r="AO44" s="84"/>
      <c r="AP44" s="84"/>
      <c r="AQ44" s="84"/>
      <c r="AR44" s="84"/>
      <c r="AS44" s="84"/>
      <c r="AT44" s="84"/>
      <c r="AU44" s="84"/>
      <c r="AV44" s="84"/>
      <c r="AW44" s="84"/>
      <c r="AX44" s="84"/>
      <c r="AY44" s="84"/>
      <c r="AZ44" s="84"/>
      <c r="BA44" s="84"/>
      <c r="BB44" s="84"/>
      <c r="BC44" s="84"/>
    </row>
    <row r="45" spans="1:55" ht="35.1" customHeight="1">
      <c r="A45" s="84" t="s">
        <v>180</v>
      </c>
      <c r="B45" s="84"/>
      <c r="C45" s="84"/>
      <c r="D45" s="84"/>
      <c r="E45" s="84"/>
      <c r="F45" s="84"/>
      <c r="G45" s="84"/>
      <c r="H45" s="84"/>
      <c r="I45" s="84"/>
      <c r="J45" s="84"/>
      <c r="K45" s="84"/>
      <c r="L45" s="84"/>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84"/>
      <c r="AL45" s="84"/>
      <c r="AM45" s="84"/>
      <c r="AN45" s="84"/>
      <c r="AO45" s="84"/>
      <c r="AP45" s="84"/>
      <c r="AQ45" s="84"/>
      <c r="AR45" s="84"/>
      <c r="AS45" s="84"/>
      <c r="AT45" s="84"/>
      <c r="AU45" s="84"/>
      <c r="AV45" s="84"/>
      <c r="AW45" s="84"/>
      <c r="AX45" s="84"/>
      <c r="AY45" s="84"/>
      <c r="AZ45" s="84"/>
      <c r="BA45" s="84"/>
      <c r="BB45" s="84"/>
      <c r="BC45" s="84"/>
    </row>
    <row r="46" spans="1:55" ht="11.25" customHeight="1">
      <c r="A46" s="101" t="s">
        <v>107</v>
      </c>
      <c r="B46" s="101"/>
      <c r="C46" s="101"/>
      <c r="D46" s="101"/>
      <c r="E46" s="101"/>
      <c r="F46" s="101"/>
      <c r="G46" s="101"/>
      <c r="H46" s="101"/>
      <c r="I46" s="101"/>
      <c r="J46" s="101"/>
      <c r="K46" s="101"/>
      <c r="L46" s="101"/>
      <c r="M46" s="101"/>
      <c r="N46" s="101"/>
      <c r="O46" s="101"/>
      <c r="P46" s="101"/>
      <c r="Q46" s="101"/>
      <c r="R46" s="101"/>
      <c r="S46" s="101"/>
      <c r="T46" s="101"/>
      <c r="U46" s="101"/>
      <c r="V46" s="101"/>
      <c r="W46" s="101"/>
      <c r="X46" s="101"/>
      <c r="Y46" s="101"/>
      <c r="Z46" s="101"/>
      <c r="AA46" s="101"/>
      <c r="AB46" s="101"/>
      <c r="AC46" s="101"/>
      <c r="AD46" s="101"/>
      <c r="AE46" s="101"/>
      <c r="AF46" s="101"/>
      <c r="AG46" s="101"/>
      <c r="AH46" s="101"/>
      <c r="AI46" s="101"/>
      <c r="AJ46" s="101"/>
      <c r="AK46" s="101"/>
      <c r="AL46" s="101"/>
      <c r="AM46" s="101"/>
      <c r="AN46" s="101"/>
      <c r="AO46" s="101"/>
      <c r="AP46" s="101"/>
      <c r="AQ46" s="101"/>
      <c r="AR46" s="101"/>
      <c r="AS46" s="101"/>
      <c r="AT46" s="101"/>
      <c r="AU46" s="101"/>
      <c r="AV46" s="101"/>
      <c r="AW46" s="101"/>
      <c r="AX46" s="101"/>
      <c r="AY46" s="101"/>
      <c r="AZ46" s="101"/>
      <c r="BA46" s="101"/>
      <c r="BB46" s="101"/>
      <c r="BC46" s="101"/>
    </row>
    <row r="47" spans="1:55" ht="11.25" customHeight="1">
      <c r="A47" s="100" t="s">
        <v>108</v>
      </c>
      <c r="B47" s="100"/>
      <c r="C47" s="100"/>
      <c r="D47" s="100"/>
      <c r="E47" s="100"/>
      <c r="F47" s="100"/>
      <c r="G47" s="100"/>
      <c r="H47" s="100"/>
      <c r="I47" s="100"/>
      <c r="J47" s="100"/>
      <c r="K47" s="100"/>
      <c r="L47" s="100"/>
      <c r="M47" s="100"/>
      <c r="N47" s="100"/>
      <c r="O47" s="100"/>
      <c r="P47" s="100"/>
      <c r="Q47" s="100"/>
      <c r="R47" s="100"/>
      <c r="S47" s="100"/>
      <c r="T47" s="100"/>
      <c r="U47" s="100"/>
      <c r="V47" s="100"/>
      <c r="W47" s="100"/>
      <c r="X47" s="100"/>
      <c r="Y47" s="100"/>
      <c r="Z47" s="100"/>
      <c r="AA47" s="100"/>
      <c r="AB47" s="100"/>
      <c r="AC47" s="100"/>
      <c r="AD47" s="100"/>
      <c r="AE47" s="100"/>
      <c r="AF47" s="100"/>
      <c r="AG47" s="100"/>
      <c r="AH47" s="100"/>
      <c r="AI47" s="100"/>
      <c r="AJ47" s="100"/>
      <c r="AK47" s="100"/>
      <c r="AL47" s="100"/>
      <c r="AM47" s="100"/>
      <c r="AN47" s="100"/>
      <c r="AO47" s="100"/>
      <c r="AP47" s="100"/>
      <c r="AQ47" s="100"/>
      <c r="AR47" s="100"/>
      <c r="AS47" s="100"/>
      <c r="AT47" s="100"/>
      <c r="AU47" s="100"/>
      <c r="AV47" s="100"/>
      <c r="AW47" s="100"/>
      <c r="AX47" s="100"/>
      <c r="AY47" s="100"/>
      <c r="AZ47" s="100"/>
      <c r="BA47" s="100"/>
      <c r="BB47" s="100"/>
      <c r="BC47" s="100"/>
    </row>
    <row r="48" spans="1:55" ht="11.25" customHeight="1">
      <c r="A48" s="100" t="s">
        <v>109</v>
      </c>
      <c r="B48" s="100"/>
      <c r="C48" s="100"/>
      <c r="D48" s="100"/>
      <c r="E48" s="100"/>
      <c r="F48" s="100"/>
      <c r="G48" s="100"/>
      <c r="H48" s="100"/>
      <c r="I48" s="100"/>
      <c r="J48" s="100"/>
      <c r="K48" s="100"/>
      <c r="L48" s="100"/>
      <c r="M48" s="100"/>
      <c r="N48" s="100"/>
      <c r="O48" s="100"/>
      <c r="P48" s="100"/>
      <c r="Q48" s="100"/>
      <c r="R48" s="100"/>
      <c r="S48" s="100"/>
      <c r="T48" s="100"/>
      <c r="U48" s="100"/>
      <c r="V48" s="100"/>
      <c r="W48" s="100"/>
      <c r="X48" s="100"/>
      <c r="Y48" s="100"/>
      <c r="Z48" s="100"/>
      <c r="AA48" s="100"/>
      <c r="AB48" s="100"/>
      <c r="AC48" s="100"/>
      <c r="AD48" s="100"/>
      <c r="AE48" s="100"/>
      <c r="AF48" s="100"/>
      <c r="AG48" s="100"/>
      <c r="AH48" s="100"/>
      <c r="AI48" s="100"/>
      <c r="AJ48" s="100"/>
      <c r="AK48" s="100"/>
      <c r="AL48" s="100"/>
      <c r="AM48" s="100"/>
      <c r="AN48" s="100"/>
      <c r="AO48" s="100"/>
      <c r="AP48" s="100"/>
      <c r="AQ48" s="100"/>
      <c r="AR48" s="100"/>
      <c r="AS48" s="100"/>
      <c r="AT48" s="100"/>
      <c r="AU48" s="100"/>
      <c r="AV48" s="100"/>
      <c r="AW48" s="100"/>
      <c r="AX48" s="100"/>
      <c r="AY48" s="100"/>
      <c r="AZ48" s="100"/>
      <c r="BA48" s="100"/>
      <c r="BB48" s="100"/>
      <c r="BC48" s="100"/>
    </row>
    <row r="49" spans="1:55" ht="11.25" customHeight="1">
      <c r="A49" s="101" t="s">
        <v>36</v>
      </c>
      <c r="B49" s="101"/>
      <c r="C49" s="101"/>
      <c r="D49" s="101"/>
      <c r="E49" s="101"/>
      <c r="F49" s="101"/>
      <c r="G49" s="101"/>
      <c r="H49" s="101"/>
      <c r="I49" s="101"/>
      <c r="J49" s="101"/>
      <c r="K49" s="101"/>
      <c r="L49" s="101"/>
      <c r="M49" s="101"/>
      <c r="N49" s="101"/>
      <c r="O49" s="101"/>
      <c r="P49" s="101"/>
      <c r="Q49" s="101"/>
      <c r="R49" s="101"/>
      <c r="S49" s="101"/>
      <c r="T49" s="101"/>
      <c r="U49" s="101"/>
      <c r="V49" s="101"/>
      <c r="W49" s="101"/>
      <c r="X49" s="101"/>
      <c r="Y49" s="101"/>
      <c r="Z49" s="101"/>
      <c r="AA49" s="101"/>
      <c r="AB49" s="101"/>
      <c r="AC49" s="101"/>
      <c r="AD49" s="101"/>
      <c r="AE49" s="101"/>
      <c r="AF49" s="101"/>
      <c r="AG49" s="101"/>
      <c r="AH49" s="101"/>
      <c r="AI49" s="101"/>
      <c r="AJ49" s="101"/>
      <c r="AK49" s="101"/>
      <c r="AL49" s="101"/>
      <c r="AM49" s="101"/>
      <c r="AN49" s="101"/>
      <c r="AO49" s="101"/>
      <c r="AP49" s="101"/>
      <c r="AQ49" s="101"/>
      <c r="AR49" s="101"/>
      <c r="AS49" s="101"/>
      <c r="AT49" s="101"/>
      <c r="AU49" s="101"/>
      <c r="AV49" s="101"/>
      <c r="AW49" s="101"/>
      <c r="AX49" s="101"/>
      <c r="AY49" s="101"/>
      <c r="AZ49" s="101"/>
      <c r="BA49" s="101"/>
      <c r="BB49" s="101"/>
      <c r="BC49" s="101"/>
    </row>
    <row r="50" spans="1:55" ht="11.25" customHeight="1">
      <c r="A50" s="100" t="s">
        <v>181</v>
      </c>
      <c r="B50" s="100"/>
      <c r="C50" s="100"/>
      <c r="D50" s="100"/>
      <c r="E50" s="100"/>
      <c r="F50" s="100"/>
      <c r="G50" s="100"/>
      <c r="H50" s="100"/>
      <c r="I50" s="100"/>
      <c r="J50" s="100"/>
      <c r="K50" s="100"/>
      <c r="L50" s="100"/>
      <c r="M50" s="100"/>
      <c r="N50" s="100"/>
      <c r="O50" s="100"/>
      <c r="P50" s="100"/>
      <c r="Q50" s="100"/>
      <c r="R50" s="100"/>
      <c r="S50" s="100"/>
      <c r="T50" s="100"/>
      <c r="U50" s="100"/>
      <c r="V50" s="100"/>
      <c r="W50" s="100"/>
      <c r="X50" s="100"/>
      <c r="Y50" s="100"/>
      <c r="Z50" s="100"/>
      <c r="AA50" s="100"/>
      <c r="AB50" s="100"/>
      <c r="AC50" s="100"/>
      <c r="AD50" s="100"/>
      <c r="AE50" s="100"/>
      <c r="AF50" s="100"/>
      <c r="AG50" s="100"/>
      <c r="AH50" s="100"/>
      <c r="AI50" s="100"/>
      <c r="AJ50" s="100"/>
      <c r="AK50" s="100"/>
      <c r="AL50" s="100"/>
      <c r="AM50" s="100"/>
      <c r="AN50" s="100"/>
      <c r="AO50" s="100"/>
      <c r="AP50" s="100"/>
      <c r="AQ50" s="100"/>
      <c r="AR50" s="100"/>
      <c r="AS50" s="100"/>
      <c r="AT50" s="100"/>
      <c r="AU50" s="100"/>
      <c r="AV50" s="100"/>
      <c r="AW50" s="100"/>
      <c r="AX50" s="100"/>
      <c r="AY50" s="100"/>
      <c r="AZ50" s="100"/>
      <c r="BA50" s="100"/>
      <c r="BB50" s="100"/>
      <c r="BC50" s="100"/>
    </row>
    <row r="51" spans="1:55" ht="22.5" customHeight="1">
      <c r="A51" s="84" t="s">
        <v>40</v>
      </c>
      <c r="B51" s="84"/>
      <c r="C51" s="84"/>
      <c r="D51" s="84"/>
      <c r="E51" s="84"/>
      <c r="F51" s="84"/>
      <c r="G51" s="84"/>
      <c r="H51" s="84"/>
      <c r="I51" s="84"/>
      <c r="J51" s="84"/>
      <c r="K51" s="84"/>
      <c r="L51" s="84"/>
      <c r="M51" s="84"/>
      <c r="N51" s="84"/>
      <c r="O51" s="84"/>
      <c r="P51" s="84"/>
      <c r="Q51" s="84"/>
      <c r="R51" s="84"/>
      <c r="S51" s="84"/>
      <c r="T51" s="84"/>
      <c r="U51" s="84"/>
      <c r="V51" s="84"/>
      <c r="W51" s="84"/>
      <c r="X51" s="84"/>
      <c r="Y51" s="84"/>
      <c r="Z51" s="84"/>
      <c r="AA51" s="84"/>
      <c r="AB51" s="84"/>
      <c r="AC51" s="84"/>
      <c r="AD51" s="84"/>
      <c r="AE51" s="84"/>
      <c r="AF51" s="84"/>
      <c r="AG51" s="84"/>
      <c r="AH51" s="84"/>
      <c r="AI51" s="84"/>
      <c r="AJ51" s="84"/>
      <c r="AK51" s="84"/>
      <c r="AL51" s="84"/>
      <c r="AM51" s="84"/>
      <c r="AN51" s="84"/>
      <c r="AO51" s="84"/>
      <c r="AP51" s="84"/>
      <c r="AQ51" s="84"/>
      <c r="AR51" s="84"/>
      <c r="AS51" s="84"/>
      <c r="AT51" s="84"/>
      <c r="AU51" s="84"/>
      <c r="AV51" s="84"/>
      <c r="AW51" s="84"/>
      <c r="AX51" s="84"/>
      <c r="AY51" s="84"/>
      <c r="AZ51" s="84"/>
      <c r="BA51" s="84"/>
      <c r="BB51" s="84"/>
      <c r="BC51" s="84"/>
    </row>
    <row r="52" spans="1:55" ht="22.5" customHeight="1">
      <c r="A52" s="84" t="s">
        <v>41</v>
      </c>
      <c r="B52" s="84"/>
      <c r="C52" s="84"/>
      <c r="D52" s="84"/>
      <c r="E52" s="84"/>
      <c r="F52" s="84"/>
      <c r="G52" s="84"/>
      <c r="H52" s="84"/>
      <c r="I52" s="84"/>
      <c r="J52" s="84"/>
      <c r="K52" s="84"/>
      <c r="L52" s="84"/>
      <c r="M52" s="84"/>
      <c r="N52" s="84"/>
      <c r="O52" s="84"/>
      <c r="P52" s="84"/>
      <c r="Q52" s="84"/>
      <c r="R52" s="84"/>
      <c r="S52" s="84"/>
      <c r="T52" s="84"/>
      <c r="U52" s="84"/>
      <c r="V52" s="84"/>
      <c r="W52" s="84"/>
      <c r="X52" s="84"/>
      <c r="Y52" s="84"/>
      <c r="Z52" s="84"/>
      <c r="AA52" s="84"/>
      <c r="AB52" s="84"/>
      <c r="AC52" s="84"/>
      <c r="AD52" s="84"/>
      <c r="AE52" s="84"/>
      <c r="AF52" s="84"/>
      <c r="AG52" s="84"/>
      <c r="AH52" s="84"/>
      <c r="AI52" s="84"/>
      <c r="AJ52" s="84"/>
      <c r="AK52" s="84"/>
      <c r="AL52" s="84"/>
      <c r="AM52" s="84"/>
      <c r="AN52" s="84"/>
      <c r="AO52" s="84"/>
      <c r="AP52" s="84"/>
      <c r="AQ52" s="84"/>
      <c r="AR52" s="84"/>
      <c r="AS52" s="84"/>
      <c r="AT52" s="84"/>
      <c r="AU52" s="84"/>
      <c r="AV52" s="84"/>
      <c r="AW52" s="84"/>
      <c r="AX52" s="84"/>
      <c r="AY52" s="84"/>
      <c r="AZ52" s="84"/>
      <c r="BA52" s="84"/>
      <c r="BB52" s="84"/>
      <c r="BC52" s="84"/>
    </row>
    <row r="53" spans="1:55" ht="45.75" customHeight="1">
      <c r="A53" s="84" t="s">
        <v>182</v>
      </c>
      <c r="B53" s="84"/>
      <c r="C53" s="84"/>
      <c r="D53" s="84"/>
      <c r="E53" s="84"/>
      <c r="F53" s="84"/>
      <c r="G53" s="84"/>
      <c r="H53" s="84"/>
      <c r="I53" s="84"/>
      <c r="J53" s="84"/>
      <c r="K53" s="84"/>
      <c r="L53" s="84"/>
      <c r="M53" s="84"/>
      <c r="N53" s="84"/>
      <c r="O53" s="84"/>
      <c r="P53" s="84"/>
      <c r="Q53" s="84"/>
      <c r="R53" s="84"/>
      <c r="S53" s="84"/>
      <c r="T53" s="84"/>
      <c r="U53" s="84"/>
      <c r="V53" s="84"/>
      <c r="W53" s="84"/>
      <c r="X53" s="84"/>
      <c r="Y53" s="84"/>
      <c r="Z53" s="84"/>
      <c r="AA53" s="84"/>
      <c r="AB53" s="84"/>
      <c r="AC53" s="84"/>
      <c r="AD53" s="84"/>
      <c r="AE53" s="84"/>
      <c r="AF53" s="84"/>
      <c r="AG53" s="84"/>
      <c r="AH53" s="84"/>
      <c r="AI53" s="84"/>
      <c r="AJ53" s="84"/>
      <c r="AK53" s="84"/>
      <c r="AL53" s="84"/>
      <c r="AM53" s="84"/>
      <c r="AN53" s="84"/>
      <c r="AO53" s="84"/>
      <c r="AP53" s="84"/>
      <c r="AQ53" s="84"/>
      <c r="AR53" s="84"/>
      <c r="AS53" s="84"/>
      <c r="AT53" s="84"/>
      <c r="AU53" s="84"/>
      <c r="AV53" s="84"/>
      <c r="AW53" s="84"/>
      <c r="AX53" s="84"/>
      <c r="AY53" s="84"/>
      <c r="AZ53" s="84"/>
      <c r="BA53" s="84"/>
      <c r="BB53" s="84"/>
      <c r="BC53" s="84"/>
    </row>
    <row r="54" spans="1:55" ht="11.25" customHeight="1">
      <c r="A54" s="99" t="s">
        <v>5</v>
      </c>
      <c r="B54" s="99"/>
      <c r="C54" s="99"/>
      <c r="D54" s="99"/>
      <c r="E54" s="99"/>
      <c r="F54" s="99"/>
      <c r="G54" s="99"/>
      <c r="H54" s="99"/>
      <c r="I54" s="99"/>
      <c r="J54" s="99"/>
      <c r="K54" s="99"/>
      <c r="L54" s="99"/>
      <c r="M54" s="99"/>
      <c r="N54" s="99"/>
      <c r="O54" s="99"/>
      <c r="P54" s="99"/>
      <c r="Q54" s="99"/>
      <c r="R54" s="99"/>
      <c r="S54" s="99"/>
      <c r="T54" s="99"/>
      <c r="U54" s="99"/>
      <c r="V54" s="99"/>
      <c r="W54" s="99"/>
      <c r="X54" s="99"/>
      <c r="Y54" s="99"/>
      <c r="Z54" s="99"/>
      <c r="AA54" s="99"/>
      <c r="AB54" s="99"/>
      <c r="AC54" s="99"/>
      <c r="AD54" s="99"/>
      <c r="AE54" s="99"/>
      <c r="AF54" s="99"/>
      <c r="AG54" s="99"/>
      <c r="AH54" s="99"/>
      <c r="AI54" s="99"/>
      <c r="AJ54" s="99"/>
      <c r="AK54" s="99"/>
      <c r="AL54" s="99"/>
      <c r="AM54" s="99"/>
      <c r="AN54" s="99"/>
      <c r="AO54" s="99"/>
      <c r="AP54" s="99"/>
      <c r="AQ54" s="99"/>
      <c r="AR54" s="99"/>
      <c r="AS54" s="99"/>
      <c r="AT54" s="99"/>
      <c r="AU54" s="99"/>
      <c r="AV54" s="99"/>
      <c r="AW54" s="99"/>
      <c r="AX54" s="99"/>
      <c r="AY54" s="99"/>
      <c r="AZ54" s="99"/>
      <c r="BA54" s="99"/>
      <c r="BB54" s="99"/>
      <c r="BC54" s="99"/>
    </row>
    <row r="55" spans="1:55" ht="11.25" customHeight="1">
      <c r="A55" s="84" t="s">
        <v>110</v>
      </c>
      <c r="B55" s="84"/>
      <c r="C55" s="84"/>
      <c r="D55" s="84"/>
      <c r="E55" s="84"/>
      <c r="F55" s="84"/>
      <c r="G55" s="84"/>
      <c r="H55" s="84"/>
      <c r="I55" s="84"/>
      <c r="J55" s="84"/>
      <c r="K55" s="84"/>
      <c r="L55" s="84"/>
      <c r="M55" s="84"/>
      <c r="N55" s="84"/>
      <c r="O55" s="84"/>
      <c r="P55" s="84"/>
      <c r="Q55" s="84"/>
      <c r="R55" s="84"/>
      <c r="S55" s="84"/>
      <c r="T55" s="84"/>
      <c r="U55" s="84"/>
      <c r="V55" s="84"/>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row>
    <row r="56" spans="1:55" ht="11.25" customHeight="1">
      <c r="A56" s="84" t="s">
        <v>42</v>
      </c>
      <c r="B56" s="84"/>
      <c r="C56" s="84"/>
      <c r="D56" s="84"/>
      <c r="E56" s="84"/>
      <c r="F56" s="84"/>
      <c r="G56" s="84"/>
      <c r="H56" s="84"/>
      <c r="I56" s="84"/>
      <c r="J56" s="84"/>
      <c r="K56" s="84"/>
      <c r="L56" s="84"/>
      <c r="M56" s="84"/>
      <c r="N56" s="84"/>
      <c r="O56" s="84"/>
      <c r="P56" s="84"/>
      <c r="Q56" s="84"/>
      <c r="R56" s="84"/>
      <c r="S56" s="84"/>
      <c r="T56" s="84"/>
      <c r="U56" s="84"/>
      <c r="V56" s="84"/>
      <c r="W56" s="84"/>
      <c r="X56" s="84"/>
      <c r="Y56" s="84"/>
      <c r="Z56" s="84"/>
      <c r="AA56" s="84"/>
      <c r="AB56" s="84"/>
      <c r="AC56" s="84"/>
      <c r="AD56" s="84"/>
      <c r="AE56" s="84"/>
      <c r="AF56" s="84"/>
      <c r="AG56" s="84"/>
      <c r="AH56" s="84"/>
      <c r="AI56" s="84"/>
      <c r="AJ56" s="84"/>
      <c r="AK56" s="84"/>
      <c r="AL56" s="84"/>
      <c r="AM56" s="84"/>
      <c r="AN56" s="84"/>
      <c r="AO56" s="84"/>
      <c r="AP56" s="84"/>
      <c r="AQ56" s="84"/>
      <c r="AR56" s="84"/>
      <c r="AS56" s="84"/>
      <c r="AT56" s="84"/>
      <c r="AU56" s="84"/>
      <c r="AV56" s="84"/>
      <c r="AW56" s="84"/>
      <c r="AX56" s="84"/>
      <c r="AY56" s="84"/>
      <c r="AZ56" s="84"/>
      <c r="BA56" s="84"/>
      <c r="BB56" s="84"/>
      <c r="BC56" s="84"/>
    </row>
    <row r="57" spans="1:55" ht="11.25" customHeight="1">
      <c r="A57" s="100" t="s">
        <v>43</v>
      </c>
      <c r="B57" s="100"/>
      <c r="C57" s="100"/>
      <c r="D57" s="100"/>
      <c r="E57" s="100"/>
      <c r="F57" s="100"/>
      <c r="G57" s="100"/>
      <c r="H57" s="100"/>
      <c r="I57" s="100"/>
      <c r="J57" s="100"/>
      <c r="K57" s="100"/>
      <c r="L57" s="100"/>
      <c r="M57" s="100"/>
      <c r="N57" s="100"/>
      <c r="O57" s="100"/>
      <c r="P57" s="100"/>
      <c r="Q57" s="100"/>
      <c r="R57" s="100"/>
      <c r="S57" s="100"/>
      <c r="T57" s="100"/>
      <c r="U57" s="100"/>
      <c r="V57" s="100"/>
      <c r="W57" s="100"/>
      <c r="X57" s="100"/>
      <c r="Y57" s="100"/>
      <c r="Z57" s="100"/>
      <c r="AA57" s="100"/>
      <c r="AB57" s="100"/>
      <c r="AC57" s="100"/>
      <c r="AD57" s="100"/>
      <c r="AE57" s="100"/>
      <c r="AF57" s="100"/>
      <c r="AG57" s="100"/>
      <c r="AH57" s="100"/>
      <c r="AI57" s="100"/>
      <c r="AJ57" s="100"/>
      <c r="AK57" s="100"/>
      <c r="AL57" s="100"/>
      <c r="AM57" s="100"/>
      <c r="AN57" s="100"/>
      <c r="AO57" s="100"/>
      <c r="AP57" s="100"/>
      <c r="AQ57" s="100"/>
      <c r="AR57" s="100"/>
      <c r="AS57" s="100"/>
      <c r="AT57" s="100"/>
      <c r="AU57" s="100"/>
      <c r="AV57" s="100"/>
      <c r="AW57" s="100"/>
      <c r="AX57" s="100"/>
      <c r="AY57" s="100"/>
      <c r="AZ57" s="100"/>
      <c r="BA57" s="100"/>
      <c r="BB57" s="100"/>
      <c r="BC57" s="100"/>
    </row>
    <row r="58" spans="1:55" ht="11.25" customHeight="1">
      <c r="A58" s="100" t="s">
        <v>74</v>
      </c>
      <c r="B58" s="100"/>
      <c r="C58" s="100"/>
      <c r="D58" s="100"/>
      <c r="E58" s="100"/>
      <c r="F58" s="100"/>
      <c r="G58" s="100"/>
      <c r="H58" s="100"/>
      <c r="I58" s="100"/>
      <c r="J58" s="100"/>
      <c r="K58" s="100"/>
      <c r="L58" s="100"/>
      <c r="M58" s="100"/>
      <c r="N58" s="100"/>
      <c r="O58" s="100"/>
      <c r="P58" s="100"/>
      <c r="Q58" s="100"/>
      <c r="R58" s="100"/>
      <c r="S58" s="100"/>
      <c r="T58" s="100"/>
      <c r="U58" s="100"/>
      <c r="V58" s="100"/>
      <c r="W58" s="100"/>
      <c r="X58" s="100"/>
      <c r="Y58" s="100"/>
      <c r="Z58" s="100"/>
      <c r="AA58" s="100"/>
      <c r="AB58" s="100"/>
      <c r="AC58" s="100"/>
      <c r="AD58" s="100"/>
      <c r="AE58" s="100"/>
      <c r="AF58" s="100"/>
      <c r="AG58" s="100"/>
      <c r="AH58" s="100"/>
      <c r="AI58" s="100"/>
      <c r="AJ58" s="100"/>
      <c r="AK58" s="100"/>
      <c r="AL58" s="100"/>
      <c r="AM58" s="100"/>
      <c r="AN58" s="100"/>
      <c r="AO58" s="100"/>
      <c r="AP58" s="100"/>
      <c r="AQ58" s="100"/>
      <c r="AR58" s="100"/>
      <c r="AS58" s="100"/>
      <c r="AT58" s="100"/>
      <c r="AU58" s="100"/>
      <c r="AV58" s="100"/>
      <c r="AW58" s="100"/>
      <c r="AX58" s="100"/>
      <c r="AY58" s="100"/>
      <c r="AZ58" s="100"/>
      <c r="BA58" s="100"/>
      <c r="BB58" s="100"/>
      <c r="BC58" s="100"/>
    </row>
    <row r="59" spans="1:55" ht="11.25" customHeight="1">
      <c r="A59" s="100" t="s">
        <v>75</v>
      </c>
      <c r="B59" s="100"/>
      <c r="C59" s="100"/>
      <c r="D59" s="100"/>
      <c r="E59" s="100"/>
      <c r="F59" s="100"/>
      <c r="G59" s="100"/>
      <c r="H59" s="100"/>
      <c r="I59" s="100"/>
      <c r="J59" s="100"/>
      <c r="K59" s="100"/>
      <c r="L59" s="100"/>
      <c r="M59" s="100"/>
      <c r="N59" s="100"/>
      <c r="O59" s="100"/>
      <c r="P59" s="100"/>
      <c r="Q59" s="100"/>
      <c r="R59" s="100"/>
      <c r="S59" s="100"/>
      <c r="T59" s="100"/>
      <c r="U59" s="100"/>
      <c r="V59" s="100"/>
      <c r="W59" s="100"/>
      <c r="X59" s="100"/>
      <c r="Y59" s="100"/>
      <c r="Z59" s="100"/>
      <c r="AA59" s="100"/>
      <c r="AB59" s="100"/>
      <c r="AC59" s="100"/>
      <c r="AD59" s="100"/>
      <c r="AE59" s="100"/>
      <c r="AF59" s="100"/>
      <c r="AG59" s="100"/>
      <c r="AH59" s="100"/>
      <c r="AI59" s="100"/>
      <c r="AJ59" s="100"/>
      <c r="AK59" s="100"/>
      <c r="AL59" s="100"/>
      <c r="AM59" s="100"/>
      <c r="AN59" s="100"/>
      <c r="AO59" s="100"/>
      <c r="AP59" s="100"/>
      <c r="AQ59" s="100"/>
      <c r="AR59" s="100"/>
      <c r="AS59" s="100"/>
      <c r="AT59" s="100"/>
      <c r="AU59" s="100"/>
      <c r="AV59" s="100"/>
      <c r="AW59" s="100"/>
      <c r="AX59" s="100"/>
      <c r="AY59" s="100"/>
      <c r="AZ59" s="100"/>
      <c r="BA59" s="100"/>
      <c r="BB59" s="100"/>
      <c r="BC59" s="100"/>
    </row>
    <row r="60" spans="1:55" ht="22.5" customHeight="1">
      <c r="A60" s="84" t="s">
        <v>183</v>
      </c>
      <c r="B60" s="84"/>
      <c r="C60" s="84"/>
      <c r="D60" s="84"/>
      <c r="E60" s="84"/>
      <c r="F60" s="84"/>
      <c r="G60" s="84"/>
      <c r="H60" s="84"/>
      <c r="I60" s="84"/>
      <c r="J60" s="84"/>
      <c r="K60" s="84"/>
      <c r="L60" s="84"/>
      <c r="M60" s="84"/>
      <c r="N60" s="84"/>
      <c r="O60" s="84"/>
      <c r="P60" s="84"/>
      <c r="Q60" s="84"/>
      <c r="R60" s="84"/>
      <c r="S60" s="84"/>
      <c r="T60" s="84"/>
      <c r="U60" s="84"/>
      <c r="V60" s="84"/>
      <c r="W60" s="84"/>
      <c r="X60" s="84"/>
      <c r="Y60" s="84"/>
      <c r="Z60" s="84"/>
      <c r="AA60" s="84"/>
      <c r="AB60" s="84"/>
      <c r="AC60" s="84"/>
      <c r="AD60" s="84"/>
      <c r="AE60" s="84"/>
      <c r="AF60" s="84"/>
      <c r="AG60" s="84"/>
      <c r="AH60" s="84"/>
      <c r="AI60" s="84"/>
      <c r="AJ60" s="84"/>
      <c r="AK60" s="84"/>
      <c r="AL60" s="84"/>
      <c r="AM60" s="84"/>
      <c r="AN60" s="84"/>
      <c r="AO60" s="84"/>
      <c r="AP60" s="84"/>
      <c r="AQ60" s="84"/>
      <c r="AR60" s="84"/>
      <c r="AS60" s="84"/>
      <c r="AT60" s="84"/>
      <c r="AU60" s="84"/>
      <c r="AV60" s="84"/>
      <c r="AW60" s="84"/>
      <c r="AX60" s="84"/>
      <c r="AY60" s="84"/>
      <c r="AZ60" s="84"/>
      <c r="BA60" s="84"/>
      <c r="BB60" s="84"/>
      <c r="BC60" s="84"/>
    </row>
    <row r="61" spans="1:55" ht="11.25" customHeight="1">
      <c r="A61" s="101" t="s">
        <v>111</v>
      </c>
      <c r="B61" s="101"/>
      <c r="C61" s="101"/>
      <c r="D61" s="101"/>
      <c r="E61" s="101"/>
      <c r="F61" s="101"/>
      <c r="G61" s="101"/>
      <c r="H61" s="101"/>
      <c r="I61" s="101"/>
      <c r="J61" s="101"/>
      <c r="K61" s="101"/>
      <c r="L61" s="101"/>
      <c r="M61" s="101"/>
      <c r="N61" s="101"/>
      <c r="O61" s="101"/>
      <c r="P61" s="101"/>
      <c r="Q61" s="101"/>
      <c r="R61" s="101"/>
      <c r="S61" s="101"/>
      <c r="T61" s="101"/>
      <c r="U61" s="101"/>
      <c r="V61" s="101"/>
      <c r="W61" s="101"/>
      <c r="X61" s="101"/>
      <c r="Y61" s="101"/>
      <c r="Z61" s="101"/>
      <c r="AA61" s="101"/>
      <c r="AB61" s="101"/>
      <c r="AC61" s="101"/>
      <c r="AD61" s="101"/>
      <c r="AE61" s="101"/>
      <c r="AF61" s="101"/>
      <c r="AG61" s="101"/>
      <c r="AH61" s="101"/>
      <c r="AI61" s="101"/>
      <c r="AJ61" s="101"/>
      <c r="AK61" s="101"/>
      <c r="AL61" s="101"/>
      <c r="AM61" s="101"/>
      <c r="AN61" s="101"/>
      <c r="AO61" s="101"/>
      <c r="AP61" s="101"/>
      <c r="AQ61" s="101"/>
      <c r="AR61" s="101"/>
      <c r="AS61" s="101"/>
      <c r="AT61" s="101"/>
      <c r="AU61" s="101"/>
      <c r="AV61" s="101"/>
      <c r="AW61" s="101"/>
      <c r="AX61" s="101"/>
      <c r="AY61" s="101"/>
      <c r="AZ61" s="101"/>
      <c r="BA61" s="101"/>
      <c r="BB61" s="101"/>
      <c r="BC61" s="101"/>
    </row>
    <row r="62" spans="1:55" ht="11.25" customHeight="1">
      <c r="A62" s="100" t="s">
        <v>44</v>
      </c>
      <c r="B62" s="100"/>
      <c r="C62" s="100"/>
      <c r="D62" s="100"/>
      <c r="E62" s="100"/>
      <c r="F62" s="100"/>
      <c r="G62" s="100"/>
      <c r="H62" s="100"/>
      <c r="I62" s="100"/>
      <c r="J62" s="100"/>
      <c r="K62" s="100"/>
      <c r="L62" s="100"/>
      <c r="M62" s="100"/>
      <c r="N62" s="100"/>
      <c r="O62" s="100"/>
      <c r="P62" s="100"/>
      <c r="Q62" s="100"/>
      <c r="R62" s="100"/>
      <c r="S62" s="100"/>
      <c r="T62" s="100"/>
      <c r="U62" s="100"/>
      <c r="V62" s="100"/>
      <c r="W62" s="100"/>
      <c r="X62" s="100"/>
      <c r="Y62" s="100"/>
      <c r="Z62" s="100"/>
      <c r="AA62" s="100"/>
      <c r="AB62" s="100"/>
      <c r="AC62" s="100"/>
      <c r="AD62" s="100"/>
      <c r="AE62" s="100"/>
      <c r="AF62" s="100"/>
      <c r="AG62" s="100"/>
      <c r="AH62" s="100"/>
      <c r="AI62" s="100"/>
      <c r="AJ62" s="100"/>
      <c r="AK62" s="100"/>
      <c r="AL62" s="100"/>
      <c r="AM62" s="100"/>
      <c r="AN62" s="100"/>
      <c r="AO62" s="100"/>
      <c r="AP62" s="100"/>
      <c r="AQ62" s="100"/>
      <c r="AR62" s="100"/>
      <c r="AS62" s="100"/>
      <c r="AT62" s="100"/>
      <c r="AU62" s="100"/>
      <c r="AV62" s="100"/>
      <c r="AW62" s="100"/>
      <c r="AX62" s="100"/>
      <c r="AY62" s="100"/>
      <c r="AZ62" s="100"/>
      <c r="BA62" s="100"/>
      <c r="BB62" s="100"/>
      <c r="BC62" s="100"/>
    </row>
    <row r="63" spans="1:55" ht="11.25" customHeight="1">
      <c r="A63" s="100" t="s">
        <v>42</v>
      </c>
      <c r="B63" s="100"/>
      <c r="C63" s="100"/>
      <c r="D63" s="100"/>
      <c r="E63" s="100"/>
      <c r="F63" s="100"/>
      <c r="G63" s="100"/>
      <c r="H63" s="100"/>
      <c r="I63" s="100"/>
      <c r="J63" s="100"/>
      <c r="K63" s="100"/>
      <c r="L63" s="100"/>
      <c r="M63" s="100"/>
      <c r="N63" s="100"/>
      <c r="O63" s="100"/>
      <c r="P63" s="100"/>
      <c r="Q63" s="100"/>
      <c r="R63" s="100"/>
      <c r="S63" s="100"/>
      <c r="T63" s="100"/>
      <c r="U63" s="100"/>
      <c r="V63" s="100"/>
      <c r="W63" s="100"/>
      <c r="X63" s="100"/>
      <c r="Y63" s="100"/>
      <c r="Z63" s="100"/>
      <c r="AA63" s="100"/>
      <c r="AB63" s="100"/>
      <c r="AC63" s="100"/>
      <c r="AD63" s="100"/>
      <c r="AE63" s="100"/>
      <c r="AF63" s="100"/>
      <c r="AG63" s="100"/>
      <c r="AH63" s="100"/>
      <c r="AI63" s="100"/>
      <c r="AJ63" s="100"/>
      <c r="AK63" s="100"/>
      <c r="AL63" s="100"/>
      <c r="AM63" s="100"/>
      <c r="AN63" s="100"/>
      <c r="AO63" s="100"/>
      <c r="AP63" s="100"/>
      <c r="AQ63" s="100"/>
      <c r="AR63" s="100"/>
      <c r="AS63" s="100"/>
      <c r="AT63" s="100"/>
      <c r="AU63" s="100"/>
      <c r="AV63" s="100"/>
      <c r="AW63" s="100"/>
      <c r="AX63" s="100"/>
      <c r="AY63" s="100"/>
      <c r="AZ63" s="100"/>
      <c r="BA63" s="100"/>
      <c r="BB63" s="100"/>
      <c r="BC63" s="100"/>
    </row>
    <row r="64" spans="1:55" ht="11.25" customHeight="1">
      <c r="A64" s="100" t="s">
        <v>43</v>
      </c>
      <c r="B64" s="100"/>
      <c r="C64" s="100"/>
      <c r="D64" s="100"/>
      <c r="E64" s="100"/>
      <c r="F64" s="100"/>
      <c r="G64" s="100"/>
      <c r="H64" s="100"/>
      <c r="I64" s="100"/>
      <c r="J64" s="100"/>
      <c r="K64" s="100"/>
      <c r="L64" s="100"/>
      <c r="M64" s="100"/>
      <c r="N64" s="100"/>
      <c r="O64" s="100"/>
      <c r="P64" s="100"/>
      <c r="Q64" s="100"/>
      <c r="R64" s="100"/>
      <c r="S64" s="100"/>
      <c r="T64" s="100"/>
      <c r="U64" s="100"/>
      <c r="V64" s="100"/>
      <c r="W64" s="100"/>
      <c r="X64" s="100"/>
      <c r="Y64" s="100"/>
      <c r="Z64" s="100"/>
      <c r="AA64" s="100"/>
      <c r="AB64" s="100"/>
      <c r="AC64" s="100"/>
      <c r="AD64" s="100"/>
      <c r="AE64" s="100"/>
      <c r="AF64" s="100"/>
      <c r="AG64" s="100"/>
      <c r="AH64" s="100"/>
      <c r="AI64" s="100"/>
      <c r="AJ64" s="100"/>
      <c r="AK64" s="100"/>
      <c r="AL64" s="100"/>
      <c r="AM64" s="100"/>
      <c r="AN64" s="100"/>
      <c r="AO64" s="100"/>
      <c r="AP64" s="100"/>
      <c r="AQ64" s="100"/>
      <c r="AR64" s="100"/>
      <c r="AS64" s="100"/>
      <c r="AT64" s="100"/>
      <c r="AU64" s="100"/>
      <c r="AV64" s="100"/>
      <c r="AW64" s="100"/>
      <c r="AX64" s="100"/>
      <c r="AY64" s="100"/>
      <c r="AZ64" s="100"/>
      <c r="BA64" s="100"/>
      <c r="BB64" s="100"/>
      <c r="BC64" s="100"/>
    </row>
    <row r="65" spans="1:55" ht="11.25" customHeight="1">
      <c r="A65" s="100" t="s">
        <v>76</v>
      </c>
      <c r="B65" s="100"/>
      <c r="C65" s="100"/>
      <c r="D65" s="100"/>
      <c r="E65" s="100"/>
      <c r="F65" s="100"/>
      <c r="G65" s="100"/>
      <c r="H65" s="100"/>
      <c r="I65" s="100"/>
      <c r="J65" s="100"/>
      <c r="K65" s="100"/>
      <c r="L65" s="100"/>
      <c r="M65" s="100"/>
      <c r="N65" s="100"/>
      <c r="O65" s="100"/>
      <c r="P65" s="100"/>
      <c r="Q65" s="100"/>
      <c r="R65" s="100"/>
      <c r="S65" s="100"/>
      <c r="T65" s="100"/>
      <c r="U65" s="100"/>
      <c r="V65" s="100"/>
      <c r="W65" s="100"/>
      <c r="X65" s="100"/>
      <c r="Y65" s="100"/>
      <c r="Z65" s="100"/>
      <c r="AA65" s="100"/>
      <c r="AB65" s="100"/>
      <c r="AC65" s="100"/>
      <c r="AD65" s="100"/>
      <c r="AE65" s="100"/>
      <c r="AF65" s="100"/>
      <c r="AG65" s="100"/>
      <c r="AH65" s="100"/>
      <c r="AI65" s="100"/>
      <c r="AJ65" s="100"/>
      <c r="AK65" s="100"/>
      <c r="AL65" s="100"/>
      <c r="AM65" s="100"/>
      <c r="AN65" s="100"/>
      <c r="AO65" s="100"/>
      <c r="AP65" s="100"/>
      <c r="AQ65" s="100"/>
      <c r="AR65" s="100"/>
      <c r="AS65" s="100"/>
      <c r="AT65" s="100"/>
      <c r="AU65" s="100"/>
      <c r="AV65" s="100"/>
      <c r="AW65" s="100"/>
      <c r="AX65" s="100"/>
      <c r="AY65" s="100"/>
      <c r="AZ65" s="100"/>
      <c r="BA65" s="100"/>
      <c r="BB65" s="100"/>
      <c r="BC65" s="100"/>
    </row>
    <row r="66" spans="1:55" ht="33.950000000000003" customHeight="1">
      <c r="A66" s="84" t="s">
        <v>184</v>
      </c>
      <c r="B66" s="84"/>
      <c r="C66" s="84"/>
      <c r="D66" s="84"/>
      <c r="E66" s="84"/>
      <c r="F66" s="84"/>
      <c r="G66" s="84"/>
      <c r="H66" s="84"/>
      <c r="I66" s="84"/>
      <c r="J66" s="84"/>
      <c r="K66" s="84"/>
      <c r="L66" s="84"/>
      <c r="M66" s="84"/>
      <c r="N66" s="84"/>
      <c r="O66" s="84"/>
      <c r="P66" s="84"/>
      <c r="Q66" s="84"/>
      <c r="R66" s="84"/>
      <c r="S66" s="84"/>
      <c r="T66" s="84"/>
      <c r="U66" s="84"/>
      <c r="V66" s="84"/>
      <c r="W66" s="84"/>
      <c r="X66" s="84"/>
      <c r="Y66" s="84"/>
      <c r="Z66" s="84"/>
      <c r="AA66" s="84"/>
      <c r="AB66" s="84"/>
      <c r="AC66" s="84"/>
      <c r="AD66" s="84"/>
      <c r="AE66" s="84"/>
      <c r="AF66" s="84"/>
      <c r="AG66" s="84"/>
      <c r="AH66" s="84"/>
      <c r="AI66" s="84"/>
      <c r="AJ66" s="84"/>
      <c r="AK66" s="84"/>
      <c r="AL66" s="84"/>
      <c r="AM66" s="84"/>
      <c r="AN66" s="84"/>
      <c r="AO66" s="84"/>
      <c r="AP66" s="84"/>
      <c r="AQ66" s="84"/>
      <c r="AR66" s="84"/>
      <c r="AS66" s="84"/>
      <c r="AT66" s="84"/>
      <c r="AU66" s="84"/>
      <c r="AV66" s="84"/>
      <c r="AW66" s="84"/>
      <c r="AX66" s="84"/>
      <c r="AY66" s="84"/>
      <c r="AZ66" s="84"/>
      <c r="BA66" s="84"/>
      <c r="BB66" s="84"/>
      <c r="BC66" s="84"/>
    </row>
    <row r="67" spans="1:55" ht="34.5" customHeight="1">
      <c r="A67" s="84" t="s">
        <v>185</v>
      </c>
      <c r="B67" s="84"/>
      <c r="C67" s="84"/>
      <c r="D67" s="84"/>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c r="AF67" s="84"/>
      <c r="AG67" s="84"/>
      <c r="AH67" s="84"/>
      <c r="AI67" s="84"/>
      <c r="AJ67" s="84"/>
      <c r="AK67" s="84"/>
      <c r="AL67" s="84"/>
      <c r="AM67" s="84"/>
      <c r="AN67" s="84"/>
      <c r="AO67" s="84"/>
      <c r="AP67" s="84"/>
      <c r="AQ67" s="84"/>
      <c r="AR67" s="84"/>
      <c r="AS67" s="84"/>
      <c r="AT67" s="84"/>
      <c r="AU67" s="84"/>
      <c r="AV67" s="84"/>
      <c r="AW67" s="84"/>
      <c r="AX67" s="84"/>
      <c r="AY67" s="84"/>
      <c r="AZ67" s="84"/>
      <c r="BA67" s="84"/>
      <c r="BB67" s="84"/>
      <c r="BC67" s="84"/>
    </row>
    <row r="68" spans="1:55" ht="22.5" customHeight="1">
      <c r="A68" s="84" t="s">
        <v>11</v>
      </c>
      <c r="B68" s="84"/>
      <c r="C68" s="84"/>
      <c r="D68" s="84"/>
      <c r="E68" s="84"/>
      <c r="F68" s="84"/>
      <c r="G68" s="84"/>
      <c r="H68" s="84"/>
      <c r="I68" s="84"/>
      <c r="J68" s="84"/>
      <c r="K68" s="84"/>
      <c r="L68" s="84"/>
      <c r="M68" s="84"/>
      <c r="N68" s="84"/>
      <c r="O68" s="84"/>
      <c r="P68" s="84"/>
      <c r="Q68" s="84"/>
      <c r="R68" s="84"/>
      <c r="S68" s="84"/>
      <c r="T68" s="84"/>
      <c r="U68" s="84"/>
      <c r="V68" s="84"/>
      <c r="W68" s="84"/>
      <c r="X68" s="84"/>
      <c r="Y68" s="84"/>
      <c r="Z68" s="84"/>
      <c r="AA68" s="84"/>
      <c r="AB68" s="84"/>
      <c r="AC68" s="84"/>
      <c r="AD68" s="84"/>
      <c r="AE68" s="84"/>
      <c r="AF68" s="84"/>
      <c r="AG68" s="84"/>
      <c r="AH68" s="84"/>
      <c r="AI68" s="84"/>
      <c r="AJ68" s="84"/>
      <c r="AK68" s="84"/>
      <c r="AL68" s="84"/>
      <c r="AM68" s="84"/>
      <c r="AN68" s="84"/>
      <c r="AO68" s="84"/>
      <c r="AP68" s="84"/>
      <c r="AQ68" s="84"/>
      <c r="AR68" s="84"/>
      <c r="AS68" s="84"/>
      <c r="AT68" s="84"/>
      <c r="AU68" s="84"/>
      <c r="AV68" s="84"/>
      <c r="AW68" s="84"/>
      <c r="AX68" s="84"/>
      <c r="AY68" s="84"/>
      <c r="AZ68" s="84"/>
      <c r="BA68" s="84"/>
      <c r="BB68" s="84"/>
      <c r="BC68" s="84"/>
    </row>
    <row r="69" spans="1:55" ht="22.5" customHeight="1">
      <c r="A69" s="84" t="s">
        <v>12</v>
      </c>
      <c r="B69" s="84"/>
      <c r="C69" s="84"/>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c r="AF69" s="84"/>
      <c r="AG69" s="84"/>
      <c r="AH69" s="84"/>
      <c r="AI69" s="84"/>
      <c r="AJ69" s="84"/>
      <c r="AK69" s="84"/>
      <c r="AL69" s="84"/>
      <c r="AM69" s="84"/>
      <c r="AN69" s="84"/>
      <c r="AO69" s="84"/>
      <c r="AP69" s="84"/>
      <c r="AQ69" s="84"/>
      <c r="AR69" s="84"/>
      <c r="AS69" s="84"/>
      <c r="AT69" s="84"/>
      <c r="AU69" s="84"/>
      <c r="AV69" s="84"/>
      <c r="AW69" s="84"/>
      <c r="AX69" s="84"/>
      <c r="AY69" s="84"/>
      <c r="AZ69" s="84"/>
      <c r="BA69" s="84"/>
      <c r="BB69" s="84"/>
      <c r="BC69" s="84"/>
    </row>
    <row r="70" spans="1:55" ht="22.5" customHeight="1">
      <c r="A70" s="84" t="s">
        <v>77</v>
      </c>
      <c r="B70" s="84"/>
      <c r="C70" s="84"/>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c r="AF70" s="84"/>
      <c r="AG70" s="84"/>
      <c r="AH70" s="84"/>
      <c r="AI70" s="84"/>
      <c r="AJ70" s="84"/>
      <c r="AK70" s="84"/>
      <c r="AL70" s="84"/>
      <c r="AM70" s="84"/>
      <c r="AN70" s="84"/>
      <c r="AO70" s="84"/>
      <c r="AP70" s="84"/>
      <c r="AQ70" s="84"/>
      <c r="AR70" s="84"/>
      <c r="AS70" s="84"/>
      <c r="AT70" s="84"/>
      <c r="AU70" s="84"/>
      <c r="AV70" s="84"/>
      <c r="AW70" s="84"/>
      <c r="AX70" s="84"/>
      <c r="AY70" s="84"/>
      <c r="AZ70" s="84"/>
      <c r="BA70" s="84"/>
      <c r="BB70" s="84"/>
      <c r="BC70" s="84"/>
    </row>
    <row r="71" spans="1:55" ht="69.75" customHeight="1">
      <c r="A71" s="99" t="s">
        <v>186</v>
      </c>
      <c r="B71" s="99"/>
      <c r="C71" s="99"/>
      <c r="D71" s="99"/>
      <c r="E71" s="99"/>
      <c r="F71" s="99"/>
      <c r="G71" s="99"/>
      <c r="H71" s="99"/>
      <c r="I71" s="99"/>
      <c r="J71" s="99"/>
      <c r="K71" s="99"/>
      <c r="L71" s="99"/>
      <c r="M71" s="99"/>
      <c r="N71" s="99"/>
      <c r="O71" s="99"/>
      <c r="P71" s="99"/>
      <c r="Q71" s="99"/>
      <c r="R71" s="99"/>
      <c r="S71" s="99"/>
      <c r="T71" s="99"/>
      <c r="U71" s="99"/>
      <c r="V71" s="99"/>
      <c r="W71" s="99"/>
      <c r="X71" s="99"/>
      <c r="Y71" s="99"/>
      <c r="Z71" s="99"/>
      <c r="AA71" s="99"/>
      <c r="AB71" s="99"/>
      <c r="AC71" s="99"/>
      <c r="AD71" s="99"/>
      <c r="AE71" s="99"/>
      <c r="AF71" s="99"/>
      <c r="AG71" s="99"/>
      <c r="AH71" s="99"/>
      <c r="AI71" s="99"/>
      <c r="AJ71" s="99"/>
      <c r="AK71" s="99"/>
      <c r="AL71" s="99"/>
      <c r="AM71" s="99"/>
      <c r="AN71" s="99"/>
      <c r="AO71" s="99"/>
      <c r="AP71" s="99"/>
      <c r="AQ71" s="99"/>
      <c r="AR71" s="99"/>
      <c r="AS71" s="99"/>
      <c r="AT71" s="99"/>
      <c r="AU71" s="99"/>
      <c r="AV71" s="99"/>
      <c r="AW71" s="99"/>
      <c r="AX71" s="99"/>
      <c r="AY71" s="99"/>
      <c r="AZ71" s="99"/>
      <c r="BA71" s="99"/>
      <c r="BB71" s="99"/>
      <c r="BC71" s="99"/>
    </row>
    <row r="72" spans="1:55">
      <c r="A72" s="89" t="s">
        <v>14</v>
      </c>
      <c r="B72" s="89"/>
      <c r="C72" s="89"/>
      <c r="D72" s="89"/>
      <c r="E72" s="89"/>
      <c r="F72" s="89"/>
      <c r="G72" s="89"/>
      <c r="H72" s="89"/>
      <c r="I72" s="89"/>
      <c r="J72" s="89"/>
      <c r="K72" s="89"/>
      <c r="L72" s="89"/>
      <c r="M72" s="89"/>
      <c r="N72" s="89"/>
      <c r="O72" s="89"/>
      <c r="P72" s="89"/>
      <c r="Q72" s="89"/>
      <c r="R72" s="89"/>
      <c r="S72" s="89"/>
      <c r="T72" s="89"/>
      <c r="U72" s="89"/>
      <c r="V72" s="89"/>
      <c r="W72" s="89"/>
      <c r="X72" s="89"/>
      <c r="Y72" s="89"/>
      <c r="Z72" s="89"/>
      <c r="AA72" s="89"/>
      <c r="AB72" s="89"/>
      <c r="AC72" s="89"/>
      <c r="AD72" s="89"/>
      <c r="AE72" s="89"/>
      <c r="AF72" s="89"/>
      <c r="AG72" s="89"/>
      <c r="AH72" s="89"/>
      <c r="AI72" s="89"/>
      <c r="AJ72" s="89"/>
      <c r="AK72" s="89"/>
      <c r="AL72" s="89"/>
      <c r="AM72" s="89"/>
      <c r="AN72" s="89"/>
      <c r="AO72" s="89"/>
      <c r="AP72" s="89"/>
      <c r="AQ72" s="89"/>
      <c r="AR72" s="89"/>
      <c r="AS72" s="89"/>
      <c r="AT72" s="89"/>
      <c r="AU72" s="89"/>
      <c r="AV72" s="89"/>
      <c r="AW72" s="89"/>
      <c r="AX72" s="89"/>
      <c r="AY72" s="89"/>
      <c r="AZ72" s="89"/>
      <c r="BA72" s="89"/>
      <c r="BB72" s="89"/>
      <c r="BC72" s="89"/>
    </row>
    <row r="73" spans="1:55" ht="22.5" customHeight="1">
      <c r="A73" s="99" t="s">
        <v>47</v>
      </c>
      <c r="B73" s="99"/>
      <c r="C73" s="99"/>
      <c r="D73" s="99"/>
      <c r="E73" s="99"/>
      <c r="F73" s="99"/>
      <c r="G73" s="99"/>
      <c r="H73" s="99"/>
      <c r="I73" s="99"/>
      <c r="J73" s="99"/>
      <c r="K73" s="99"/>
      <c r="L73" s="99"/>
      <c r="M73" s="99"/>
      <c r="N73" s="99"/>
      <c r="O73" s="99"/>
      <c r="P73" s="99"/>
      <c r="Q73" s="99"/>
      <c r="R73" s="99"/>
      <c r="S73" s="99"/>
      <c r="T73" s="99"/>
      <c r="U73" s="99"/>
      <c r="V73" s="99"/>
      <c r="W73" s="99"/>
      <c r="X73" s="99"/>
      <c r="Y73" s="99"/>
      <c r="Z73" s="99"/>
      <c r="AA73" s="99"/>
      <c r="AB73" s="99"/>
      <c r="AC73" s="99"/>
      <c r="AD73" s="99"/>
      <c r="AE73" s="99"/>
      <c r="AF73" s="99"/>
      <c r="AG73" s="99"/>
      <c r="AH73" s="99"/>
      <c r="AI73" s="99"/>
      <c r="AJ73" s="99"/>
      <c r="AK73" s="99"/>
      <c r="AL73" s="99"/>
      <c r="AM73" s="99"/>
      <c r="AN73" s="99"/>
      <c r="AO73" s="99"/>
      <c r="AP73" s="99"/>
      <c r="AQ73" s="99"/>
      <c r="AR73" s="99"/>
      <c r="AS73" s="99"/>
      <c r="AT73" s="99"/>
      <c r="AU73" s="99"/>
      <c r="AV73" s="99"/>
      <c r="AW73" s="99"/>
      <c r="AX73" s="99"/>
      <c r="AY73" s="99"/>
      <c r="AZ73" s="99"/>
      <c r="BA73" s="99"/>
      <c r="BB73" s="99"/>
      <c r="BC73" s="99"/>
    </row>
    <row r="74" spans="1:55" ht="33.950000000000003" customHeight="1">
      <c r="A74" s="99" t="s">
        <v>112</v>
      </c>
      <c r="B74" s="99"/>
      <c r="C74" s="99"/>
      <c r="D74" s="99"/>
      <c r="E74" s="99"/>
      <c r="F74" s="99"/>
      <c r="G74" s="99"/>
      <c r="H74" s="99"/>
      <c r="I74" s="99"/>
      <c r="J74" s="99"/>
      <c r="K74" s="99"/>
      <c r="L74" s="99"/>
      <c r="M74" s="99"/>
      <c r="N74" s="99"/>
      <c r="O74" s="99"/>
      <c r="P74" s="99"/>
      <c r="Q74" s="99"/>
      <c r="R74" s="99"/>
      <c r="S74" s="99"/>
      <c r="T74" s="99"/>
      <c r="U74" s="99"/>
      <c r="V74" s="99"/>
      <c r="W74" s="99"/>
      <c r="X74" s="99"/>
      <c r="Y74" s="99"/>
      <c r="Z74" s="99"/>
      <c r="AA74" s="99"/>
      <c r="AB74" s="99"/>
      <c r="AC74" s="99"/>
      <c r="AD74" s="99"/>
      <c r="AE74" s="99"/>
      <c r="AF74" s="99"/>
      <c r="AG74" s="99"/>
      <c r="AH74" s="99"/>
      <c r="AI74" s="99"/>
      <c r="AJ74" s="99"/>
      <c r="AK74" s="99"/>
      <c r="AL74" s="99"/>
      <c r="AM74" s="99"/>
      <c r="AN74" s="99"/>
      <c r="AO74" s="99"/>
      <c r="AP74" s="99"/>
      <c r="AQ74" s="99"/>
      <c r="AR74" s="99"/>
      <c r="AS74" s="99"/>
      <c r="AT74" s="99"/>
      <c r="AU74" s="99"/>
      <c r="AV74" s="99"/>
      <c r="AW74" s="99"/>
      <c r="AX74" s="99"/>
      <c r="AY74" s="99"/>
      <c r="AZ74" s="99"/>
      <c r="BA74" s="99"/>
      <c r="BB74" s="99"/>
      <c r="BC74" s="99"/>
    </row>
    <row r="75" spans="1:55" ht="22.5" customHeight="1">
      <c r="A75" s="99" t="s">
        <v>113</v>
      </c>
      <c r="B75" s="99"/>
      <c r="C75" s="99"/>
      <c r="D75" s="99"/>
      <c r="E75" s="99"/>
      <c r="F75" s="99"/>
      <c r="G75" s="99"/>
      <c r="H75" s="99"/>
      <c r="I75" s="99"/>
      <c r="J75" s="99"/>
      <c r="K75" s="99"/>
      <c r="L75" s="99"/>
      <c r="M75" s="99"/>
      <c r="N75" s="99"/>
      <c r="O75" s="99"/>
      <c r="P75" s="99"/>
      <c r="Q75" s="99"/>
      <c r="R75" s="99"/>
      <c r="S75" s="99"/>
      <c r="T75" s="99"/>
      <c r="U75" s="99"/>
      <c r="V75" s="99"/>
      <c r="W75" s="99"/>
      <c r="X75" s="99"/>
      <c r="Y75" s="99"/>
      <c r="Z75" s="99"/>
      <c r="AA75" s="99"/>
      <c r="AB75" s="99"/>
      <c r="AC75" s="99"/>
      <c r="AD75" s="99"/>
      <c r="AE75" s="99"/>
      <c r="AF75" s="99"/>
      <c r="AG75" s="99"/>
      <c r="AH75" s="99"/>
      <c r="AI75" s="99"/>
      <c r="AJ75" s="99"/>
      <c r="AK75" s="99"/>
      <c r="AL75" s="99"/>
      <c r="AM75" s="99"/>
      <c r="AN75" s="99"/>
      <c r="AO75" s="99"/>
      <c r="AP75" s="99"/>
      <c r="AQ75" s="99"/>
      <c r="AR75" s="99"/>
      <c r="AS75" s="99"/>
      <c r="AT75" s="99"/>
      <c r="AU75" s="99"/>
      <c r="AV75" s="99"/>
      <c r="AW75" s="99"/>
      <c r="AX75" s="99"/>
      <c r="AY75" s="99"/>
      <c r="AZ75" s="99"/>
      <c r="BA75" s="99"/>
      <c r="BB75" s="99"/>
      <c r="BC75" s="99"/>
    </row>
    <row r="76" spans="1:55" ht="22.5" customHeight="1">
      <c r="A76" s="99" t="s">
        <v>114</v>
      </c>
      <c r="B76" s="99"/>
      <c r="C76" s="99"/>
      <c r="D76" s="99"/>
      <c r="E76" s="99"/>
      <c r="F76" s="99"/>
      <c r="G76" s="99"/>
      <c r="H76" s="99"/>
      <c r="I76" s="99"/>
      <c r="J76" s="99"/>
      <c r="K76" s="99"/>
      <c r="L76" s="99"/>
      <c r="M76" s="99"/>
      <c r="N76" s="99"/>
      <c r="O76" s="99"/>
      <c r="P76" s="99"/>
      <c r="Q76" s="99"/>
      <c r="R76" s="99"/>
      <c r="S76" s="99"/>
      <c r="T76" s="99"/>
      <c r="U76" s="99"/>
      <c r="V76" s="99"/>
      <c r="W76" s="99"/>
      <c r="X76" s="99"/>
      <c r="Y76" s="99"/>
      <c r="Z76" s="99"/>
      <c r="AA76" s="99"/>
      <c r="AB76" s="99"/>
      <c r="AC76" s="99"/>
      <c r="AD76" s="99"/>
      <c r="AE76" s="99"/>
      <c r="AF76" s="99"/>
      <c r="AG76" s="99"/>
      <c r="AH76" s="99"/>
      <c r="AI76" s="99"/>
      <c r="AJ76" s="99"/>
      <c r="AK76" s="99"/>
      <c r="AL76" s="99"/>
      <c r="AM76" s="99"/>
      <c r="AN76" s="99"/>
      <c r="AO76" s="99"/>
      <c r="AP76" s="99"/>
      <c r="AQ76" s="99"/>
      <c r="AR76" s="99"/>
      <c r="AS76" s="99"/>
      <c r="AT76" s="99"/>
      <c r="AU76" s="99"/>
      <c r="AV76" s="99"/>
      <c r="AW76" s="99"/>
      <c r="AX76" s="99"/>
      <c r="AY76" s="99"/>
      <c r="AZ76" s="99"/>
      <c r="BA76" s="99"/>
      <c r="BB76" s="99"/>
      <c r="BC76" s="99"/>
    </row>
    <row r="77" spans="1:55" ht="33" customHeight="1">
      <c r="A77" s="99" t="s">
        <v>115</v>
      </c>
      <c r="B77" s="99"/>
      <c r="C77" s="99"/>
      <c r="D77" s="99"/>
      <c r="E77" s="99"/>
      <c r="F77" s="99"/>
      <c r="G77" s="99"/>
      <c r="H77" s="99"/>
      <c r="I77" s="99"/>
      <c r="J77" s="99"/>
      <c r="K77" s="99"/>
      <c r="L77" s="99"/>
      <c r="M77" s="99"/>
      <c r="N77" s="99"/>
      <c r="O77" s="99"/>
      <c r="P77" s="99"/>
      <c r="Q77" s="99"/>
      <c r="R77" s="99"/>
      <c r="S77" s="99"/>
      <c r="T77" s="99"/>
      <c r="U77" s="99"/>
      <c r="V77" s="99"/>
      <c r="W77" s="99"/>
      <c r="X77" s="99"/>
      <c r="Y77" s="99"/>
      <c r="Z77" s="99"/>
      <c r="AA77" s="99"/>
      <c r="AB77" s="99"/>
      <c r="AC77" s="99"/>
      <c r="AD77" s="99"/>
      <c r="AE77" s="99"/>
      <c r="AF77" s="99"/>
      <c r="AG77" s="99"/>
      <c r="AH77" s="99"/>
      <c r="AI77" s="99"/>
      <c r="AJ77" s="99"/>
      <c r="AK77" s="99"/>
      <c r="AL77" s="99"/>
      <c r="AM77" s="99"/>
      <c r="AN77" s="99"/>
      <c r="AO77" s="99"/>
      <c r="AP77" s="99"/>
      <c r="AQ77" s="99"/>
      <c r="AR77" s="99"/>
      <c r="AS77" s="99"/>
      <c r="AT77" s="99"/>
      <c r="AU77" s="99"/>
      <c r="AV77" s="99"/>
      <c r="AW77" s="99"/>
      <c r="AX77" s="99"/>
      <c r="AY77" s="99"/>
      <c r="AZ77" s="99"/>
      <c r="BA77" s="99"/>
      <c r="BB77" s="99"/>
      <c r="BC77" s="99"/>
    </row>
    <row r="78" spans="1:55" ht="11.25" customHeight="1">
      <c r="A78" s="99" t="s">
        <v>116</v>
      </c>
      <c r="B78" s="99"/>
      <c r="C78" s="99"/>
      <c r="D78" s="99"/>
      <c r="E78" s="99"/>
      <c r="F78" s="99"/>
      <c r="G78" s="99"/>
      <c r="H78" s="99"/>
      <c r="I78" s="99"/>
      <c r="J78" s="99"/>
      <c r="K78" s="99"/>
      <c r="L78" s="99"/>
      <c r="M78" s="99"/>
      <c r="N78" s="99"/>
      <c r="O78" s="99"/>
      <c r="P78" s="99"/>
      <c r="Q78" s="99"/>
      <c r="R78" s="99"/>
      <c r="S78" s="99"/>
      <c r="T78" s="99"/>
      <c r="U78" s="99"/>
      <c r="V78" s="99"/>
      <c r="W78" s="99"/>
      <c r="X78" s="99"/>
      <c r="Y78" s="99"/>
      <c r="Z78" s="99"/>
      <c r="AA78" s="99"/>
      <c r="AB78" s="99"/>
      <c r="AC78" s="99"/>
      <c r="AD78" s="99"/>
      <c r="AE78" s="99"/>
      <c r="AF78" s="99"/>
      <c r="AG78" s="99"/>
      <c r="AH78" s="99"/>
      <c r="AI78" s="99"/>
      <c r="AJ78" s="99"/>
      <c r="AK78" s="99"/>
      <c r="AL78" s="99"/>
      <c r="AM78" s="99"/>
      <c r="AN78" s="99"/>
      <c r="AO78" s="99"/>
      <c r="AP78" s="99"/>
      <c r="AQ78" s="99"/>
      <c r="AR78" s="99"/>
      <c r="AS78" s="99"/>
      <c r="AT78" s="99"/>
      <c r="AU78" s="99"/>
      <c r="AV78" s="99"/>
      <c r="AW78" s="99"/>
      <c r="AX78" s="99"/>
      <c r="AY78" s="99"/>
      <c r="AZ78" s="99"/>
      <c r="BA78" s="99"/>
      <c r="BB78" s="99"/>
      <c r="BC78" s="99"/>
    </row>
    <row r="79" spans="1:55" ht="11.25" customHeight="1">
      <c r="A79" s="100" t="s">
        <v>53</v>
      </c>
      <c r="B79" s="100"/>
      <c r="C79" s="100"/>
      <c r="D79" s="100"/>
      <c r="E79" s="100"/>
      <c r="F79" s="100"/>
      <c r="G79" s="100"/>
      <c r="H79" s="100"/>
      <c r="I79" s="100"/>
      <c r="J79" s="100"/>
      <c r="K79" s="100"/>
      <c r="L79" s="100"/>
      <c r="M79" s="100"/>
      <c r="N79" s="100"/>
      <c r="O79" s="100"/>
      <c r="P79" s="100"/>
      <c r="Q79" s="100"/>
      <c r="R79" s="100"/>
      <c r="S79" s="100"/>
      <c r="T79" s="100"/>
      <c r="U79" s="100"/>
      <c r="V79" s="100"/>
      <c r="W79" s="100"/>
      <c r="X79" s="100"/>
      <c r="Y79" s="100"/>
      <c r="Z79" s="100"/>
      <c r="AA79" s="100"/>
      <c r="AB79" s="100"/>
      <c r="AC79" s="100"/>
      <c r="AD79" s="100"/>
      <c r="AE79" s="100"/>
      <c r="AF79" s="100"/>
      <c r="AG79" s="100"/>
      <c r="AH79" s="100"/>
      <c r="AI79" s="100"/>
      <c r="AJ79" s="100"/>
      <c r="AK79" s="100"/>
      <c r="AL79" s="100"/>
      <c r="AM79" s="100"/>
      <c r="AN79" s="100"/>
      <c r="AO79" s="100"/>
      <c r="AP79" s="100"/>
      <c r="AQ79" s="100"/>
      <c r="AR79" s="100"/>
      <c r="AS79" s="100"/>
      <c r="AT79" s="100"/>
      <c r="AU79" s="100"/>
      <c r="AV79" s="100"/>
      <c r="AW79" s="100"/>
      <c r="AX79" s="100"/>
      <c r="AY79" s="100"/>
      <c r="AZ79" s="100"/>
      <c r="BA79" s="100"/>
      <c r="BB79" s="100"/>
      <c r="BC79" s="100"/>
    </row>
    <row r="80" spans="1:55" ht="11.25" customHeight="1">
      <c r="A80" s="100" t="s">
        <v>187</v>
      </c>
      <c r="B80" s="100"/>
      <c r="C80" s="100"/>
      <c r="D80" s="100"/>
      <c r="E80" s="100"/>
      <c r="F80" s="100"/>
      <c r="G80" s="100"/>
      <c r="H80" s="100"/>
      <c r="I80" s="100"/>
      <c r="J80" s="100"/>
      <c r="K80" s="100"/>
      <c r="L80" s="100"/>
      <c r="M80" s="100"/>
      <c r="N80" s="100"/>
      <c r="O80" s="100"/>
      <c r="P80" s="100"/>
      <c r="Q80" s="100"/>
      <c r="R80" s="100"/>
      <c r="S80" s="100"/>
      <c r="T80" s="100"/>
      <c r="U80" s="100"/>
      <c r="V80" s="100"/>
      <c r="W80" s="100"/>
      <c r="X80" s="100"/>
      <c r="Y80" s="100"/>
      <c r="Z80" s="100"/>
      <c r="AA80" s="100"/>
      <c r="AB80" s="100"/>
      <c r="AC80" s="100"/>
      <c r="AD80" s="100"/>
      <c r="AE80" s="100"/>
      <c r="AF80" s="100"/>
      <c r="AG80" s="100"/>
      <c r="AH80" s="100"/>
      <c r="AI80" s="100"/>
      <c r="AJ80" s="100"/>
      <c r="AK80" s="100"/>
      <c r="AL80" s="100"/>
      <c r="AM80" s="100"/>
      <c r="AN80" s="100"/>
      <c r="AO80" s="100"/>
      <c r="AP80" s="100"/>
      <c r="AQ80" s="100"/>
      <c r="AR80" s="100"/>
      <c r="AS80" s="100"/>
      <c r="AT80" s="100"/>
      <c r="AU80" s="100"/>
      <c r="AV80" s="100"/>
      <c r="AW80" s="100"/>
      <c r="AX80" s="100"/>
      <c r="AY80" s="100"/>
      <c r="AZ80" s="100"/>
      <c r="BA80" s="100"/>
      <c r="BB80" s="100"/>
      <c r="BC80" s="100"/>
    </row>
    <row r="81" spans="1:55" ht="11.25" customHeight="1">
      <c r="A81" s="100" t="s">
        <v>117</v>
      </c>
      <c r="B81" s="100"/>
      <c r="C81" s="100"/>
      <c r="D81" s="100"/>
      <c r="E81" s="100"/>
      <c r="F81" s="100"/>
      <c r="G81" s="100"/>
      <c r="H81" s="100"/>
      <c r="I81" s="100"/>
      <c r="J81" s="100"/>
      <c r="K81" s="100"/>
      <c r="L81" s="100"/>
      <c r="M81" s="100"/>
      <c r="N81" s="100"/>
      <c r="O81" s="100"/>
      <c r="P81" s="100"/>
      <c r="Q81" s="100"/>
      <c r="R81" s="100"/>
      <c r="S81" s="100"/>
      <c r="T81" s="100"/>
      <c r="U81" s="100"/>
      <c r="V81" s="100"/>
      <c r="W81" s="100"/>
      <c r="X81" s="100"/>
      <c r="Y81" s="100"/>
      <c r="Z81" s="100"/>
      <c r="AA81" s="100"/>
      <c r="AB81" s="100"/>
      <c r="AC81" s="100"/>
      <c r="AD81" s="100"/>
      <c r="AE81" s="100"/>
      <c r="AF81" s="100"/>
      <c r="AG81" s="100"/>
      <c r="AH81" s="100"/>
      <c r="AI81" s="100"/>
      <c r="AJ81" s="100"/>
      <c r="AK81" s="100"/>
      <c r="AL81" s="100"/>
      <c r="AM81" s="100"/>
      <c r="AN81" s="100"/>
      <c r="AO81" s="100"/>
      <c r="AP81" s="100"/>
      <c r="AQ81" s="100"/>
      <c r="AR81" s="100"/>
      <c r="AS81" s="100"/>
      <c r="AT81" s="100"/>
      <c r="AU81" s="100"/>
      <c r="AV81" s="100"/>
      <c r="AW81" s="100"/>
      <c r="AX81" s="100"/>
      <c r="AY81" s="100"/>
      <c r="AZ81" s="100"/>
      <c r="BA81" s="100"/>
      <c r="BB81" s="100"/>
      <c r="BC81" s="100"/>
    </row>
    <row r="82" spans="1:55" ht="11.25" customHeight="1">
      <c r="A82" s="100" t="s">
        <v>118</v>
      </c>
      <c r="B82" s="100"/>
      <c r="C82" s="100"/>
      <c r="D82" s="100"/>
      <c r="E82" s="100"/>
      <c r="F82" s="100"/>
      <c r="G82" s="100"/>
      <c r="H82" s="100"/>
      <c r="I82" s="100"/>
      <c r="J82" s="100"/>
      <c r="K82" s="100"/>
      <c r="L82" s="100"/>
      <c r="M82" s="100"/>
      <c r="N82" s="100"/>
      <c r="O82" s="100"/>
      <c r="P82" s="100"/>
      <c r="Q82" s="100"/>
      <c r="R82" s="100"/>
      <c r="S82" s="100"/>
      <c r="T82" s="100"/>
      <c r="U82" s="100"/>
      <c r="V82" s="100"/>
      <c r="W82" s="100"/>
      <c r="X82" s="100"/>
      <c r="Y82" s="100"/>
      <c r="Z82" s="100"/>
      <c r="AA82" s="100"/>
      <c r="AB82" s="100"/>
      <c r="AC82" s="100"/>
      <c r="AD82" s="100"/>
      <c r="AE82" s="100"/>
      <c r="AF82" s="100"/>
      <c r="AG82" s="100"/>
      <c r="AH82" s="100"/>
      <c r="AI82" s="100"/>
      <c r="AJ82" s="100"/>
      <c r="AK82" s="100"/>
      <c r="AL82" s="100"/>
      <c r="AM82" s="100"/>
      <c r="AN82" s="100"/>
      <c r="AO82" s="100"/>
      <c r="AP82" s="100"/>
      <c r="AQ82" s="100"/>
      <c r="AR82" s="100"/>
      <c r="AS82" s="100"/>
      <c r="AT82" s="100"/>
      <c r="AU82" s="100"/>
      <c r="AV82" s="100"/>
      <c r="AW82" s="100"/>
      <c r="AX82" s="100"/>
      <c r="AY82" s="100"/>
      <c r="AZ82" s="100"/>
      <c r="BA82" s="100"/>
      <c r="BB82" s="100"/>
      <c r="BC82" s="100"/>
    </row>
    <row r="83" spans="1:55" ht="22.5" customHeight="1">
      <c r="A83" s="84" t="s">
        <v>188</v>
      </c>
      <c r="B83" s="84"/>
      <c r="C83" s="84"/>
      <c r="D83" s="84"/>
      <c r="E83" s="84"/>
      <c r="F83" s="84"/>
      <c r="G83" s="84"/>
      <c r="H83" s="84"/>
      <c r="I83" s="84"/>
      <c r="J83" s="84"/>
      <c r="K83" s="84"/>
      <c r="L83" s="84"/>
      <c r="M83" s="84"/>
      <c r="N83" s="84"/>
      <c r="O83" s="84"/>
      <c r="P83" s="84"/>
      <c r="Q83" s="84"/>
      <c r="R83" s="84"/>
      <c r="S83" s="84"/>
      <c r="T83" s="84"/>
      <c r="U83" s="84"/>
      <c r="V83" s="84"/>
      <c r="W83" s="84"/>
      <c r="X83" s="84"/>
      <c r="Y83" s="84"/>
      <c r="Z83" s="84"/>
      <c r="AA83" s="84"/>
      <c r="AB83" s="84"/>
      <c r="AC83" s="84"/>
      <c r="AD83" s="84"/>
      <c r="AE83" s="84"/>
      <c r="AF83" s="84"/>
      <c r="AG83" s="84"/>
      <c r="AH83" s="84"/>
      <c r="AI83" s="84"/>
      <c r="AJ83" s="84"/>
      <c r="AK83" s="84"/>
      <c r="AL83" s="84"/>
      <c r="AM83" s="84"/>
      <c r="AN83" s="84"/>
      <c r="AO83" s="84"/>
      <c r="AP83" s="84"/>
      <c r="AQ83" s="84"/>
      <c r="AR83" s="84"/>
      <c r="AS83" s="84"/>
      <c r="AT83" s="84"/>
      <c r="AU83" s="84"/>
      <c r="AV83" s="84"/>
      <c r="AW83" s="84"/>
      <c r="AX83" s="84"/>
      <c r="AY83" s="84"/>
      <c r="AZ83" s="84"/>
      <c r="BA83" s="84"/>
      <c r="BB83" s="84"/>
      <c r="BC83" s="84"/>
    </row>
    <row r="84" spans="1:55" ht="11.25" customHeight="1">
      <c r="A84" s="99" t="s">
        <v>119</v>
      </c>
      <c r="B84" s="99"/>
      <c r="C84" s="99"/>
      <c r="D84" s="99"/>
      <c r="E84" s="99"/>
      <c r="F84" s="99"/>
      <c r="G84" s="99"/>
      <c r="H84" s="99"/>
      <c r="I84" s="99"/>
      <c r="J84" s="99"/>
      <c r="K84" s="99"/>
      <c r="L84" s="99"/>
      <c r="M84" s="99"/>
      <c r="N84" s="99"/>
      <c r="O84" s="99"/>
      <c r="P84" s="99"/>
      <c r="Q84" s="99"/>
      <c r="R84" s="99"/>
      <c r="S84" s="99"/>
      <c r="T84" s="99"/>
      <c r="U84" s="99"/>
      <c r="V84" s="99"/>
      <c r="W84" s="99"/>
      <c r="X84" s="99"/>
      <c r="Y84" s="99"/>
      <c r="Z84" s="99"/>
      <c r="AA84" s="99"/>
      <c r="AB84" s="99"/>
      <c r="AC84" s="99"/>
      <c r="AD84" s="99"/>
      <c r="AE84" s="99"/>
      <c r="AF84" s="99"/>
      <c r="AG84" s="99"/>
      <c r="AH84" s="99"/>
      <c r="AI84" s="99"/>
      <c r="AJ84" s="99"/>
      <c r="AK84" s="99"/>
      <c r="AL84" s="99"/>
      <c r="AM84" s="99"/>
      <c r="AN84" s="99"/>
      <c r="AO84" s="99"/>
      <c r="AP84" s="99"/>
      <c r="AQ84" s="99"/>
      <c r="AR84" s="99"/>
      <c r="AS84" s="99"/>
      <c r="AT84" s="99"/>
      <c r="AU84" s="99"/>
      <c r="AV84" s="99"/>
      <c r="AW84" s="99"/>
      <c r="AX84" s="99"/>
      <c r="AY84" s="99"/>
      <c r="AZ84" s="99"/>
      <c r="BA84" s="99"/>
      <c r="BB84" s="99"/>
      <c r="BC84" s="99"/>
    </row>
    <row r="85" spans="1:55" ht="47.25" customHeight="1">
      <c r="A85" s="84" t="s">
        <v>120</v>
      </c>
      <c r="B85" s="84"/>
      <c r="C85" s="84"/>
      <c r="D85" s="84"/>
      <c r="E85" s="84"/>
      <c r="F85" s="84"/>
      <c r="G85" s="84"/>
      <c r="H85" s="84"/>
      <c r="I85" s="84"/>
      <c r="J85" s="84"/>
      <c r="K85" s="84"/>
      <c r="L85" s="84"/>
      <c r="M85" s="84"/>
      <c r="N85" s="84"/>
      <c r="O85" s="84"/>
      <c r="P85" s="84"/>
      <c r="Q85" s="84"/>
      <c r="R85" s="84"/>
      <c r="S85" s="84"/>
      <c r="T85" s="84"/>
      <c r="U85" s="84"/>
      <c r="V85" s="84"/>
      <c r="W85" s="84"/>
      <c r="X85" s="84"/>
      <c r="Y85" s="84"/>
      <c r="Z85" s="84"/>
      <c r="AA85" s="84"/>
      <c r="AB85" s="84"/>
      <c r="AC85" s="84"/>
      <c r="AD85" s="84"/>
      <c r="AE85" s="84"/>
      <c r="AF85" s="84"/>
      <c r="AG85" s="84"/>
      <c r="AH85" s="84"/>
      <c r="AI85" s="84"/>
      <c r="AJ85" s="84"/>
      <c r="AK85" s="84"/>
      <c r="AL85" s="84"/>
      <c r="AM85" s="84"/>
      <c r="AN85" s="84"/>
      <c r="AO85" s="84"/>
      <c r="AP85" s="84"/>
      <c r="AQ85" s="84"/>
      <c r="AR85" s="84"/>
      <c r="AS85" s="84"/>
      <c r="AT85" s="84"/>
      <c r="AU85" s="84"/>
      <c r="AV85" s="84"/>
      <c r="AW85" s="84"/>
      <c r="AX85" s="84"/>
      <c r="AY85" s="84"/>
      <c r="AZ85" s="84"/>
      <c r="BA85" s="84"/>
      <c r="BB85" s="84"/>
      <c r="BC85" s="84"/>
    </row>
    <row r="86" spans="1:55" ht="22.5" customHeight="1">
      <c r="A86" s="84" t="s">
        <v>55</v>
      </c>
      <c r="B86" s="84"/>
      <c r="C86" s="84"/>
      <c r="D86" s="84"/>
      <c r="E86" s="84"/>
      <c r="F86" s="84"/>
      <c r="G86" s="84"/>
      <c r="H86" s="84"/>
      <c r="I86" s="84"/>
      <c r="J86" s="84"/>
      <c r="K86" s="84"/>
      <c r="L86" s="84"/>
      <c r="M86" s="84"/>
      <c r="N86" s="84"/>
      <c r="O86" s="84"/>
      <c r="P86" s="84"/>
      <c r="Q86" s="84"/>
      <c r="R86" s="84"/>
      <c r="S86" s="84"/>
      <c r="T86" s="84"/>
      <c r="U86" s="84"/>
      <c r="V86" s="84"/>
      <c r="W86" s="84"/>
      <c r="X86" s="84"/>
      <c r="Y86" s="84"/>
      <c r="Z86" s="84"/>
      <c r="AA86" s="84"/>
      <c r="AB86" s="84"/>
      <c r="AC86" s="84"/>
      <c r="AD86" s="84"/>
      <c r="AE86" s="84"/>
      <c r="AF86" s="84"/>
      <c r="AG86" s="84"/>
      <c r="AH86" s="84"/>
      <c r="AI86" s="84"/>
      <c r="AJ86" s="84"/>
      <c r="AK86" s="84"/>
      <c r="AL86" s="84"/>
      <c r="AM86" s="84"/>
      <c r="AN86" s="84"/>
      <c r="AO86" s="84"/>
      <c r="AP86" s="84"/>
      <c r="AQ86" s="84"/>
      <c r="AR86" s="84"/>
      <c r="AS86" s="84"/>
      <c r="AT86" s="84"/>
      <c r="AU86" s="84"/>
      <c r="AV86" s="84"/>
      <c r="AW86" s="84"/>
      <c r="AX86" s="84"/>
      <c r="AY86" s="84"/>
      <c r="AZ86" s="84"/>
      <c r="BA86" s="84"/>
      <c r="BB86" s="84"/>
      <c r="BC86" s="84"/>
    </row>
    <row r="87" spans="1:55">
      <c r="A87" s="89" t="s">
        <v>15</v>
      </c>
      <c r="B87" s="89"/>
      <c r="C87" s="89"/>
      <c r="D87" s="89"/>
      <c r="E87" s="89"/>
      <c r="F87" s="89"/>
      <c r="G87" s="89"/>
      <c r="H87" s="89"/>
      <c r="I87" s="89"/>
      <c r="J87" s="89"/>
      <c r="K87" s="89"/>
      <c r="L87" s="89"/>
      <c r="M87" s="89"/>
      <c r="N87" s="89"/>
      <c r="O87" s="89"/>
      <c r="P87" s="89"/>
      <c r="Q87" s="89"/>
      <c r="R87" s="89"/>
      <c r="S87" s="89"/>
      <c r="T87" s="89"/>
      <c r="U87" s="89"/>
      <c r="V87" s="89"/>
      <c r="W87" s="89"/>
      <c r="X87" s="89"/>
      <c r="Y87" s="89"/>
      <c r="Z87" s="89"/>
      <c r="AA87" s="89"/>
      <c r="AB87" s="89"/>
      <c r="AC87" s="89"/>
      <c r="AD87" s="89"/>
      <c r="AE87" s="89"/>
      <c r="AF87" s="89"/>
      <c r="AG87" s="89"/>
      <c r="AH87" s="89"/>
      <c r="AI87" s="89"/>
      <c r="AJ87" s="89"/>
      <c r="AK87" s="89"/>
      <c r="AL87" s="89"/>
      <c r="AM87" s="89"/>
      <c r="AN87" s="89"/>
      <c r="AO87" s="89"/>
      <c r="AP87" s="89"/>
      <c r="AQ87" s="89"/>
      <c r="AR87" s="89"/>
      <c r="AS87" s="89"/>
      <c r="AT87" s="89"/>
      <c r="AU87" s="89"/>
      <c r="AV87" s="89"/>
      <c r="AW87" s="89"/>
      <c r="AX87" s="89"/>
      <c r="AY87" s="89"/>
      <c r="AZ87" s="89"/>
      <c r="BA87" s="89"/>
      <c r="BB87" s="89"/>
      <c r="BC87" s="89"/>
    </row>
    <row r="88" spans="1:55" ht="33.950000000000003" customHeight="1">
      <c r="A88" s="99" t="s">
        <v>121</v>
      </c>
      <c r="B88" s="99"/>
      <c r="C88" s="99"/>
      <c r="D88" s="99"/>
      <c r="E88" s="99"/>
      <c r="F88" s="99"/>
      <c r="G88" s="99"/>
      <c r="H88" s="99"/>
      <c r="I88" s="99"/>
      <c r="J88" s="99"/>
      <c r="K88" s="99"/>
      <c r="L88" s="99"/>
      <c r="M88" s="99"/>
      <c r="N88" s="99"/>
      <c r="O88" s="99"/>
      <c r="P88" s="99"/>
      <c r="Q88" s="99"/>
      <c r="R88" s="99"/>
      <c r="S88" s="99"/>
      <c r="T88" s="99"/>
      <c r="U88" s="99"/>
      <c r="V88" s="99"/>
      <c r="W88" s="99"/>
      <c r="X88" s="99"/>
      <c r="Y88" s="99"/>
      <c r="Z88" s="99"/>
      <c r="AA88" s="99"/>
      <c r="AB88" s="99"/>
      <c r="AC88" s="99"/>
      <c r="AD88" s="99"/>
      <c r="AE88" s="99"/>
      <c r="AF88" s="99"/>
      <c r="AG88" s="99"/>
      <c r="AH88" s="99"/>
      <c r="AI88" s="99"/>
      <c r="AJ88" s="99"/>
      <c r="AK88" s="99"/>
      <c r="AL88" s="99"/>
      <c r="AM88" s="99"/>
      <c r="AN88" s="99"/>
      <c r="AO88" s="99"/>
      <c r="AP88" s="99"/>
      <c r="AQ88" s="99"/>
      <c r="AR88" s="99"/>
      <c r="AS88" s="99"/>
      <c r="AT88" s="99"/>
      <c r="AU88" s="99"/>
      <c r="AV88" s="99"/>
      <c r="AW88" s="99"/>
      <c r="AX88" s="99"/>
      <c r="AY88" s="99"/>
      <c r="AZ88" s="99"/>
      <c r="BA88" s="99"/>
      <c r="BB88" s="99"/>
      <c r="BC88" s="99"/>
    </row>
    <row r="89" spans="1:55" ht="45.2" customHeight="1">
      <c r="A89" s="99" t="s">
        <v>122</v>
      </c>
      <c r="B89" s="99"/>
      <c r="C89" s="99"/>
      <c r="D89" s="99"/>
      <c r="E89" s="99"/>
      <c r="F89" s="99"/>
      <c r="G89" s="99"/>
      <c r="H89" s="99"/>
      <c r="I89" s="99"/>
      <c r="J89" s="99"/>
      <c r="K89" s="99"/>
      <c r="L89" s="99"/>
      <c r="M89" s="99"/>
      <c r="N89" s="99"/>
      <c r="O89" s="99"/>
      <c r="P89" s="99"/>
      <c r="Q89" s="99"/>
      <c r="R89" s="99"/>
      <c r="S89" s="99"/>
      <c r="T89" s="99"/>
      <c r="U89" s="99"/>
      <c r="V89" s="99"/>
      <c r="W89" s="99"/>
      <c r="X89" s="99"/>
      <c r="Y89" s="99"/>
      <c r="Z89" s="99"/>
      <c r="AA89" s="99"/>
      <c r="AB89" s="99"/>
      <c r="AC89" s="99"/>
      <c r="AD89" s="99"/>
      <c r="AE89" s="99"/>
      <c r="AF89" s="99"/>
      <c r="AG89" s="99"/>
      <c r="AH89" s="99"/>
      <c r="AI89" s="99"/>
      <c r="AJ89" s="99"/>
      <c r="AK89" s="99"/>
      <c r="AL89" s="99"/>
      <c r="AM89" s="99"/>
      <c r="AN89" s="99"/>
      <c r="AO89" s="99"/>
      <c r="AP89" s="99"/>
      <c r="AQ89" s="99"/>
      <c r="AR89" s="99"/>
      <c r="AS89" s="99"/>
      <c r="AT89" s="99"/>
      <c r="AU89" s="99"/>
      <c r="AV89" s="99"/>
      <c r="AW89" s="99"/>
      <c r="AX89" s="99"/>
      <c r="AY89" s="99"/>
      <c r="AZ89" s="99"/>
      <c r="BA89" s="99"/>
      <c r="BB89" s="99"/>
      <c r="BC89" s="99"/>
    </row>
    <row r="90" spans="1:55" ht="63.75" customHeight="1">
      <c r="A90" s="99" t="s">
        <v>123</v>
      </c>
      <c r="B90" s="99"/>
      <c r="C90" s="99"/>
      <c r="D90" s="99"/>
      <c r="E90" s="99"/>
      <c r="F90" s="99"/>
      <c r="G90" s="99"/>
      <c r="H90" s="99"/>
      <c r="I90" s="99"/>
      <c r="J90" s="99"/>
      <c r="K90" s="99"/>
      <c r="L90" s="99"/>
      <c r="M90" s="99"/>
      <c r="N90" s="99"/>
      <c r="O90" s="99"/>
      <c r="P90" s="99"/>
      <c r="Q90" s="99"/>
      <c r="R90" s="99"/>
      <c r="S90" s="99"/>
      <c r="T90" s="99"/>
      <c r="U90" s="99"/>
      <c r="V90" s="99"/>
      <c r="W90" s="99"/>
      <c r="X90" s="99"/>
      <c r="Y90" s="99"/>
      <c r="Z90" s="99"/>
      <c r="AA90" s="99"/>
      <c r="AB90" s="99"/>
      <c r="AC90" s="99"/>
      <c r="AD90" s="99"/>
      <c r="AE90" s="99"/>
      <c r="AF90" s="99"/>
      <c r="AG90" s="99"/>
      <c r="AH90" s="99"/>
      <c r="AI90" s="99"/>
      <c r="AJ90" s="99"/>
      <c r="AK90" s="99"/>
      <c r="AL90" s="99"/>
      <c r="AM90" s="99"/>
      <c r="AN90" s="99"/>
      <c r="AO90" s="99"/>
      <c r="AP90" s="99"/>
      <c r="AQ90" s="99"/>
      <c r="AR90" s="99"/>
      <c r="AS90" s="99"/>
      <c r="AT90" s="99"/>
      <c r="AU90" s="99"/>
      <c r="AV90" s="99"/>
      <c r="AW90" s="99"/>
      <c r="AX90" s="99"/>
      <c r="AY90" s="99"/>
      <c r="AZ90" s="99"/>
      <c r="BA90" s="99"/>
      <c r="BB90" s="99"/>
      <c r="BC90" s="99"/>
    </row>
    <row r="91" spans="1:55" ht="22.5" customHeight="1">
      <c r="A91" s="99" t="s">
        <v>124</v>
      </c>
      <c r="B91" s="99"/>
      <c r="C91" s="99"/>
      <c r="D91" s="99"/>
      <c r="E91" s="99"/>
      <c r="F91" s="99"/>
      <c r="G91" s="99"/>
      <c r="H91" s="99"/>
      <c r="I91" s="99"/>
      <c r="J91" s="99"/>
      <c r="K91" s="99"/>
      <c r="L91" s="99"/>
      <c r="M91" s="99"/>
      <c r="N91" s="99"/>
      <c r="O91" s="99"/>
      <c r="P91" s="99"/>
      <c r="Q91" s="99"/>
      <c r="R91" s="99"/>
      <c r="S91" s="99"/>
      <c r="T91" s="99"/>
      <c r="U91" s="99"/>
      <c r="V91" s="99"/>
      <c r="W91" s="99"/>
      <c r="X91" s="99"/>
      <c r="Y91" s="99"/>
      <c r="Z91" s="99"/>
      <c r="AA91" s="99"/>
      <c r="AB91" s="99"/>
      <c r="AC91" s="99"/>
      <c r="AD91" s="99"/>
      <c r="AE91" s="99"/>
      <c r="AF91" s="99"/>
      <c r="AG91" s="99"/>
      <c r="AH91" s="99"/>
      <c r="AI91" s="99"/>
      <c r="AJ91" s="99"/>
      <c r="AK91" s="99"/>
      <c r="AL91" s="99"/>
      <c r="AM91" s="99"/>
      <c r="AN91" s="99"/>
      <c r="AO91" s="99"/>
      <c r="AP91" s="99"/>
      <c r="AQ91" s="99"/>
      <c r="AR91" s="99"/>
      <c r="AS91" s="99"/>
      <c r="AT91" s="99"/>
      <c r="AU91" s="99"/>
      <c r="AV91" s="99"/>
      <c r="AW91" s="99"/>
      <c r="AX91" s="99"/>
      <c r="AY91" s="99"/>
      <c r="AZ91" s="99"/>
      <c r="BA91" s="99"/>
      <c r="BB91" s="99"/>
      <c r="BC91" s="99"/>
    </row>
    <row r="92" spans="1:55" ht="22.5" customHeight="1">
      <c r="A92" s="99" t="s">
        <v>125</v>
      </c>
      <c r="B92" s="99"/>
      <c r="C92" s="99"/>
      <c r="D92" s="99"/>
      <c r="E92" s="99"/>
      <c r="F92" s="99"/>
      <c r="G92" s="99"/>
      <c r="H92" s="99"/>
      <c r="I92" s="99"/>
      <c r="J92" s="99"/>
      <c r="K92" s="99"/>
      <c r="L92" s="99"/>
      <c r="M92" s="99"/>
      <c r="N92" s="99"/>
      <c r="O92" s="99"/>
      <c r="P92" s="99"/>
      <c r="Q92" s="99"/>
      <c r="R92" s="99"/>
      <c r="S92" s="99"/>
      <c r="T92" s="99"/>
      <c r="U92" s="99"/>
      <c r="V92" s="99"/>
      <c r="W92" s="99"/>
      <c r="X92" s="99"/>
      <c r="Y92" s="99"/>
      <c r="Z92" s="99"/>
      <c r="AA92" s="99"/>
      <c r="AB92" s="99"/>
      <c r="AC92" s="99"/>
      <c r="AD92" s="99"/>
      <c r="AE92" s="99"/>
      <c r="AF92" s="99"/>
      <c r="AG92" s="99"/>
      <c r="AH92" s="99"/>
      <c r="AI92" s="99"/>
      <c r="AJ92" s="99"/>
      <c r="AK92" s="99"/>
      <c r="AL92" s="99"/>
      <c r="AM92" s="99"/>
      <c r="AN92" s="99"/>
      <c r="AO92" s="99"/>
      <c r="AP92" s="99"/>
      <c r="AQ92" s="99"/>
      <c r="AR92" s="99"/>
      <c r="AS92" s="99"/>
      <c r="AT92" s="99"/>
      <c r="AU92" s="99"/>
      <c r="AV92" s="99"/>
      <c r="AW92" s="99"/>
      <c r="AX92" s="99"/>
      <c r="AY92" s="99"/>
      <c r="AZ92" s="99"/>
      <c r="BA92" s="99"/>
      <c r="BB92" s="99"/>
      <c r="BC92" s="99"/>
    </row>
    <row r="93" spans="1:55" ht="33.950000000000003" customHeight="1">
      <c r="A93" s="99" t="s">
        <v>189</v>
      </c>
      <c r="B93" s="99"/>
      <c r="C93" s="99"/>
      <c r="D93" s="99"/>
      <c r="E93" s="99"/>
      <c r="F93" s="99"/>
      <c r="G93" s="99"/>
      <c r="H93" s="99"/>
      <c r="I93" s="99"/>
      <c r="J93" s="99"/>
      <c r="K93" s="99"/>
      <c r="L93" s="99"/>
      <c r="M93" s="99"/>
      <c r="N93" s="99"/>
      <c r="O93" s="99"/>
      <c r="P93" s="99"/>
      <c r="Q93" s="99"/>
      <c r="R93" s="99"/>
      <c r="S93" s="99"/>
      <c r="T93" s="99"/>
      <c r="U93" s="99"/>
      <c r="V93" s="99"/>
      <c r="W93" s="99"/>
      <c r="X93" s="99"/>
      <c r="Y93" s="99"/>
      <c r="Z93" s="99"/>
      <c r="AA93" s="99"/>
      <c r="AB93" s="99"/>
      <c r="AC93" s="99"/>
      <c r="AD93" s="99"/>
      <c r="AE93" s="99"/>
      <c r="AF93" s="99"/>
      <c r="AG93" s="99"/>
      <c r="AH93" s="99"/>
      <c r="AI93" s="99"/>
      <c r="AJ93" s="99"/>
      <c r="AK93" s="99"/>
      <c r="AL93" s="99"/>
      <c r="AM93" s="99"/>
      <c r="AN93" s="99"/>
      <c r="AO93" s="99"/>
      <c r="AP93" s="99"/>
      <c r="AQ93" s="99"/>
      <c r="AR93" s="99"/>
      <c r="AS93" s="99"/>
      <c r="AT93" s="99"/>
      <c r="AU93" s="99"/>
      <c r="AV93" s="99"/>
      <c r="AW93" s="99"/>
      <c r="AX93" s="99"/>
      <c r="AY93" s="99"/>
      <c r="AZ93" s="99"/>
      <c r="BA93" s="99"/>
      <c r="BB93" s="99"/>
      <c r="BC93" s="99"/>
    </row>
    <row r="94" spans="1:55" ht="56.25" customHeight="1">
      <c r="A94" s="99" t="s">
        <v>190</v>
      </c>
      <c r="B94" s="99"/>
      <c r="C94" s="99"/>
      <c r="D94" s="99"/>
      <c r="E94" s="99"/>
      <c r="F94" s="99"/>
      <c r="G94" s="99"/>
      <c r="H94" s="99"/>
      <c r="I94" s="99"/>
      <c r="J94" s="99"/>
      <c r="K94" s="99"/>
      <c r="L94" s="99"/>
      <c r="M94" s="99"/>
      <c r="N94" s="99"/>
      <c r="O94" s="99"/>
      <c r="P94" s="99"/>
      <c r="Q94" s="99"/>
      <c r="R94" s="99"/>
      <c r="S94" s="99"/>
      <c r="T94" s="99"/>
      <c r="U94" s="99"/>
      <c r="V94" s="99"/>
      <c r="W94" s="99"/>
      <c r="X94" s="99"/>
      <c r="Y94" s="99"/>
      <c r="Z94" s="99"/>
      <c r="AA94" s="99"/>
      <c r="AB94" s="99"/>
      <c r="AC94" s="99"/>
      <c r="AD94" s="99"/>
      <c r="AE94" s="99"/>
      <c r="AF94" s="99"/>
      <c r="AG94" s="99"/>
      <c r="AH94" s="99"/>
      <c r="AI94" s="99"/>
      <c r="AJ94" s="99"/>
      <c r="AK94" s="99"/>
      <c r="AL94" s="99"/>
      <c r="AM94" s="99"/>
      <c r="AN94" s="99"/>
      <c r="AO94" s="99"/>
      <c r="AP94" s="99"/>
      <c r="AQ94" s="99"/>
      <c r="AR94" s="99"/>
      <c r="AS94" s="99"/>
      <c r="AT94" s="99"/>
      <c r="AU94" s="99"/>
      <c r="AV94" s="99"/>
      <c r="AW94" s="99"/>
      <c r="AX94" s="99"/>
      <c r="AY94" s="99"/>
      <c r="AZ94" s="99"/>
      <c r="BA94" s="99"/>
      <c r="BB94" s="99"/>
      <c r="BC94" s="99"/>
    </row>
    <row r="95" spans="1:55" ht="22.5" customHeight="1">
      <c r="A95" s="84" t="s">
        <v>163</v>
      </c>
      <c r="B95" s="84"/>
      <c r="C95" s="84"/>
      <c r="D95" s="84"/>
      <c r="E95" s="84"/>
      <c r="F95" s="84"/>
      <c r="G95" s="84"/>
      <c r="H95" s="84"/>
      <c r="I95" s="84"/>
      <c r="J95" s="84"/>
      <c r="K95" s="84"/>
      <c r="L95" s="84"/>
      <c r="M95" s="84"/>
      <c r="N95" s="84"/>
      <c r="O95" s="84"/>
      <c r="P95" s="84"/>
      <c r="Q95" s="84"/>
      <c r="R95" s="84"/>
      <c r="S95" s="84"/>
      <c r="T95" s="84"/>
      <c r="U95" s="84"/>
      <c r="V95" s="84"/>
      <c r="W95" s="84"/>
      <c r="X95" s="84"/>
      <c r="Y95" s="84"/>
      <c r="Z95" s="84"/>
      <c r="AA95" s="84"/>
      <c r="AB95" s="84"/>
      <c r="AC95" s="84"/>
      <c r="AD95" s="84"/>
      <c r="AE95" s="84"/>
      <c r="AF95" s="84"/>
      <c r="AG95" s="84"/>
      <c r="AH95" s="84"/>
      <c r="AI95" s="84"/>
      <c r="AJ95" s="84"/>
      <c r="AK95" s="84"/>
      <c r="AL95" s="84"/>
      <c r="AM95" s="84"/>
      <c r="AN95" s="84"/>
      <c r="AO95" s="84"/>
      <c r="AP95" s="84"/>
      <c r="AQ95" s="84"/>
      <c r="AR95" s="84"/>
      <c r="AS95" s="84"/>
      <c r="AT95" s="84"/>
      <c r="AU95" s="84"/>
      <c r="AV95" s="84"/>
      <c r="AW95" s="84"/>
      <c r="AX95" s="84"/>
      <c r="AY95" s="84"/>
      <c r="AZ95" s="84"/>
      <c r="BA95" s="84"/>
      <c r="BB95" s="84"/>
      <c r="BC95" s="84"/>
    </row>
    <row r="96" spans="1:55" ht="22.5" customHeight="1">
      <c r="A96" s="99" t="s">
        <v>60</v>
      </c>
      <c r="B96" s="99"/>
      <c r="C96" s="99"/>
      <c r="D96" s="99"/>
      <c r="E96" s="99"/>
      <c r="F96" s="99"/>
      <c r="G96" s="99"/>
      <c r="H96" s="99"/>
      <c r="I96" s="99"/>
      <c r="J96" s="99"/>
      <c r="K96" s="99"/>
      <c r="L96" s="99"/>
      <c r="M96" s="99"/>
      <c r="N96" s="99"/>
      <c r="O96" s="99"/>
      <c r="P96" s="99"/>
      <c r="Q96" s="99"/>
      <c r="R96" s="99"/>
      <c r="S96" s="99"/>
      <c r="T96" s="99"/>
      <c r="U96" s="99"/>
      <c r="V96" s="99"/>
      <c r="W96" s="99"/>
      <c r="X96" s="99"/>
      <c r="Y96" s="99"/>
      <c r="Z96" s="99"/>
      <c r="AA96" s="99"/>
      <c r="AB96" s="99"/>
      <c r="AC96" s="99"/>
      <c r="AD96" s="99"/>
      <c r="AE96" s="99"/>
      <c r="AF96" s="99"/>
      <c r="AG96" s="99"/>
      <c r="AH96" s="99"/>
      <c r="AI96" s="99"/>
      <c r="AJ96" s="99"/>
      <c r="AK96" s="99"/>
      <c r="AL96" s="99"/>
      <c r="AM96" s="99"/>
      <c r="AN96" s="99"/>
      <c r="AO96" s="99"/>
      <c r="AP96" s="99"/>
      <c r="AQ96" s="99"/>
      <c r="AR96" s="99"/>
      <c r="AS96" s="99"/>
      <c r="AT96" s="99"/>
      <c r="AU96" s="99"/>
      <c r="AV96" s="99"/>
      <c r="AW96" s="99"/>
      <c r="AX96" s="99"/>
      <c r="AY96" s="99"/>
      <c r="AZ96" s="99"/>
      <c r="BA96" s="99"/>
      <c r="BB96" s="99"/>
      <c r="BC96" s="99"/>
    </row>
    <row r="97" spans="1:55" ht="22.5" customHeight="1">
      <c r="A97" s="84" t="s">
        <v>164</v>
      </c>
      <c r="B97" s="84"/>
      <c r="C97" s="84"/>
      <c r="D97" s="84"/>
      <c r="E97" s="84"/>
      <c r="F97" s="84"/>
      <c r="G97" s="84"/>
      <c r="H97" s="84"/>
      <c r="I97" s="84"/>
      <c r="J97" s="84"/>
      <c r="K97" s="84"/>
      <c r="L97" s="84"/>
      <c r="M97" s="84"/>
      <c r="N97" s="84"/>
      <c r="O97" s="84"/>
      <c r="P97" s="84"/>
      <c r="Q97" s="84"/>
      <c r="R97" s="84"/>
      <c r="S97" s="84"/>
      <c r="T97" s="84"/>
      <c r="U97" s="84"/>
      <c r="V97" s="84"/>
      <c r="W97" s="84"/>
      <c r="X97" s="84"/>
      <c r="Y97" s="84"/>
      <c r="Z97" s="84"/>
      <c r="AA97" s="84"/>
      <c r="AB97" s="84"/>
      <c r="AC97" s="84"/>
      <c r="AD97" s="84"/>
      <c r="AE97" s="84"/>
      <c r="AF97" s="84"/>
      <c r="AG97" s="84"/>
      <c r="AH97" s="84"/>
      <c r="AI97" s="84"/>
      <c r="AJ97" s="84"/>
      <c r="AK97" s="84"/>
      <c r="AL97" s="84"/>
      <c r="AM97" s="84"/>
      <c r="AN97" s="84"/>
      <c r="AO97" s="84"/>
      <c r="AP97" s="84"/>
      <c r="AQ97" s="84"/>
      <c r="AR97" s="84"/>
      <c r="AS97" s="84"/>
      <c r="AT97" s="84"/>
      <c r="AU97" s="84"/>
      <c r="AV97" s="84"/>
      <c r="AW97" s="84"/>
      <c r="AX97" s="84"/>
      <c r="AY97" s="84"/>
      <c r="AZ97" s="84"/>
      <c r="BA97" s="84"/>
      <c r="BB97" s="84"/>
      <c r="BC97" s="84"/>
    </row>
    <row r="98" spans="1:55" ht="22.5" customHeight="1">
      <c r="A98" s="99" t="s">
        <v>126</v>
      </c>
      <c r="B98" s="99"/>
      <c r="C98" s="99"/>
      <c r="D98" s="99"/>
      <c r="E98" s="99"/>
      <c r="F98" s="99"/>
      <c r="G98" s="99"/>
      <c r="H98" s="99"/>
      <c r="I98" s="99"/>
      <c r="J98" s="99"/>
      <c r="K98" s="99"/>
      <c r="L98" s="99"/>
      <c r="M98" s="99"/>
      <c r="N98" s="99"/>
      <c r="O98" s="99"/>
      <c r="P98" s="99"/>
      <c r="Q98" s="99"/>
      <c r="R98" s="99"/>
      <c r="S98" s="99"/>
      <c r="T98" s="99"/>
      <c r="U98" s="99"/>
      <c r="V98" s="99"/>
      <c r="W98" s="99"/>
      <c r="X98" s="99"/>
      <c r="Y98" s="99"/>
      <c r="Z98" s="99"/>
      <c r="AA98" s="99"/>
      <c r="AB98" s="99"/>
      <c r="AC98" s="99"/>
      <c r="AD98" s="99"/>
      <c r="AE98" s="99"/>
      <c r="AF98" s="99"/>
      <c r="AG98" s="99"/>
      <c r="AH98" s="99"/>
      <c r="AI98" s="99"/>
      <c r="AJ98" s="99"/>
      <c r="AK98" s="99"/>
      <c r="AL98" s="99"/>
      <c r="AM98" s="99"/>
      <c r="AN98" s="99"/>
      <c r="AO98" s="99"/>
      <c r="AP98" s="99"/>
      <c r="AQ98" s="99"/>
      <c r="AR98" s="99"/>
      <c r="AS98" s="99"/>
      <c r="AT98" s="99"/>
      <c r="AU98" s="99"/>
      <c r="AV98" s="99"/>
      <c r="AW98" s="99"/>
      <c r="AX98" s="99"/>
      <c r="AY98" s="99"/>
      <c r="AZ98" s="99"/>
      <c r="BA98" s="99"/>
      <c r="BB98" s="99"/>
      <c r="BC98" s="99"/>
    </row>
    <row r="99" spans="1:55">
      <c r="A99" s="89" t="s">
        <v>16</v>
      </c>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row>
    <row r="100" spans="1:55" ht="22.5" customHeight="1">
      <c r="A100" s="99" t="s">
        <v>127</v>
      </c>
      <c r="B100" s="99"/>
      <c r="C100" s="99"/>
      <c r="D100" s="99"/>
      <c r="E100" s="99"/>
      <c r="F100" s="99"/>
      <c r="G100" s="99"/>
      <c r="H100" s="99"/>
      <c r="I100" s="99"/>
      <c r="J100" s="99"/>
      <c r="K100" s="99"/>
      <c r="L100" s="99"/>
      <c r="M100" s="99"/>
      <c r="N100" s="99"/>
      <c r="O100" s="99"/>
      <c r="P100" s="99"/>
      <c r="Q100" s="99"/>
      <c r="R100" s="99"/>
      <c r="S100" s="99"/>
      <c r="T100" s="99"/>
      <c r="U100" s="99"/>
      <c r="V100" s="99"/>
      <c r="W100" s="99"/>
      <c r="X100" s="99"/>
      <c r="Y100" s="99"/>
      <c r="Z100" s="99"/>
      <c r="AA100" s="99"/>
      <c r="AB100" s="99"/>
      <c r="AC100" s="99"/>
      <c r="AD100" s="99"/>
      <c r="AE100" s="99"/>
      <c r="AF100" s="99"/>
      <c r="AG100" s="99"/>
      <c r="AH100" s="99"/>
      <c r="AI100" s="99"/>
      <c r="AJ100" s="99"/>
      <c r="AK100" s="99"/>
      <c r="AL100" s="99"/>
      <c r="AM100" s="99"/>
      <c r="AN100" s="99"/>
      <c r="AO100" s="99"/>
      <c r="AP100" s="99"/>
      <c r="AQ100" s="99"/>
      <c r="AR100" s="99"/>
      <c r="AS100" s="99"/>
      <c r="AT100" s="99"/>
      <c r="AU100" s="99"/>
      <c r="AV100" s="99"/>
      <c r="AW100" s="99"/>
      <c r="AX100" s="99"/>
      <c r="AY100" s="99"/>
      <c r="AZ100" s="99"/>
      <c r="BA100" s="99"/>
      <c r="BB100" s="99"/>
      <c r="BC100" s="99"/>
    </row>
    <row r="101" spans="1:55" ht="11.25" customHeight="1">
      <c r="A101" s="99" t="s">
        <v>128</v>
      </c>
      <c r="B101" s="99"/>
      <c r="C101" s="99"/>
      <c r="D101" s="99"/>
      <c r="E101" s="99"/>
      <c r="F101" s="99"/>
      <c r="G101" s="99"/>
      <c r="H101" s="99"/>
      <c r="I101" s="99"/>
      <c r="J101" s="99"/>
      <c r="K101" s="99"/>
      <c r="L101" s="99"/>
      <c r="M101" s="99"/>
      <c r="N101" s="99"/>
      <c r="O101" s="99"/>
      <c r="P101" s="99"/>
      <c r="Q101" s="99"/>
      <c r="R101" s="99"/>
      <c r="S101" s="99"/>
      <c r="T101" s="99"/>
      <c r="U101" s="99"/>
      <c r="V101" s="99"/>
      <c r="W101" s="99"/>
      <c r="X101" s="99"/>
      <c r="Y101" s="99"/>
      <c r="Z101" s="99"/>
      <c r="AA101" s="99"/>
      <c r="AB101" s="99"/>
      <c r="AC101" s="99"/>
      <c r="AD101" s="99"/>
      <c r="AE101" s="99"/>
      <c r="AF101" s="99"/>
      <c r="AG101" s="99"/>
      <c r="AH101" s="99"/>
      <c r="AI101" s="99"/>
      <c r="AJ101" s="99"/>
      <c r="AK101" s="99"/>
      <c r="AL101" s="99"/>
      <c r="AM101" s="99"/>
      <c r="AN101" s="99"/>
      <c r="AO101" s="99"/>
      <c r="AP101" s="99"/>
      <c r="AQ101" s="99"/>
      <c r="AR101" s="99"/>
      <c r="AS101" s="99"/>
      <c r="AT101" s="99"/>
      <c r="AU101" s="99"/>
      <c r="AV101" s="99"/>
      <c r="AW101" s="99"/>
      <c r="AX101" s="99"/>
      <c r="AY101" s="99"/>
      <c r="AZ101" s="99"/>
      <c r="BA101" s="99"/>
      <c r="BB101" s="99"/>
      <c r="BC101" s="99"/>
    </row>
    <row r="103" spans="1:55">
      <c r="G103" s="2" t="s">
        <v>65</v>
      </c>
      <c r="AN103" s="2" t="s">
        <v>130</v>
      </c>
    </row>
    <row r="104" spans="1:55" ht="11.25" customHeight="1">
      <c r="C104" s="2" t="s">
        <v>66</v>
      </c>
      <c r="AE104" s="105" t="str">
        <f>LEFT(Данные!G3,100)</f>
        <v/>
      </c>
      <c r="AF104" s="105"/>
      <c r="AG104" s="105"/>
      <c r="AH104" s="105"/>
      <c r="AI104" s="105"/>
      <c r="AJ104" s="105"/>
      <c r="AK104" s="105"/>
      <c r="AL104" s="105"/>
      <c r="AM104" s="105"/>
      <c r="AN104" s="105"/>
      <c r="AO104" s="105"/>
      <c r="AP104" s="105"/>
      <c r="AQ104" s="105"/>
      <c r="AR104" s="105"/>
      <c r="AS104" s="105"/>
      <c r="AT104" s="105"/>
      <c r="AU104" s="105"/>
      <c r="AV104" s="105"/>
      <c r="AW104" s="105"/>
      <c r="AX104" s="105"/>
      <c r="AY104" s="105"/>
      <c r="AZ104" s="105"/>
    </row>
    <row r="105" spans="1:55" ht="11.25" customHeight="1">
      <c r="C105" s="2" t="s">
        <v>68</v>
      </c>
      <c r="AG105" s="21"/>
      <c r="AH105" s="21"/>
      <c r="AI105" s="21"/>
      <c r="AJ105" s="21"/>
      <c r="AK105" s="21"/>
      <c r="AL105" s="21"/>
      <c r="AM105" s="21"/>
      <c r="AN105" s="21"/>
      <c r="AO105" s="21"/>
      <c r="AP105" s="21"/>
      <c r="AQ105" s="21"/>
      <c r="AR105" s="21"/>
      <c r="AS105" s="21"/>
      <c r="AT105" s="21"/>
      <c r="AU105" s="21"/>
      <c r="AV105" s="21"/>
      <c r="AW105" s="21"/>
      <c r="AX105" s="21"/>
    </row>
    <row r="106" spans="1:55" ht="11.25" customHeight="1">
      <c r="C106" s="2" t="s">
        <v>67</v>
      </c>
      <c r="AG106" s="21"/>
      <c r="AH106" s="21"/>
      <c r="AI106" s="21"/>
      <c r="AJ106" s="21"/>
      <c r="AK106" s="21"/>
      <c r="AL106" s="21"/>
      <c r="AM106" s="21"/>
      <c r="AN106" s="21"/>
      <c r="AO106" s="21"/>
      <c r="AP106" s="21"/>
      <c r="AQ106" s="21"/>
      <c r="AR106" s="21"/>
      <c r="AS106" s="21"/>
      <c r="AT106" s="21"/>
      <c r="AU106" s="21"/>
      <c r="AV106" s="21"/>
      <c r="AW106" s="21"/>
      <c r="AX106" s="21"/>
    </row>
    <row r="107" spans="1:55" ht="11.25" customHeight="1">
      <c r="C107" s="2" t="s">
        <v>129</v>
      </c>
      <c r="AG107" s="21"/>
      <c r="AH107" s="21"/>
      <c r="AI107" s="21"/>
      <c r="AJ107" s="21"/>
      <c r="AK107" s="21"/>
      <c r="AL107" s="21"/>
      <c r="AM107" s="21"/>
      <c r="AN107" s="21"/>
      <c r="AO107" s="21"/>
      <c r="AP107" s="21"/>
      <c r="AQ107" s="21"/>
      <c r="AR107" s="21"/>
      <c r="AS107" s="21"/>
      <c r="AT107" s="21"/>
      <c r="AU107" s="21"/>
      <c r="AV107" s="21"/>
      <c r="AW107" s="21"/>
      <c r="AX107" s="21"/>
    </row>
    <row r="108" spans="1:55" ht="18" customHeight="1">
      <c r="C108" s="32" t="s">
        <v>69</v>
      </c>
      <c r="D108" s="33"/>
      <c r="AG108" s="21"/>
      <c r="AH108" s="21"/>
      <c r="AI108" s="21"/>
      <c r="AJ108" s="21"/>
      <c r="AK108" s="21"/>
      <c r="AL108" s="21"/>
      <c r="AM108" s="21"/>
      <c r="AN108" s="21" t="s">
        <v>148</v>
      </c>
      <c r="AO108" s="21"/>
      <c r="AP108" s="21"/>
      <c r="AQ108" s="21"/>
      <c r="AR108" s="21"/>
      <c r="AS108" s="21"/>
      <c r="AT108" s="21"/>
      <c r="AU108" s="21"/>
      <c r="AV108" s="21"/>
      <c r="AW108" s="21"/>
      <c r="AX108" s="34" t="s">
        <v>148</v>
      </c>
      <c r="AY108" s="35"/>
    </row>
    <row r="109" spans="1:55">
      <c r="C109" s="19"/>
      <c r="D109" s="19"/>
      <c r="E109" s="19"/>
      <c r="F109" s="19"/>
      <c r="G109" s="19"/>
      <c r="H109" s="19"/>
      <c r="I109" s="19"/>
      <c r="J109" s="19"/>
      <c r="K109" s="19"/>
      <c r="L109" s="19"/>
      <c r="M109" s="19"/>
      <c r="N109" s="19"/>
      <c r="O109" s="19"/>
      <c r="P109" s="19"/>
      <c r="Q109" s="19"/>
      <c r="AG109" s="104" t="s">
        <v>131</v>
      </c>
      <c r="AH109" s="104"/>
      <c r="AI109" s="104"/>
      <c r="AJ109" s="104"/>
      <c r="AK109" s="104"/>
      <c r="AL109" s="104"/>
      <c r="AM109" s="104"/>
      <c r="AN109" s="104"/>
      <c r="AO109" s="104"/>
      <c r="AP109" s="104"/>
      <c r="AQ109" s="104"/>
      <c r="AR109" s="104"/>
      <c r="AS109" s="104"/>
      <c r="AT109" s="104"/>
      <c r="AU109" s="104"/>
      <c r="AV109" s="104"/>
      <c r="AW109" s="104"/>
      <c r="AX109" s="104"/>
    </row>
  </sheetData>
  <sheetProtection password="CC6F" sheet="1" objects="1" scenarios="1"/>
  <mergeCells count="102">
    <mergeCell ref="AG109:AX109"/>
    <mergeCell ref="AE104:AZ104"/>
    <mergeCell ref="A2:BC2"/>
    <mergeCell ref="AW3:BC3"/>
    <mergeCell ref="G10:L10"/>
    <mergeCell ref="A13:BC13"/>
    <mergeCell ref="A12:BC12"/>
    <mergeCell ref="A7:BC7"/>
    <mergeCell ref="A4:BB4"/>
    <mergeCell ref="AP5:BC5"/>
    <mergeCell ref="A6:BC6"/>
    <mergeCell ref="A8:BC8"/>
    <mergeCell ref="AL9:AS9"/>
    <mergeCell ref="AV9:BB9"/>
    <mergeCell ref="A14:BC14"/>
    <mergeCell ref="A16:BC16"/>
    <mergeCell ref="A15:BC15"/>
    <mergeCell ref="A17:BC17"/>
    <mergeCell ref="A18:BC18"/>
    <mergeCell ref="A19:BC19"/>
    <mergeCell ref="A22:BC22"/>
    <mergeCell ref="A23:BC23"/>
    <mergeCell ref="A24:BC24"/>
    <mergeCell ref="A25:BC25"/>
    <mergeCell ref="A26:BC26"/>
    <mergeCell ref="A27:BC27"/>
    <mergeCell ref="A28:BC28"/>
    <mergeCell ref="A29:BC29"/>
    <mergeCell ref="A30:BC30"/>
    <mergeCell ref="A31:BC31"/>
    <mergeCell ref="A32:BC32"/>
    <mergeCell ref="A33:BC33"/>
    <mergeCell ref="A34:BC34"/>
    <mergeCell ref="A35:BC35"/>
    <mergeCell ref="A36:BC36"/>
    <mergeCell ref="A37:BC37"/>
    <mergeCell ref="A38:BC38"/>
    <mergeCell ref="A39:BC39"/>
    <mergeCell ref="A40:BC40"/>
    <mergeCell ref="A41:BC41"/>
    <mergeCell ref="A42:BC42"/>
    <mergeCell ref="A43:BC43"/>
    <mergeCell ref="A44:BC44"/>
    <mergeCell ref="A45:BC45"/>
    <mergeCell ref="A46:BC46"/>
    <mergeCell ref="A47:BC47"/>
    <mergeCell ref="A48:BC48"/>
    <mergeCell ref="A49:BC49"/>
    <mergeCell ref="A50:BC50"/>
    <mergeCell ref="A51:BC51"/>
    <mergeCell ref="A54:BC54"/>
    <mergeCell ref="A55:BC55"/>
    <mergeCell ref="A56:BC56"/>
    <mergeCell ref="A57:BC57"/>
    <mergeCell ref="A58:BC58"/>
    <mergeCell ref="A59:BC59"/>
    <mergeCell ref="A60:BC60"/>
    <mergeCell ref="A61:BC61"/>
    <mergeCell ref="A62:BC62"/>
    <mergeCell ref="A63:BC63"/>
    <mergeCell ref="A77:BC77"/>
    <mergeCell ref="A78:BC78"/>
    <mergeCell ref="A79:BC79"/>
    <mergeCell ref="A80:BC80"/>
    <mergeCell ref="A81:BC81"/>
    <mergeCell ref="A82:BC82"/>
    <mergeCell ref="A83:BC83"/>
    <mergeCell ref="A64:BC64"/>
    <mergeCell ref="A65:BC65"/>
    <mergeCell ref="A74:BC74"/>
    <mergeCell ref="A66:BC66"/>
    <mergeCell ref="A67:BC67"/>
    <mergeCell ref="A68:BC68"/>
    <mergeCell ref="A69:BC69"/>
    <mergeCell ref="A70:BC70"/>
    <mergeCell ref="A71:BC71"/>
    <mergeCell ref="A72:BC72"/>
    <mergeCell ref="A73:BC73"/>
    <mergeCell ref="A101:BC101"/>
    <mergeCell ref="A20:BC20"/>
    <mergeCell ref="A21:BC21"/>
    <mergeCell ref="A52:BC52"/>
    <mergeCell ref="A53:BC53"/>
    <mergeCell ref="A85:BC85"/>
    <mergeCell ref="A86:BC86"/>
    <mergeCell ref="A87:BC87"/>
    <mergeCell ref="A93:BC93"/>
    <mergeCell ref="A94:BC94"/>
    <mergeCell ref="A95:BC95"/>
    <mergeCell ref="A96:BC96"/>
    <mergeCell ref="A97:BC97"/>
    <mergeCell ref="A84:BC84"/>
    <mergeCell ref="A88:BC88"/>
    <mergeCell ref="A89:BC89"/>
    <mergeCell ref="A90:BC90"/>
    <mergeCell ref="A91:BC91"/>
    <mergeCell ref="A92:BC92"/>
    <mergeCell ref="A98:BC98"/>
    <mergeCell ref="A99:BC99"/>
    <mergeCell ref="A100:BC100"/>
    <mergeCell ref="A75:BC75"/>
    <mergeCell ref="A76:BC76"/>
  </mergeCells>
  <hyperlinks>
    <hyperlink ref="A18" r:id="rId1" display="mailto:viktoria-avto@yandex.ru"/>
  </hyperlinks>
  <pageMargins left="0.70866141732283461" right="0.23622047244094488" top="0.19685039370078741" bottom="0.15748031496062992" header="0" footer="0"/>
  <pageSetup paperSize="9" scale="85" fitToWidth="0" fitToHeight="0" orientation="portrait" horizontalDpi="180" verticalDpi="180" r:id="rId2"/>
</worksheet>
</file>

<file path=xl/worksheets/sheet4.xml><?xml version="1.0" encoding="utf-8"?>
<worksheet xmlns="http://schemas.openxmlformats.org/spreadsheetml/2006/main" xmlns:r="http://schemas.openxmlformats.org/officeDocument/2006/relationships">
  <sheetPr codeName="Лист4"/>
  <dimension ref="A1:AN159"/>
  <sheetViews>
    <sheetView view="pageLayout" workbookViewId="0"/>
  </sheetViews>
  <sheetFormatPr defaultColWidth="9.140625" defaultRowHeight="15"/>
  <cols>
    <col min="1" max="23" width="2.42578125" customWidth="1"/>
    <col min="24" max="24" width="1" customWidth="1"/>
    <col min="25" max="43" width="2.42578125" customWidth="1"/>
  </cols>
  <sheetData>
    <row r="1" ht="14.1" customHeight="1"/>
    <row r="2" ht="14.1" customHeight="1"/>
    <row r="3" ht="14.1" customHeight="1"/>
    <row r="4" ht="14.1" customHeight="1"/>
    <row r="5" ht="14.1" customHeight="1"/>
    <row r="6" ht="14.1" customHeight="1"/>
    <row r="7" ht="14.1" customHeight="1"/>
    <row r="8" ht="14.1" customHeight="1"/>
    <row r="9" ht="14.1" customHeight="1"/>
    <row r="10" ht="14.1" customHeight="1"/>
    <row r="11" ht="14.1" customHeight="1"/>
    <row r="12" ht="14.1" customHeight="1"/>
    <row r="13" ht="14.1" customHeight="1"/>
    <row r="14" ht="14.1" customHeight="1"/>
    <row r="15" ht="14.1" customHeight="1"/>
    <row r="16" ht="14.1" customHeight="1"/>
    <row r="17" ht="14.1" customHeight="1"/>
    <row r="18" ht="14.1" customHeight="1"/>
    <row r="19" ht="14.1" customHeight="1"/>
    <row r="20" ht="14.1" customHeight="1"/>
    <row r="21" ht="14.1" customHeight="1"/>
    <row r="22" ht="14.1" customHeight="1"/>
    <row r="23" ht="14.1" customHeight="1"/>
    <row r="24" ht="14.1" customHeight="1"/>
    <row r="25" ht="14.1" customHeight="1"/>
    <row r="26" ht="14.1" customHeight="1"/>
    <row r="27" ht="14.1" customHeight="1"/>
    <row r="28" ht="14.1" customHeight="1"/>
    <row r="29" ht="14.1" customHeight="1"/>
    <row r="30" ht="14.1" customHeight="1"/>
    <row r="31" ht="14.1" customHeight="1"/>
    <row r="32" ht="14.1" customHeight="1"/>
    <row r="33" ht="14.1" customHeight="1"/>
    <row r="34" ht="14.1" customHeight="1"/>
    <row r="35" ht="14.1" customHeight="1"/>
    <row r="36" ht="14.1" customHeight="1"/>
    <row r="37" ht="14.1" customHeight="1"/>
    <row r="38" ht="14.1" customHeight="1"/>
    <row r="39" ht="14.1" customHeight="1"/>
    <row r="40" ht="14.1" customHeight="1"/>
    <row r="41" ht="14.1" customHeight="1"/>
    <row r="42" ht="14.1" customHeight="1"/>
    <row r="43" ht="14.1" customHeight="1"/>
    <row r="44" ht="14.1" customHeight="1"/>
    <row r="45" ht="13.5" customHeight="1"/>
    <row r="46" ht="14.1" customHeight="1"/>
    <row r="47" ht="14.1" customHeight="1"/>
    <row r="48" ht="14.1" customHeight="1"/>
    <row r="49" spans="1:40" ht="14.1" customHeight="1"/>
    <row r="50" spans="1:40" ht="13.5" customHeight="1"/>
    <row r="51" spans="1:40" ht="14.1" customHeight="1"/>
    <row r="52" spans="1:40" ht="14.1" customHeight="1"/>
    <row r="53" spans="1:40" ht="13.5" customHeight="1"/>
    <row r="54" spans="1:40" ht="14.1" customHeight="1"/>
    <row r="55" spans="1:40" ht="14.1" customHeight="1" thickBot="1"/>
    <row r="56" spans="1:40" ht="14.1" customHeight="1" thickBot="1">
      <c r="A56" s="52" t="s">
        <v>196</v>
      </c>
      <c r="W56" s="51"/>
      <c r="Y56" s="52" t="s">
        <v>197</v>
      </c>
      <c r="AB56" s="51"/>
      <c r="AC56" s="52" t="s">
        <v>199</v>
      </c>
      <c r="AE56" s="38"/>
      <c r="AF56" s="19"/>
      <c r="AG56" s="19"/>
      <c r="AH56" s="19"/>
      <c r="AI56" s="19"/>
      <c r="AJ56" s="19"/>
      <c r="AK56" s="19"/>
      <c r="AL56" s="19"/>
      <c r="AM56" s="19"/>
      <c r="AN56" s="19"/>
    </row>
    <row r="57" spans="1:40" ht="14.1" customHeight="1">
      <c r="AJ57" s="53" t="s">
        <v>198</v>
      </c>
      <c r="AK57" s="53"/>
    </row>
    <row r="58" spans="1:40" ht="14.1" customHeight="1"/>
    <row r="59" spans="1:40" ht="14.1" customHeight="1"/>
    <row r="60" spans="1:40" ht="14.1" customHeight="1"/>
    <row r="61" spans="1:40" ht="14.1" customHeight="1"/>
    <row r="62" spans="1:40" ht="14.1" customHeight="1"/>
    <row r="63" spans="1:40" ht="14.1" customHeight="1"/>
    <row r="64" spans="1:40" ht="14.1" customHeight="1"/>
    <row r="65" ht="14.1" customHeight="1"/>
    <row r="66" ht="14.1" customHeight="1"/>
    <row r="67" ht="14.1" customHeight="1"/>
    <row r="68" ht="14.1" customHeight="1"/>
    <row r="69" ht="14.1" customHeight="1"/>
    <row r="70" ht="14.1" customHeight="1"/>
    <row r="71" ht="14.1" customHeight="1"/>
    <row r="72" ht="14.1" customHeight="1"/>
    <row r="73" ht="14.1" customHeight="1"/>
    <row r="74" ht="14.1" customHeight="1"/>
    <row r="75" ht="14.1" customHeight="1"/>
    <row r="76" ht="14.1" customHeight="1"/>
    <row r="77" ht="14.1" customHeight="1"/>
    <row r="78" ht="14.1" customHeight="1"/>
    <row r="79" ht="14.1" customHeight="1"/>
    <row r="80" ht="14.1" customHeight="1"/>
    <row r="81" ht="14.1" customHeight="1"/>
    <row r="82" ht="14.1" customHeight="1"/>
    <row r="83" ht="14.1" customHeight="1"/>
    <row r="84" ht="14.1" customHeight="1"/>
    <row r="85" ht="14.1" customHeight="1"/>
    <row r="86" ht="14.1" customHeight="1"/>
    <row r="87" ht="14.1" customHeight="1"/>
    <row r="88" ht="14.1" customHeight="1"/>
    <row r="89" ht="14.1" customHeight="1"/>
    <row r="90" ht="14.1" customHeight="1"/>
    <row r="91" ht="14.1" customHeight="1"/>
    <row r="92" ht="14.1" customHeight="1"/>
    <row r="93" ht="14.1" customHeight="1"/>
    <row r="94" ht="14.1" customHeight="1"/>
    <row r="95" ht="14.1" customHeight="1"/>
    <row r="96" ht="14.1" customHeight="1"/>
    <row r="97" ht="14.1" customHeight="1"/>
    <row r="98" ht="14.1" customHeight="1"/>
    <row r="99" ht="14.1" customHeight="1"/>
    <row r="100" ht="14.1" customHeight="1"/>
    <row r="101" ht="14.1" customHeight="1"/>
    <row r="102" ht="14.1" customHeight="1"/>
    <row r="103" ht="14.1" customHeight="1"/>
    <row r="104" ht="14.1" customHeight="1"/>
    <row r="105" ht="14.1" customHeight="1"/>
    <row r="106" ht="14.1" customHeight="1"/>
    <row r="107" ht="14.1" customHeight="1"/>
    <row r="108" ht="14.1" customHeight="1"/>
    <row r="109" ht="14.1" customHeight="1"/>
    <row r="110" ht="14.1" customHeight="1"/>
    <row r="111" ht="14.1" customHeight="1"/>
    <row r="112" ht="14.1" customHeight="1"/>
    <row r="113" ht="14.1" customHeight="1"/>
    <row r="114" ht="14.1" customHeight="1"/>
    <row r="115" ht="14.1" customHeight="1"/>
    <row r="116" ht="14.1" customHeight="1"/>
    <row r="117" ht="14.1" customHeight="1"/>
    <row r="118" ht="14.1" customHeight="1"/>
    <row r="119" ht="14.1" customHeight="1"/>
    <row r="120" ht="14.1" customHeight="1"/>
    <row r="121" ht="14.1" customHeight="1"/>
    <row r="122" ht="14.1" customHeight="1"/>
    <row r="123" ht="14.1" customHeight="1"/>
    <row r="124" ht="14.1" customHeight="1"/>
    <row r="125" ht="14.1" customHeight="1"/>
    <row r="126" ht="14.1" customHeight="1"/>
    <row r="127" ht="14.1" customHeight="1"/>
    <row r="128" ht="14.1" customHeight="1"/>
    <row r="129" ht="14.1" customHeight="1"/>
    <row r="130" ht="14.1" customHeight="1"/>
    <row r="131" ht="14.1" customHeight="1"/>
    <row r="132" ht="14.1" customHeight="1"/>
    <row r="133" ht="14.1" customHeight="1"/>
    <row r="134" ht="14.1" customHeight="1"/>
    <row r="135" ht="14.1" customHeight="1"/>
    <row r="136" ht="14.1" customHeight="1"/>
    <row r="137" ht="14.1" customHeight="1"/>
    <row r="138" ht="14.1" customHeight="1"/>
    <row r="139" ht="14.1" customHeight="1"/>
    <row r="140" ht="14.1" customHeight="1"/>
    <row r="141" ht="14.1" customHeight="1"/>
    <row r="142" ht="14.1" customHeight="1"/>
    <row r="143" ht="14.1" customHeight="1"/>
    <row r="144" ht="14.1" customHeight="1"/>
    <row r="145" ht="14.1" customHeight="1"/>
    <row r="146" ht="14.1" customHeight="1"/>
    <row r="147" ht="14.1" customHeight="1"/>
    <row r="148" ht="14.1" customHeight="1"/>
    <row r="149" ht="14.1" customHeight="1"/>
    <row r="150" ht="14.1" customHeight="1"/>
    <row r="151" ht="14.1" customHeight="1"/>
    <row r="152" ht="14.1" customHeight="1"/>
    <row r="153" ht="14.1" customHeight="1"/>
    <row r="154" ht="14.1" customHeight="1"/>
    <row r="155" ht="14.1" customHeight="1"/>
    <row r="156" ht="14.1" customHeight="1"/>
    <row r="157" ht="14.1" customHeight="1"/>
    <row r="158" ht="14.1" customHeight="1"/>
    <row r="159" ht="14.1" customHeight="1"/>
  </sheetData>
  <sheetProtection password="CC6F" sheet="1" objects="1" scenarios="1"/>
  <printOptions horizontalCentered="1"/>
  <pageMargins left="0.43307086614173229" right="0.23622047244094491" top="0.74803149606299213" bottom="0.19685039370078741" header="0" footer="0"/>
  <pageSetup paperSize="28672" orientation="portrait" r:id="rId1"/>
</worksheet>
</file>

<file path=xl/worksheets/sheet5.xml><?xml version="1.0" encoding="utf-8"?>
<worksheet xmlns="http://schemas.openxmlformats.org/spreadsheetml/2006/main" xmlns:r="http://schemas.openxmlformats.org/officeDocument/2006/relationships">
  <sheetPr codeName="Лист5"/>
  <dimension ref="A15:P95"/>
  <sheetViews>
    <sheetView view="pageLayout" workbookViewId="0"/>
  </sheetViews>
  <sheetFormatPr defaultRowHeight="15"/>
  <cols>
    <col min="1" max="1" width="4.28515625" customWidth="1"/>
    <col min="2" max="2" width="5.42578125" customWidth="1"/>
    <col min="3" max="3" width="6.42578125" customWidth="1"/>
    <col min="4" max="4" width="6.5703125" customWidth="1"/>
    <col min="5" max="5" width="6.85546875" customWidth="1"/>
    <col min="6" max="6" width="5.5703125" customWidth="1"/>
    <col min="7" max="7" width="4.5703125" customWidth="1"/>
    <col min="8" max="8" width="6.7109375" customWidth="1"/>
    <col min="9" max="9" width="6.85546875" customWidth="1"/>
    <col min="10" max="10" width="5" customWidth="1"/>
    <col min="11" max="11" width="6.42578125" customWidth="1"/>
    <col min="12" max="12" width="4.7109375" customWidth="1"/>
    <col min="13" max="13" width="6.42578125" customWidth="1"/>
    <col min="14" max="14" width="5.85546875" customWidth="1"/>
    <col min="15" max="15" width="4.7109375" customWidth="1"/>
    <col min="16" max="16" width="4.85546875" customWidth="1"/>
  </cols>
  <sheetData>
    <row r="15" ht="77.25" customHeight="1"/>
    <row r="17" spans="1:16" ht="51.75" customHeight="1">
      <c r="A17" s="55"/>
      <c r="B17" s="109" t="s">
        <v>216</v>
      </c>
      <c r="C17" s="109"/>
      <c r="D17" s="109"/>
      <c r="E17" s="109"/>
      <c r="F17" s="109"/>
      <c r="G17" s="109"/>
      <c r="H17" s="109"/>
      <c r="I17" s="109"/>
      <c r="J17" s="109"/>
      <c r="K17" s="109"/>
      <c r="L17" s="109"/>
      <c r="M17" s="109"/>
      <c r="N17" s="109"/>
      <c r="O17" s="109"/>
      <c r="P17" s="55"/>
    </row>
    <row r="18" spans="1:16">
      <c r="A18" s="55"/>
      <c r="B18" s="55"/>
      <c r="C18" s="55"/>
      <c r="D18" s="55"/>
      <c r="E18" s="55"/>
      <c r="F18" s="55"/>
      <c r="G18" s="55"/>
      <c r="H18" s="55"/>
      <c r="I18" s="55"/>
      <c r="J18" s="55"/>
      <c r="K18" s="55"/>
      <c r="L18" s="55"/>
      <c r="M18" s="55"/>
      <c r="N18" s="55"/>
      <c r="O18" s="55"/>
      <c r="P18" s="55"/>
    </row>
    <row r="19" spans="1:16">
      <c r="A19" s="110" t="s">
        <v>217</v>
      </c>
      <c r="B19" s="110"/>
      <c r="C19" s="110"/>
      <c r="D19" s="110"/>
      <c r="E19" s="110"/>
      <c r="F19" s="110"/>
      <c r="G19" s="110"/>
      <c r="H19" s="110"/>
      <c r="I19" s="110"/>
      <c r="J19" s="110"/>
      <c r="K19" s="110"/>
      <c r="L19" s="110"/>
      <c r="M19" s="110"/>
      <c r="N19" s="110"/>
      <c r="O19" s="110"/>
      <c r="P19" s="110"/>
    </row>
    <row r="20" spans="1:16" ht="46.5" customHeight="1">
      <c r="A20" s="108" t="s">
        <v>218</v>
      </c>
      <c r="B20" s="108"/>
      <c r="C20" s="108"/>
      <c r="D20" s="108"/>
      <c r="E20" s="108"/>
      <c r="F20" s="108"/>
      <c r="G20" s="108"/>
      <c r="H20" s="108"/>
      <c r="I20" s="108"/>
      <c r="J20" s="108"/>
      <c r="K20" s="108"/>
      <c r="L20" s="108"/>
      <c r="M20" s="108"/>
      <c r="N20" s="108"/>
      <c r="O20" s="108"/>
      <c r="P20" s="108"/>
    </row>
    <row r="21" spans="1:16" ht="45" customHeight="1">
      <c r="A21" s="108" t="s">
        <v>219</v>
      </c>
      <c r="B21" s="108"/>
      <c r="C21" s="108"/>
      <c r="D21" s="108"/>
      <c r="E21" s="108"/>
      <c r="F21" s="108"/>
      <c r="G21" s="108"/>
      <c r="H21" s="108"/>
      <c r="I21" s="108"/>
      <c r="J21" s="108"/>
      <c r="K21" s="108"/>
      <c r="L21" s="108"/>
      <c r="M21" s="108"/>
      <c r="N21" s="108"/>
      <c r="O21" s="108"/>
      <c r="P21" s="108"/>
    </row>
    <row r="22" spans="1:16" ht="15" customHeight="1">
      <c r="A22" s="57" t="s">
        <v>221</v>
      </c>
      <c r="B22" s="56"/>
      <c r="C22" s="56"/>
      <c r="D22" s="56"/>
      <c r="E22" s="56"/>
      <c r="F22" s="56"/>
      <c r="G22" s="56"/>
      <c r="H22" s="56"/>
      <c r="I22" s="56"/>
      <c r="J22" s="56"/>
      <c r="K22" s="56"/>
      <c r="L22" s="56"/>
      <c r="M22" s="56"/>
      <c r="N22" s="56"/>
      <c r="O22" s="56"/>
      <c r="P22" s="56"/>
    </row>
    <row r="23" spans="1:16" ht="30.75" customHeight="1">
      <c r="A23" s="108" t="s">
        <v>175</v>
      </c>
      <c r="B23" s="108"/>
      <c r="C23" s="108"/>
      <c r="D23" s="108"/>
      <c r="E23" s="108"/>
      <c r="F23" s="108"/>
      <c r="G23" s="108"/>
      <c r="H23" s="108"/>
      <c r="I23" s="108"/>
      <c r="J23" s="108"/>
      <c r="K23" s="108"/>
      <c r="L23" s="108"/>
      <c r="M23" s="108"/>
      <c r="N23" s="108"/>
      <c r="O23" s="108"/>
      <c r="P23" s="108"/>
    </row>
    <row r="24" spans="1:16" ht="46.5" customHeight="1">
      <c r="A24" s="108" t="s">
        <v>104</v>
      </c>
      <c r="B24" s="108"/>
      <c r="C24" s="108"/>
      <c r="D24" s="108"/>
      <c r="E24" s="108"/>
      <c r="F24" s="108"/>
      <c r="G24" s="108"/>
      <c r="H24" s="108"/>
      <c r="I24" s="108"/>
      <c r="J24" s="108"/>
      <c r="K24" s="108"/>
      <c r="L24" s="108"/>
      <c r="M24" s="108"/>
      <c r="N24" s="108"/>
      <c r="O24" s="108"/>
      <c r="P24" s="108"/>
    </row>
    <row r="25" spans="1:16" ht="46.5" customHeight="1">
      <c r="A25" s="108" t="s">
        <v>105</v>
      </c>
      <c r="B25" s="108"/>
      <c r="C25" s="108"/>
      <c r="D25" s="108"/>
      <c r="E25" s="108"/>
      <c r="F25" s="108"/>
      <c r="G25" s="108"/>
      <c r="H25" s="108"/>
      <c r="I25" s="108"/>
      <c r="J25" s="108"/>
      <c r="K25" s="108"/>
      <c r="L25" s="108"/>
      <c r="M25" s="108"/>
      <c r="N25" s="108"/>
      <c r="O25" s="108"/>
      <c r="P25" s="108"/>
    </row>
    <row r="26" spans="1:16" ht="28.5" customHeight="1">
      <c r="A26" s="108" t="s">
        <v>220</v>
      </c>
      <c r="B26" s="108"/>
      <c r="C26" s="108"/>
      <c r="D26" s="108"/>
      <c r="E26" s="108"/>
      <c r="F26" s="108"/>
      <c r="G26" s="108"/>
      <c r="H26" s="108"/>
      <c r="I26" s="108"/>
      <c r="J26" s="108"/>
      <c r="K26" s="108"/>
      <c r="L26" s="108"/>
      <c r="M26" s="108"/>
      <c r="N26" s="108"/>
      <c r="O26" s="108"/>
      <c r="P26" s="108"/>
    </row>
    <row r="27" spans="1:16">
      <c r="A27" s="55"/>
      <c r="B27" s="55"/>
      <c r="C27" s="55"/>
      <c r="D27" s="55"/>
      <c r="E27" s="55"/>
      <c r="F27" s="55"/>
      <c r="G27" s="55"/>
      <c r="H27" s="55"/>
      <c r="I27" s="55"/>
      <c r="J27" s="55"/>
      <c r="K27" s="55"/>
      <c r="L27" s="55"/>
      <c r="M27" s="55"/>
      <c r="N27" s="55"/>
      <c r="O27" s="55"/>
      <c r="P27" s="55"/>
    </row>
    <row r="28" spans="1:16">
      <c r="A28" s="55"/>
      <c r="B28" s="55"/>
      <c r="C28" s="55"/>
      <c r="D28" s="55"/>
      <c r="E28" s="55"/>
      <c r="F28" s="55"/>
      <c r="G28" s="55"/>
      <c r="H28" s="55"/>
      <c r="I28" s="55"/>
      <c r="J28" s="55"/>
      <c r="K28" s="55"/>
      <c r="L28" s="55"/>
      <c r="M28" s="55"/>
      <c r="N28" s="55"/>
      <c r="O28" s="55"/>
      <c r="P28" s="55"/>
    </row>
    <row r="29" spans="1:16">
      <c r="A29" s="55"/>
      <c r="B29" s="55"/>
      <c r="C29" s="55"/>
      <c r="D29" s="55"/>
      <c r="E29" s="55"/>
      <c r="F29" s="55"/>
      <c r="G29" s="55"/>
      <c r="H29" s="55"/>
      <c r="I29" s="55"/>
      <c r="J29" s="55"/>
      <c r="K29" s="55"/>
      <c r="L29" s="55"/>
      <c r="M29" s="55"/>
      <c r="N29" s="55"/>
      <c r="O29" s="55"/>
      <c r="P29" s="55"/>
    </row>
    <row r="30" spans="1:16">
      <c r="A30" s="55"/>
      <c r="B30" s="55"/>
      <c r="C30" s="55"/>
      <c r="D30" s="55"/>
      <c r="E30" s="55"/>
      <c r="F30" s="55"/>
      <c r="G30" s="55"/>
      <c r="H30" s="55"/>
      <c r="I30" s="55"/>
      <c r="J30" s="55"/>
      <c r="K30" s="55"/>
      <c r="L30" s="55"/>
      <c r="M30" s="55"/>
      <c r="N30" s="55"/>
      <c r="O30" s="55"/>
      <c r="P30" s="55"/>
    </row>
    <row r="31" spans="1:16">
      <c r="A31" s="55"/>
      <c r="B31" s="55"/>
      <c r="C31" s="55"/>
      <c r="D31" s="55"/>
      <c r="E31" s="55"/>
      <c r="F31" s="55"/>
      <c r="G31" s="55"/>
      <c r="H31" s="55"/>
      <c r="I31" s="55"/>
      <c r="J31" s="55"/>
      <c r="K31" s="55"/>
      <c r="L31" s="55"/>
      <c r="M31" s="55"/>
      <c r="N31" s="55"/>
      <c r="O31" s="55"/>
      <c r="P31" s="55"/>
    </row>
    <row r="32" spans="1:16">
      <c r="A32" s="55"/>
      <c r="B32" s="55"/>
      <c r="C32" s="55"/>
      <c r="D32" s="55"/>
      <c r="E32" s="55"/>
      <c r="F32" s="55"/>
      <c r="G32" s="55"/>
      <c r="H32" s="55"/>
      <c r="I32" s="55"/>
      <c r="J32" s="55"/>
      <c r="K32" s="55"/>
      <c r="L32" s="55"/>
      <c r="M32" s="55"/>
      <c r="N32" s="55"/>
      <c r="O32" s="55"/>
      <c r="P32" s="55"/>
    </row>
    <row r="33" spans="1:16">
      <c r="A33" s="55"/>
      <c r="B33" s="55"/>
      <c r="C33" s="55"/>
      <c r="D33" s="55"/>
      <c r="E33" s="55"/>
      <c r="F33" s="55"/>
      <c r="G33" s="55"/>
      <c r="H33" s="55"/>
      <c r="I33" s="55"/>
      <c r="J33" s="55"/>
      <c r="K33" s="55"/>
      <c r="L33" s="55"/>
      <c r="M33" s="55"/>
      <c r="N33" s="55"/>
      <c r="O33" s="55"/>
      <c r="P33" s="55"/>
    </row>
    <row r="34" spans="1:16">
      <c r="A34" s="55"/>
      <c r="B34" s="55"/>
      <c r="C34" s="55"/>
      <c r="D34" s="55"/>
      <c r="E34" s="55"/>
      <c r="F34" s="55"/>
      <c r="G34" s="55"/>
      <c r="H34" s="55"/>
      <c r="I34" s="55"/>
      <c r="J34" s="55"/>
      <c r="K34" s="55"/>
      <c r="L34" s="55"/>
      <c r="M34" s="55"/>
      <c r="N34" s="55"/>
      <c r="O34" s="55"/>
      <c r="P34" s="55"/>
    </row>
    <row r="35" spans="1:16">
      <c r="A35" s="55"/>
      <c r="B35" s="55"/>
      <c r="C35" s="55"/>
      <c r="D35" s="55"/>
      <c r="E35" s="55"/>
      <c r="F35" s="55"/>
      <c r="G35" s="55"/>
      <c r="H35" s="55"/>
      <c r="I35" s="55"/>
      <c r="J35" s="55"/>
      <c r="K35" s="55"/>
      <c r="L35" s="55"/>
      <c r="M35" s="55"/>
      <c r="N35" s="55"/>
      <c r="O35" s="55"/>
      <c r="P35" s="55"/>
    </row>
    <row r="36" spans="1:16">
      <c r="A36" s="55"/>
      <c r="B36" s="55"/>
      <c r="C36" s="55"/>
      <c r="D36" s="55"/>
      <c r="E36" s="55"/>
      <c r="F36" s="55"/>
      <c r="G36" s="55"/>
      <c r="H36" s="55"/>
      <c r="I36" s="55"/>
      <c r="J36" s="55"/>
      <c r="K36" s="55"/>
      <c r="L36" s="55"/>
      <c r="M36" s="55"/>
      <c r="N36" s="55"/>
      <c r="O36" s="55"/>
      <c r="P36" s="55"/>
    </row>
    <row r="37" spans="1:16">
      <c r="A37" s="55"/>
      <c r="B37" s="55"/>
      <c r="C37" s="55"/>
      <c r="D37" s="55"/>
      <c r="E37" s="55"/>
      <c r="F37" s="55"/>
      <c r="G37" s="55"/>
      <c r="H37" s="55"/>
      <c r="I37" s="55"/>
      <c r="J37" s="55"/>
      <c r="K37" s="55"/>
      <c r="L37" s="55"/>
      <c r="M37" s="55"/>
      <c r="N37" s="55"/>
      <c r="O37" s="55"/>
      <c r="P37" s="55"/>
    </row>
    <row r="38" spans="1:16">
      <c r="A38" s="55"/>
      <c r="B38" s="55"/>
      <c r="C38" s="55"/>
      <c r="D38" s="55"/>
      <c r="E38" s="55"/>
      <c r="F38" s="55"/>
      <c r="G38" s="55"/>
      <c r="H38" s="55"/>
      <c r="I38" s="55"/>
      <c r="J38" s="55"/>
      <c r="K38" s="55"/>
      <c r="L38" s="55"/>
      <c r="M38" s="55"/>
      <c r="N38" s="55"/>
      <c r="O38" s="55"/>
      <c r="P38" s="55"/>
    </row>
    <row r="39" spans="1:16">
      <c r="A39" s="55"/>
      <c r="B39" s="55"/>
      <c r="C39" s="55"/>
      <c r="D39" s="55"/>
      <c r="E39" s="55"/>
      <c r="F39" s="55"/>
      <c r="G39" s="55"/>
      <c r="H39" s="55"/>
      <c r="I39" s="55"/>
      <c r="J39" s="55"/>
      <c r="K39" s="55"/>
      <c r="L39" s="55"/>
      <c r="M39" s="55"/>
      <c r="N39" s="55"/>
      <c r="O39" s="55"/>
      <c r="P39" s="55"/>
    </row>
    <row r="40" spans="1:16">
      <c r="A40" s="55"/>
      <c r="B40" s="55"/>
      <c r="C40" s="55"/>
      <c r="D40" s="55"/>
      <c r="E40" s="55"/>
      <c r="F40" s="55"/>
      <c r="G40" s="55"/>
      <c r="H40" s="55"/>
      <c r="I40" s="55"/>
      <c r="J40" s="55"/>
      <c r="K40" s="55"/>
      <c r="L40" s="55"/>
      <c r="M40" s="55"/>
      <c r="N40" s="55"/>
      <c r="O40" s="55"/>
      <c r="P40" s="55"/>
    </row>
    <row r="41" spans="1:16">
      <c r="A41" s="55"/>
      <c r="B41" s="55"/>
      <c r="C41" s="55"/>
      <c r="D41" s="55"/>
      <c r="E41" s="55"/>
      <c r="F41" s="55"/>
      <c r="G41" s="55"/>
      <c r="H41" s="55"/>
      <c r="I41" s="55"/>
      <c r="J41" s="55"/>
      <c r="K41" s="55"/>
      <c r="L41" s="55"/>
      <c r="M41" s="55"/>
      <c r="N41" s="55"/>
      <c r="O41" s="55"/>
      <c r="P41" s="55"/>
    </row>
    <row r="42" spans="1:16">
      <c r="A42" s="55"/>
      <c r="B42" s="55"/>
      <c r="C42" s="55"/>
      <c r="D42" s="55"/>
      <c r="E42" s="55"/>
      <c r="F42" s="55"/>
      <c r="G42" s="55"/>
      <c r="H42" s="55"/>
      <c r="I42" s="55"/>
      <c r="J42" s="55"/>
      <c r="K42" s="55"/>
      <c r="L42" s="55"/>
      <c r="M42" s="55"/>
      <c r="N42" s="55"/>
      <c r="O42" s="55"/>
      <c r="P42" s="55"/>
    </row>
    <row r="43" spans="1:16">
      <c r="A43" s="55"/>
      <c r="B43" s="55"/>
      <c r="C43" s="55"/>
      <c r="D43" s="55"/>
      <c r="E43" s="55"/>
      <c r="F43" s="55"/>
      <c r="G43" s="55"/>
      <c r="H43" s="55"/>
      <c r="I43" s="55"/>
      <c r="J43" s="55"/>
      <c r="K43" s="55"/>
      <c r="L43" s="55"/>
      <c r="M43" s="55"/>
      <c r="N43" s="55"/>
      <c r="O43" s="55"/>
      <c r="P43" s="55"/>
    </row>
    <row r="44" spans="1:16">
      <c r="A44" s="55"/>
      <c r="B44" s="55"/>
      <c r="C44" s="55"/>
      <c r="D44" s="55"/>
      <c r="E44" s="55"/>
      <c r="F44" s="55"/>
      <c r="G44" s="55"/>
      <c r="H44" s="55"/>
      <c r="I44" s="55"/>
      <c r="J44" s="55"/>
      <c r="K44" s="55"/>
      <c r="L44" s="55"/>
      <c r="M44" s="55"/>
      <c r="N44" s="55"/>
      <c r="O44" s="55"/>
      <c r="P44" s="55"/>
    </row>
    <row r="45" spans="1:16">
      <c r="A45" s="55"/>
      <c r="B45" s="55"/>
      <c r="C45" s="55"/>
      <c r="D45" s="55"/>
      <c r="E45" s="55"/>
      <c r="F45" s="55"/>
      <c r="G45" s="55"/>
      <c r="H45" s="55"/>
      <c r="I45" s="55"/>
      <c r="J45" s="55"/>
      <c r="K45" s="55"/>
      <c r="L45" s="55"/>
      <c r="M45" s="55"/>
      <c r="N45" s="55"/>
      <c r="O45" s="55"/>
      <c r="P45" s="55"/>
    </row>
    <row r="46" spans="1:16">
      <c r="A46" s="55"/>
      <c r="B46" s="55"/>
      <c r="C46" s="55"/>
      <c r="D46" s="55"/>
      <c r="E46" s="55"/>
      <c r="F46" s="55"/>
      <c r="G46" s="55"/>
      <c r="H46" s="55"/>
      <c r="I46" s="55"/>
      <c r="J46" s="55"/>
      <c r="K46" s="55"/>
      <c r="L46" s="55"/>
      <c r="M46" s="55"/>
      <c r="N46" s="55"/>
      <c r="O46" s="55"/>
      <c r="P46" s="55"/>
    </row>
    <row r="47" spans="1:16">
      <c r="A47" s="55"/>
      <c r="B47" s="55"/>
      <c r="C47" s="55"/>
      <c r="D47" s="55"/>
      <c r="E47" s="55"/>
      <c r="F47" s="55"/>
      <c r="G47" s="55"/>
      <c r="H47" s="55"/>
      <c r="I47" s="55"/>
      <c r="J47" s="55"/>
      <c r="K47" s="55"/>
      <c r="L47" s="55"/>
      <c r="M47" s="55"/>
      <c r="N47" s="55"/>
      <c r="O47" s="55"/>
      <c r="P47" s="55"/>
    </row>
    <row r="48" spans="1:16">
      <c r="A48" s="55"/>
      <c r="B48" s="55"/>
      <c r="C48" s="55"/>
      <c r="D48" s="55"/>
      <c r="E48" s="55"/>
      <c r="F48" s="55"/>
      <c r="G48" s="55"/>
      <c r="H48" s="55"/>
      <c r="I48" s="55"/>
      <c r="J48" s="55"/>
      <c r="K48" s="55"/>
      <c r="L48" s="55"/>
      <c r="M48" s="55"/>
      <c r="N48" s="55"/>
      <c r="O48" s="55"/>
      <c r="P48" s="55"/>
    </row>
    <row r="49" spans="1:16">
      <c r="A49" s="55"/>
      <c r="B49" s="55"/>
      <c r="C49" s="55"/>
      <c r="D49" s="55"/>
      <c r="E49" s="55"/>
      <c r="F49" s="55"/>
      <c r="G49" s="55"/>
      <c r="H49" s="55"/>
      <c r="I49" s="55"/>
      <c r="J49" s="55"/>
      <c r="K49" s="55"/>
      <c r="L49" s="55"/>
      <c r="M49" s="55"/>
      <c r="N49" s="55"/>
      <c r="O49" s="55"/>
      <c r="P49" s="55"/>
    </row>
    <row r="50" spans="1:16">
      <c r="A50" s="55"/>
      <c r="B50" s="55"/>
      <c r="C50" s="55"/>
      <c r="D50" s="55"/>
      <c r="E50" s="55"/>
      <c r="F50" s="55"/>
      <c r="G50" s="55"/>
      <c r="H50" s="55"/>
      <c r="I50" s="55"/>
      <c r="J50" s="55"/>
      <c r="K50" s="55"/>
      <c r="L50" s="55"/>
      <c r="M50" s="55"/>
      <c r="N50" s="55"/>
      <c r="O50" s="55"/>
      <c r="P50" s="55"/>
    </row>
    <row r="51" spans="1:16">
      <c r="A51" s="55"/>
      <c r="B51" s="55"/>
      <c r="C51" s="55"/>
      <c r="D51" s="55"/>
      <c r="E51" s="55"/>
      <c r="F51" s="55"/>
      <c r="G51" s="55"/>
      <c r="H51" s="55"/>
      <c r="I51" s="55"/>
      <c r="J51" s="55"/>
      <c r="K51" s="55"/>
      <c r="L51" s="55"/>
      <c r="M51" s="55"/>
      <c r="N51" s="55"/>
      <c r="O51" s="55"/>
      <c r="P51" s="55"/>
    </row>
    <row r="52" spans="1:16">
      <c r="A52" s="55"/>
      <c r="B52" s="55"/>
      <c r="C52" s="55"/>
      <c r="D52" s="55"/>
      <c r="E52" s="55"/>
      <c r="F52" s="55"/>
      <c r="G52" s="55"/>
      <c r="H52" s="55"/>
      <c r="I52" s="55"/>
      <c r="J52" s="55"/>
      <c r="K52" s="55"/>
      <c r="L52" s="55"/>
      <c r="M52" s="55"/>
      <c r="N52" s="55"/>
      <c r="O52" s="55"/>
      <c r="P52" s="55"/>
    </row>
    <row r="53" spans="1:16">
      <c r="A53" s="55"/>
      <c r="B53" s="55"/>
      <c r="C53" s="55"/>
      <c r="D53" s="55"/>
      <c r="E53" s="55"/>
      <c r="F53" s="55"/>
      <c r="G53" s="55"/>
      <c r="H53" s="55"/>
      <c r="I53" s="55"/>
      <c r="J53" s="55"/>
      <c r="K53" s="55"/>
      <c r="L53" s="55"/>
      <c r="M53" s="55"/>
      <c r="N53" s="55"/>
      <c r="O53" s="55"/>
      <c r="P53" s="55"/>
    </row>
    <row r="54" spans="1:16">
      <c r="A54" s="55"/>
      <c r="B54" s="55"/>
      <c r="C54" s="55"/>
      <c r="D54" s="55"/>
      <c r="E54" s="55"/>
      <c r="F54" s="55"/>
      <c r="G54" s="55"/>
      <c r="H54" s="55"/>
      <c r="I54" s="55"/>
      <c r="J54" s="55"/>
      <c r="K54" s="55"/>
      <c r="L54" s="55"/>
      <c r="M54" s="55"/>
      <c r="N54" s="55"/>
      <c r="O54" s="55"/>
      <c r="P54" s="55"/>
    </row>
    <row r="55" spans="1:16">
      <c r="A55" s="55"/>
      <c r="B55" s="55"/>
      <c r="C55" s="55"/>
      <c r="D55" s="55"/>
      <c r="E55" s="55"/>
      <c r="F55" s="55"/>
      <c r="G55" s="55"/>
      <c r="H55" s="55"/>
      <c r="I55" s="55"/>
      <c r="J55" s="55"/>
      <c r="K55" s="55"/>
      <c r="L55" s="55"/>
      <c r="M55" s="55"/>
      <c r="N55" s="55"/>
      <c r="O55" s="55"/>
      <c r="P55" s="55"/>
    </row>
    <row r="56" spans="1:16">
      <c r="A56" s="55"/>
      <c r="B56" s="55"/>
      <c r="C56" s="55"/>
      <c r="D56" s="55"/>
      <c r="E56" s="55"/>
      <c r="F56" s="55"/>
      <c r="G56" s="55"/>
      <c r="H56" s="55"/>
      <c r="I56" s="55"/>
      <c r="J56" s="55"/>
      <c r="K56" s="55"/>
      <c r="L56" s="55"/>
      <c r="M56" s="55"/>
      <c r="N56" s="55"/>
      <c r="O56" s="55"/>
      <c r="P56" s="55"/>
    </row>
    <row r="57" spans="1:16">
      <c r="A57" s="55"/>
      <c r="B57" s="55"/>
      <c r="C57" s="55"/>
      <c r="D57" s="55"/>
      <c r="E57" s="55"/>
      <c r="F57" s="55"/>
      <c r="G57" s="55"/>
      <c r="H57" s="55"/>
      <c r="I57" s="55"/>
      <c r="J57" s="55"/>
      <c r="K57" s="55"/>
      <c r="L57" s="55"/>
      <c r="M57" s="55"/>
      <c r="N57" s="55"/>
      <c r="O57" s="55"/>
      <c r="P57" s="55"/>
    </row>
    <row r="58" spans="1:16">
      <c r="A58" s="55"/>
      <c r="B58" s="55"/>
      <c r="C58" s="55"/>
      <c r="D58" s="55"/>
      <c r="E58" s="55"/>
      <c r="F58" s="55"/>
      <c r="G58" s="55"/>
      <c r="H58" s="55"/>
      <c r="I58" s="55"/>
      <c r="J58" s="55"/>
      <c r="K58" s="55"/>
      <c r="L58" s="55"/>
      <c r="M58" s="55"/>
      <c r="N58" s="55"/>
      <c r="O58" s="55"/>
      <c r="P58" s="55"/>
    </row>
    <row r="59" spans="1:16">
      <c r="A59" s="55"/>
      <c r="B59" s="55"/>
      <c r="C59" s="55"/>
      <c r="D59" s="55"/>
      <c r="E59" s="55"/>
      <c r="F59" s="55"/>
      <c r="G59" s="55"/>
      <c r="H59" s="55"/>
      <c r="I59" s="55"/>
      <c r="J59" s="55"/>
      <c r="K59" s="55"/>
      <c r="L59" s="55"/>
      <c r="M59" s="55"/>
      <c r="N59" s="55"/>
      <c r="O59" s="55"/>
      <c r="P59" s="55"/>
    </row>
    <row r="60" spans="1:16">
      <c r="A60" s="55"/>
      <c r="B60" s="55"/>
      <c r="C60" s="55"/>
      <c r="D60" s="55"/>
      <c r="E60" s="55"/>
      <c r="F60" s="55"/>
      <c r="G60" s="55"/>
      <c r="H60" s="55"/>
      <c r="I60" s="55"/>
      <c r="J60" s="55"/>
      <c r="K60" s="55"/>
      <c r="L60" s="55"/>
      <c r="M60" s="55"/>
      <c r="N60" s="55"/>
      <c r="O60" s="55"/>
      <c r="P60" s="55"/>
    </row>
    <row r="61" spans="1:16">
      <c r="A61" s="55"/>
      <c r="B61" s="55"/>
      <c r="C61" s="55"/>
      <c r="D61" s="55"/>
      <c r="E61" s="55"/>
      <c r="F61" s="55"/>
      <c r="G61" s="55"/>
      <c r="H61" s="55"/>
      <c r="I61" s="55"/>
      <c r="J61" s="55"/>
      <c r="K61" s="55"/>
      <c r="L61" s="55"/>
      <c r="M61" s="55"/>
      <c r="N61" s="55"/>
      <c r="O61" s="55"/>
      <c r="P61" s="55"/>
    </row>
    <row r="62" spans="1:16">
      <c r="A62" s="55"/>
      <c r="B62" s="55"/>
      <c r="C62" s="55"/>
      <c r="D62" s="55"/>
      <c r="E62" s="55"/>
      <c r="F62" s="55"/>
      <c r="G62" s="55"/>
      <c r="H62" s="55"/>
      <c r="I62" s="55"/>
      <c r="J62" s="55"/>
      <c r="K62" s="55"/>
      <c r="L62" s="55"/>
      <c r="M62" s="55"/>
      <c r="N62" s="55"/>
      <c r="O62" s="55"/>
      <c r="P62" s="55"/>
    </row>
    <row r="63" spans="1:16">
      <c r="A63" s="55"/>
      <c r="B63" s="55"/>
      <c r="C63" s="55"/>
      <c r="D63" s="55"/>
      <c r="E63" s="55"/>
      <c r="F63" s="55"/>
      <c r="G63" s="55"/>
      <c r="H63" s="55"/>
      <c r="I63" s="55"/>
      <c r="J63" s="55"/>
      <c r="K63" s="55"/>
      <c r="L63" s="55"/>
      <c r="M63" s="55"/>
      <c r="N63" s="55"/>
      <c r="O63" s="55"/>
      <c r="P63" s="55"/>
    </row>
    <row r="64" spans="1:16">
      <c r="A64" s="55"/>
      <c r="B64" s="55"/>
      <c r="C64" s="55"/>
      <c r="D64" s="55"/>
      <c r="E64" s="55"/>
      <c r="F64" s="55"/>
      <c r="G64" s="55"/>
      <c r="H64" s="55"/>
      <c r="I64" s="55"/>
      <c r="J64" s="55"/>
      <c r="K64" s="55"/>
      <c r="L64" s="55"/>
      <c r="M64" s="55"/>
      <c r="N64" s="55"/>
      <c r="O64" s="55"/>
      <c r="P64" s="55"/>
    </row>
    <row r="65" spans="1:16">
      <c r="A65" s="55"/>
      <c r="B65" s="55"/>
      <c r="C65" s="55"/>
      <c r="D65" s="55"/>
      <c r="E65" s="55"/>
      <c r="F65" s="55"/>
      <c r="G65" s="55"/>
      <c r="H65" s="55"/>
      <c r="I65" s="55"/>
      <c r="J65" s="55"/>
      <c r="K65" s="55"/>
      <c r="L65" s="55"/>
      <c r="M65" s="55"/>
      <c r="N65" s="55"/>
      <c r="O65" s="55"/>
      <c r="P65" s="55"/>
    </row>
    <row r="66" spans="1:16">
      <c r="A66" s="55"/>
      <c r="B66" s="55"/>
      <c r="C66" s="55"/>
      <c r="D66" s="55"/>
      <c r="E66" s="55"/>
      <c r="F66" s="55"/>
      <c r="G66" s="55"/>
      <c r="H66" s="55"/>
      <c r="I66" s="55"/>
      <c r="J66" s="55"/>
      <c r="K66" s="55"/>
      <c r="L66" s="55"/>
      <c r="M66" s="55"/>
      <c r="N66" s="55"/>
      <c r="O66" s="55"/>
      <c r="P66" s="55"/>
    </row>
    <row r="67" spans="1:16">
      <c r="A67" s="55"/>
      <c r="B67" s="55"/>
      <c r="C67" s="55"/>
      <c r="D67" s="55"/>
      <c r="E67" s="55"/>
      <c r="F67" s="55"/>
      <c r="G67" s="55"/>
      <c r="H67" s="55"/>
      <c r="I67" s="55"/>
      <c r="J67" s="55"/>
      <c r="K67" s="55"/>
      <c r="L67" s="55"/>
      <c r="M67" s="55"/>
      <c r="N67" s="55"/>
      <c r="O67" s="55"/>
      <c r="P67" s="55"/>
    </row>
    <row r="68" spans="1:16">
      <c r="A68" s="55"/>
      <c r="B68" s="55"/>
      <c r="C68" s="55"/>
      <c r="D68" s="55"/>
      <c r="E68" s="55"/>
      <c r="F68" s="55"/>
      <c r="G68" s="55"/>
      <c r="H68" s="55"/>
      <c r="I68" s="55"/>
      <c r="J68" s="55"/>
      <c r="K68" s="55"/>
      <c r="L68" s="55"/>
      <c r="M68" s="55"/>
      <c r="N68" s="55"/>
      <c r="O68" s="55"/>
      <c r="P68" s="55"/>
    </row>
    <row r="69" spans="1:16">
      <c r="A69" s="55"/>
      <c r="B69" s="55"/>
      <c r="C69" s="55"/>
      <c r="D69" s="55"/>
      <c r="E69" s="55"/>
      <c r="F69" s="55"/>
      <c r="G69" s="55"/>
      <c r="H69" s="55"/>
      <c r="I69" s="55"/>
      <c r="J69" s="55"/>
      <c r="K69" s="55"/>
      <c r="L69" s="55"/>
      <c r="M69" s="55"/>
      <c r="N69" s="55"/>
      <c r="O69" s="55"/>
      <c r="P69" s="55"/>
    </row>
    <row r="70" spans="1:16">
      <c r="A70" s="55"/>
      <c r="B70" s="55"/>
      <c r="C70" s="55"/>
      <c r="D70" s="55"/>
      <c r="E70" s="55"/>
      <c r="F70" s="55"/>
      <c r="G70" s="55"/>
      <c r="H70" s="55"/>
      <c r="I70" s="55"/>
      <c r="J70" s="55"/>
      <c r="K70" s="55"/>
      <c r="L70" s="55"/>
      <c r="M70" s="55"/>
      <c r="N70" s="55"/>
      <c r="O70" s="55"/>
      <c r="P70" s="55"/>
    </row>
    <row r="71" spans="1:16">
      <c r="A71" s="55"/>
      <c r="B71" s="55"/>
      <c r="C71" s="55"/>
      <c r="D71" s="55"/>
      <c r="E71" s="55"/>
      <c r="F71" s="55"/>
      <c r="G71" s="55"/>
      <c r="H71" s="55"/>
      <c r="I71" s="55"/>
      <c r="J71" s="55"/>
      <c r="K71" s="55"/>
      <c r="L71" s="55"/>
      <c r="M71" s="55"/>
      <c r="N71" s="55"/>
      <c r="O71" s="55"/>
      <c r="P71" s="55"/>
    </row>
    <row r="72" spans="1:16">
      <c r="A72" s="55"/>
      <c r="B72" s="55"/>
      <c r="C72" s="55"/>
      <c r="D72" s="55"/>
      <c r="E72" s="55"/>
      <c r="F72" s="55"/>
      <c r="G72" s="55"/>
      <c r="H72" s="55"/>
      <c r="I72" s="55"/>
      <c r="J72" s="55"/>
      <c r="K72" s="55"/>
      <c r="L72" s="55"/>
      <c r="M72" s="55"/>
      <c r="N72" s="55"/>
      <c r="O72" s="55"/>
      <c r="P72" s="55"/>
    </row>
    <row r="73" spans="1:16">
      <c r="A73" s="55"/>
      <c r="B73" s="55"/>
      <c r="C73" s="55"/>
      <c r="D73" s="55"/>
      <c r="E73" s="55"/>
      <c r="F73" s="55"/>
      <c r="G73" s="55"/>
      <c r="H73" s="55"/>
      <c r="I73" s="55"/>
      <c r="J73" s="55"/>
      <c r="K73" s="55"/>
      <c r="L73" s="55"/>
      <c r="M73" s="55"/>
      <c r="N73" s="55"/>
      <c r="O73" s="55"/>
      <c r="P73" s="55"/>
    </row>
    <row r="74" spans="1:16">
      <c r="A74" s="55"/>
      <c r="B74" s="55"/>
      <c r="C74" s="55"/>
      <c r="D74" s="55"/>
      <c r="E74" s="55"/>
      <c r="F74" s="55"/>
      <c r="G74" s="55"/>
      <c r="H74" s="55"/>
      <c r="I74" s="55"/>
      <c r="J74" s="55"/>
      <c r="K74" s="55"/>
      <c r="L74" s="55"/>
      <c r="M74" s="55"/>
      <c r="N74" s="55"/>
      <c r="O74" s="55"/>
      <c r="P74" s="55"/>
    </row>
    <row r="75" spans="1:16">
      <c r="A75" s="55"/>
      <c r="B75" s="55"/>
      <c r="C75" s="55"/>
      <c r="D75" s="55"/>
      <c r="E75" s="55"/>
      <c r="F75" s="55"/>
      <c r="G75" s="55"/>
      <c r="H75" s="55"/>
      <c r="I75" s="55"/>
      <c r="J75" s="55"/>
      <c r="K75" s="55"/>
      <c r="L75" s="55"/>
      <c r="M75" s="55"/>
      <c r="N75" s="55"/>
      <c r="O75" s="55"/>
      <c r="P75" s="55"/>
    </row>
    <row r="76" spans="1:16">
      <c r="A76" s="55"/>
      <c r="B76" s="55"/>
      <c r="C76" s="55"/>
      <c r="D76" s="55"/>
      <c r="E76" s="55"/>
      <c r="F76" s="55"/>
      <c r="G76" s="55"/>
      <c r="H76" s="55"/>
      <c r="I76" s="55"/>
      <c r="J76" s="55"/>
      <c r="K76" s="55"/>
      <c r="L76" s="55"/>
      <c r="M76" s="55"/>
      <c r="N76" s="55"/>
      <c r="O76" s="55"/>
      <c r="P76" s="55"/>
    </row>
    <row r="77" spans="1:16">
      <c r="A77" s="55"/>
      <c r="B77" s="55"/>
      <c r="C77" s="55"/>
      <c r="D77" s="55"/>
      <c r="E77" s="55"/>
      <c r="F77" s="55"/>
      <c r="G77" s="55"/>
      <c r="H77" s="55"/>
      <c r="I77" s="55"/>
      <c r="J77" s="55"/>
      <c r="K77" s="55"/>
      <c r="L77" s="55"/>
      <c r="M77" s="55"/>
      <c r="N77" s="55"/>
      <c r="O77" s="55"/>
      <c r="P77" s="55"/>
    </row>
    <row r="78" spans="1:16">
      <c r="A78" s="55"/>
      <c r="B78" s="55"/>
      <c r="C78" s="55"/>
      <c r="D78" s="55"/>
      <c r="E78" s="55"/>
      <c r="F78" s="55"/>
      <c r="G78" s="55"/>
      <c r="H78" s="55"/>
      <c r="I78" s="55"/>
      <c r="J78" s="55"/>
      <c r="K78" s="55"/>
      <c r="L78" s="55"/>
      <c r="M78" s="55"/>
      <c r="N78" s="55"/>
      <c r="O78" s="55"/>
      <c r="P78" s="55"/>
    </row>
    <row r="79" spans="1:16">
      <c r="A79" s="55"/>
      <c r="B79" s="55"/>
      <c r="C79" s="55"/>
      <c r="D79" s="55"/>
      <c r="E79" s="55"/>
      <c r="F79" s="55"/>
      <c r="G79" s="55"/>
      <c r="H79" s="55"/>
      <c r="I79" s="55"/>
      <c r="J79" s="55"/>
      <c r="K79" s="55"/>
      <c r="L79" s="55"/>
      <c r="M79" s="55"/>
      <c r="N79" s="55"/>
      <c r="O79" s="55"/>
      <c r="P79" s="55"/>
    </row>
    <row r="80" spans="1:16">
      <c r="A80" s="55"/>
      <c r="B80" s="55"/>
      <c r="C80" s="55"/>
      <c r="D80" s="55"/>
      <c r="E80" s="55"/>
      <c r="F80" s="55"/>
      <c r="G80" s="55"/>
      <c r="H80" s="55"/>
      <c r="I80" s="55"/>
      <c r="J80" s="55"/>
      <c r="K80" s="55"/>
      <c r="L80" s="55"/>
      <c r="M80" s="55"/>
      <c r="N80" s="55"/>
      <c r="O80" s="55"/>
      <c r="P80" s="55"/>
    </row>
    <row r="81" spans="1:16">
      <c r="A81" s="55"/>
      <c r="B81" s="55"/>
      <c r="C81" s="55"/>
      <c r="D81" s="55"/>
      <c r="E81" s="55"/>
      <c r="F81" s="55"/>
      <c r="G81" s="55"/>
      <c r="H81" s="55"/>
      <c r="I81" s="55"/>
      <c r="J81" s="55"/>
      <c r="K81" s="55"/>
      <c r="L81" s="55"/>
      <c r="M81" s="55"/>
      <c r="N81" s="55"/>
      <c r="O81" s="55"/>
      <c r="P81" s="55"/>
    </row>
    <row r="82" spans="1:16">
      <c r="A82" s="55"/>
      <c r="B82" s="55"/>
      <c r="C82" s="55"/>
      <c r="D82" s="55"/>
      <c r="E82" s="55"/>
      <c r="F82" s="55"/>
      <c r="G82" s="55"/>
      <c r="H82" s="55"/>
      <c r="I82" s="55"/>
      <c r="J82" s="55"/>
      <c r="K82" s="55"/>
      <c r="L82" s="55"/>
      <c r="M82" s="55"/>
      <c r="N82" s="55"/>
      <c r="O82" s="55"/>
      <c r="P82" s="55"/>
    </row>
    <row r="83" spans="1:16">
      <c r="A83" s="55"/>
      <c r="B83" s="55"/>
      <c r="C83" s="55"/>
      <c r="D83" s="55"/>
      <c r="E83" s="55"/>
      <c r="F83" s="55"/>
      <c r="G83" s="55"/>
      <c r="H83" s="55"/>
      <c r="I83" s="55"/>
      <c r="J83" s="55"/>
      <c r="K83" s="55"/>
      <c r="L83" s="55"/>
      <c r="M83" s="55"/>
      <c r="N83" s="55"/>
      <c r="O83" s="55"/>
      <c r="P83" s="55"/>
    </row>
    <row r="84" spans="1:16">
      <c r="A84" s="55"/>
      <c r="B84" s="55"/>
      <c r="C84" s="55"/>
      <c r="D84" s="55"/>
      <c r="E84" s="55"/>
      <c r="F84" s="55"/>
      <c r="G84" s="55"/>
      <c r="H84" s="55"/>
      <c r="I84" s="55"/>
      <c r="J84" s="55"/>
      <c r="K84" s="55"/>
      <c r="L84" s="55"/>
      <c r="M84" s="55"/>
      <c r="N84" s="55"/>
      <c r="O84" s="55"/>
      <c r="P84" s="55"/>
    </row>
    <row r="85" spans="1:16">
      <c r="A85" s="55"/>
      <c r="B85" s="55"/>
      <c r="C85" s="55"/>
      <c r="D85" s="55"/>
      <c r="E85" s="55"/>
      <c r="F85" s="55"/>
      <c r="G85" s="55"/>
      <c r="H85" s="55"/>
      <c r="I85" s="55"/>
      <c r="J85" s="55"/>
      <c r="K85" s="55"/>
      <c r="L85" s="55"/>
      <c r="M85" s="55"/>
      <c r="N85" s="55"/>
      <c r="O85" s="55"/>
      <c r="P85" s="55"/>
    </row>
    <row r="86" spans="1:16">
      <c r="A86" s="55"/>
      <c r="B86" s="55"/>
      <c r="C86" s="55"/>
      <c r="D86" s="55"/>
      <c r="E86" s="55"/>
      <c r="F86" s="55"/>
      <c r="G86" s="55"/>
      <c r="H86" s="55"/>
      <c r="I86" s="55"/>
      <c r="J86" s="55"/>
      <c r="K86" s="55"/>
      <c r="L86" s="55"/>
      <c r="M86" s="55"/>
      <c r="N86" s="55"/>
      <c r="O86" s="55"/>
      <c r="P86" s="55"/>
    </row>
    <row r="87" spans="1:16">
      <c r="A87" s="55"/>
      <c r="B87" s="55"/>
      <c r="C87" s="55"/>
      <c r="D87" s="55"/>
      <c r="E87" s="55"/>
      <c r="F87" s="55"/>
      <c r="G87" s="55"/>
      <c r="H87" s="55"/>
      <c r="I87" s="55"/>
      <c r="J87" s="55"/>
      <c r="K87" s="55"/>
      <c r="L87" s="55"/>
      <c r="M87" s="55"/>
      <c r="N87" s="55"/>
      <c r="O87" s="55"/>
      <c r="P87" s="55"/>
    </row>
    <row r="88" spans="1:16">
      <c r="A88" s="55"/>
      <c r="B88" s="55"/>
      <c r="C88" s="55"/>
      <c r="D88" s="55"/>
      <c r="E88" s="55"/>
      <c r="F88" s="55"/>
      <c r="G88" s="55"/>
      <c r="H88" s="55"/>
      <c r="I88" s="55"/>
      <c r="J88" s="55"/>
      <c r="K88" s="55"/>
      <c r="L88" s="55"/>
      <c r="M88" s="55"/>
      <c r="N88" s="55"/>
      <c r="O88" s="55"/>
      <c r="P88" s="55"/>
    </row>
    <row r="89" spans="1:16">
      <c r="A89" s="55"/>
      <c r="B89" s="55"/>
      <c r="C89" s="55"/>
      <c r="D89" s="55"/>
      <c r="E89" s="55"/>
      <c r="F89" s="55"/>
      <c r="G89" s="55"/>
      <c r="H89" s="55"/>
      <c r="I89" s="55"/>
      <c r="J89" s="55"/>
      <c r="K89" s="55"/>
      <c r="L89" s="55"/>
      <c r="M89" s="55"/>
      <c r="N89" s="55"/>
      <c r="O89" s="55"/>
      <c r="P89" s="55"/>
    </row>
    <row r="90" spans="1:16">
      <c r="A90" s="55"/>
      <c r="B90" s="55"/>
      <c r="C90" s="55"/>
      <c r="D90" s="55"/>
      <c r="E90" s="55"/>
      <c r="F90" s="55"/>
      <c r="G90" s="55"/>
      <c r="H90" s="55"/>
      <c r="I90" s="55"/>
      <c r="J90" s="55"/>
      <c r="K90" s="55"/>
      <c r="L90" s="55"/>
      <c r="M90" s="55"/>
      <c r="N90" s="55"/>
      <c r="O90" s="55"/>
      <c r="P90" s="55"/>
    </row>
    <row r="91" spans="1:16">
      <c r="A91" s="55"/>
      <c r="B91" s="55"/>
      <c r="C91" s="55"/>
      <c r="D91" s="55"/>
      <c r="E91" s="55"/>
      <c r="F91" s="55"/>
      <c r="G91" s="55"/>
      <c r="H91" s="55"/>
      <c r="I91" s="55"/>
      <c r="J91" s="55"/>
      <c r="K91" s="55"/>
      <c r="L91" s="55"/>
      <c r="M91" s="55"/>
      <c r="N91" s="55"/>
      <c r="O91" s="55"/>
      <c r="P91" s="55"/>
    </row>
    <row r="92" spans="1:16">
      <c r="A92" s="55"/>
      <c r="B92" s="55"/>
      <c r="C92" s="55"/>
      <c r="D92" s="55"/>
      <c r="E92" s="55"/>
      <c r="F92" s="55"/>
      <c r="G92" s="55"/>
      <c r="H92" s="55"/>
      <c r="I92" s="55"/>
      <c r="J92" s="55"/>
      <c r="K92" s="55"/>
      <c r="L92" s="55"/>
      <c r="M92" s="55"/>
      <c r="N92" s="55"/>
      <c r="O92" s="55"/>
      <c r="P92" s="55"/>
    </row>
    <row r="93" spans="1:16">
      <c r="A93" s="55"/>
      <c r="B93" s="55"/>
      <c r="C93" s="55"/>
      <c r="D93" s="55"/>
      <c r="E93" s="55"/>
      <c r="F93" s="55"/>
      <c r="G93" s="55"/>
      <c r="H93" s="55"/>
      <c r="I93" s="55"/>
      <c r="J93" s="55"/>
      <c r="K93" s="55"/>
      <c r="L93" s="55"/>
      <c r="M93" s="55"/>
      <c r="N93" s="55"/>
      <c r="O93" s="55"/>
      <c r="P93" s="55"/>
    </row>
    <row r="94" spans="1:16">
      <c r="A94" s="55"/>
      <c r="B94" s="55"/>
      <c r="C94" s="55"/>
      <c r="D94" s="55"/>
      <c r="E94" s="55"/>
      <c r="F94" s="55"/>
      <c r="G94" s="55"/>
      <c r="H94" s="55"/>
      <c r="I94" s="55"/>
      <c r="J94" s="55"/>
      <c r="K94" s="55"/>
      <c r="L94" s="55"/>
      <c r="M94" s="55"/>
      <c r="N94" s="55"/>
      <c r="O94" s="55"/>
      <c r="P94" s="55"/>
    </row>
    <row r="95" spans="1:16">
      <c r="A95" s="55"/>
      <c r="B95" s="55"/>
      <c r="C95" s="55"/>
      <c r="D95" s="55"/>
      <c r="E95" s="55"/>
      <c r="F95" s="55"/>
      <c r="G95" s="55"/>
      <c r="H95" s="55"/>
      <c r="I95" s="55"/>
      <c r="J95" s="55"/>
      <c r="K95" s="55"/>
      <c r="L95" s="55"/>
      <c r="M95" s="55"/>
      <c r="N95" s="55"/>
      <c r="O95" s="55"/>
      <c r="P95" s="55"/>
    </row>
  </sheetData>
  <sheetProtection password="CC6F" sheet="1" objects="1" scenarios="1"/>
  <mergeCells count="8">
    <mergeCell ref="A26:P26"/>
    <mergeCell ref="A23:P23"/>
    <mergeCell ref="A24:P24"/>
    <mergeCell ref="A25:P25"/>
    <mergeCell ref="B17:O17"/>
    <mergeCell ref="A19:P19"/>
    <mergeCell ref="A20:P20"/>
    <mergeCell ref="A21:P21"/>
  </mergeCells>
  <pageMargins left="0.43307086614173229" right="0.23622047244094491" top="0.74803149606299213" bottom="0.74803149606299213" header="0" footer="0"/>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1</vt:i4>
      </vt:variant>
    </vt:vector>
  </HeadingPairs>
  <TitlesOfParts>
    <vt:vector size="6" baseType="lpstr">
      <vt:lpstr>Данные</vt:lpstr>
      <vt:lpstr>Форма 3</vt:lpstr>
      <vt:lpstr>Форма 5</vt:lpstr>
      <vt:lpstr>Проверка АВД</vt:lpstr>
      <vt:lpstr>Памятка</vt:lpstr>
      <vt:lpstr>Документы</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2006-09-28T05:33:49Z</dcterms:created>
  <dcterms:modified xsi:type="dcterms:W3CDTF">2020-02-13T07:13:40Z</dcterms:modified>
</cp:coreProperties>
</file>